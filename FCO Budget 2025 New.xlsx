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zindia1-my.sharepoint.com/personal/admin_zindia_co_nz/Documents/ZindiaManagement/Ops/OPS - Operations/Thomas/Automation/Jerry's Project/CFG Project/Automation Project/02. Forest Automation/Budget Template/"/>
    </mc:Choice>
  </mc:AlternateContent>
  <xr:revisionPtr revIDLastSave="463" documentId="8_{8AB96C99-C809-4322-87A1-5C2D0F5B4469}" xr6:coauthVersionLast="47" xr6:coauthVersionMax="47" xr10:uidLastSave="{DC8E3A12-F0F4-4732-9B95-E13E9F051C3E}"/>
  <bookViews>
    <workbookView xWindow="25695" yWindow="0" windowWidth="26010" windowHeight="20985" tabRatio="882" activeTab="2" xr2:uid="{8E573781-9098-4237-B510-384ABB33DF36}"/>
  </bookViews>
  <sheets>
    <sheet name="Log Sales Data" sheetId="43" r:id="rId1"/>
    <sheet name="Eastfork Budget" sheetId="1" r:id="rId2"/>
    <sheet name="Eastfork Actual" sheetId="8" r:id="rId3"/>
    <sheet name="Waipuna Budget" sheetId="18" state="hidden" r:id="rId4"/>
    <sheet name="Waipuna Actual" sheetId="19" state="hidden" r:id="rId5"/>
    <sheet name="Whakatikei Budget" sheetId="22" state="hidden" r:id="rId6"/>
    <sheet name="Whakatikei Actual" sheetId="23" state="hidden" r:id="rId7"/>
    <sheet name="Mount Erin (T&amp;M) Budget" sheetId="24" state="hidden" r:id="rId8"/>
    <sheet name="Mount Erin (T&amp;M) Actual" sheetId="25" state="hidden" r:id="rId9"/>
    <sheet name="Rawhitiroa (T&amp;M) Budget" sheetId="30" state="hidden" r:id="rId10"/>
    <sheet name="Rawhitiroa (T&amp;M) Actual" sheetId="31" state="hidden" r:id="rId11"/>
    <sheet name="Kanuka (T&amp;M) Budget" sheetId="32" state="hidden" r:id="rId12"/>
    <sheet name="Kanuka (T&amp;M) Actual" sheetId="33" state="hidden" r:id="rId13"/>
    <sheet name="Rangatira Utiku Block Budget" sheetId="38" state="hidden" r:id="rId14"/>
    <sheet name="Rangatira Utiku Block Actual" sheetId="39" state="hidden" r:id="rId15"/>
    <sheet name="Summary_1" sheetId="10" state="hidden" r:id="rId16"/>
    <sheet name="Summary_2" sheetId="20" state="hidden" r:id="rId17"/>
    <sheet name="Summary_3" sheetId="26" state="hidden" r:id="rId18"/>
    <sheet name="Summary_4" sheetId="27" state="hidden" r:id="rId19"/>
    <sheet name="Summary_5" sheetId="34" state="hidden" r:id="rId20"/>
    <sheet name="Summary_6" sheetId="35" state="hidden" r:id="rId21"/>
    <sheet name="Summary_7" sheetId="40" state="hidden" r:id="rId22"/>
    <sheet name="Volume_1" sheetId="7" state="hidden" r:id="rId23"/>
    <sheet name="Volume_2" sheetId="21" state="hidden" r:id="rId24"/>
    <sheet name="Volume_3" sheetId="28" state="hidden" r:id="rId25"/>
    <sheet name="Volume_4" sheetId="29" state="hidden" r:id="rId26"/>
    <sheet name="Volume_5" sheetId="36" state="hidden" r:id="rId27"/>
    <sheet name="Volume_6" sheetId="37" state="hidden" r:id="rId28"/>
    <sheet name="Volume_7" sheetId="41" state="hidden" r:id="rId29"/>
    <sheet name="Home" sheetId="11" r:id="rId30"/>
  </sheets>
  <definedNames>
    <definedName name="_xlnm._FilterDatabase" localSheetId="22" hidden="1">Volume_1!$B$3:$BC$12</definedName>
    <definedName name="_xlnm._FilterDatabase" localSheetId="23" hidden="1">Volume_2!$B$3:$BC$12</definedName>
    <definedName name="_xlnm._FilterDatabase" localSheetId="24" hidden="1">Volume_3!$B$3:$BC$12</definedName>
    <definedName name="_xlnm._FilterDatabase" localSheetId="25" hidden="1">Volume_4!$B$3:$BC$12</definedName>
    <definedName name="_xlnm._FilterDatabase" localSheetId="26" hidden="1">Volume_5!$B$3:$BC$12</definedName>
    <definedName name="_xlnm._FilterDatabase" localSheetId="27" hidden="1">Volume_6!$B$3:$BC$12</definedName>
    <definedName name="_xlnm._FilterDatabase" localSheetId="28" hidden="1">Volume_7!$B$3:$BC$12</definedName>
    <definedName name="P35_" localSheetId="2">#REF!</definedName>
    <definedName name="P35_" localSheetId="1">#REF!</definedName>
    <definedName name="P35_" localSheetId="12">#REF!</definedName>
    <definedName name="P35_" localSheetId="11">#REF!</definedName>
    <definedName name="P35_" localSheetId="8">#REF!</definedName>
    <definedName name="P35_" localSheetId="7">#REF!</definedName>
    <definedName name="P35_" localSheetId="14">#REF!</definedName>
    <definedName name="P35_" localSheetId="13">#REF!</definedName>
    <definedName name="P35_" localSheetId="10">#REF!</definedName>
    <definedName name="P35_" localSheetId="9">#REF!</definedName>
    <definedName name="P35_" localSheetId="4">#REF!</definedName>
    <definedName name="P35_" localSheetId="3">#REF!</definedName>
    <definedName name="P35_" localSheetId="6">#REF!</definedName>
    <definedName name="P35_" localSheetId="5">#REF!</definedName>
    <definedName name="P35_Percent" localSheetId="2">#REF!</definedName>
    <definedName name="P35_Percent" localSheetId="1">#REF!</definedName>
    <definedName name="P35_Percent" localSheetId="12">#REF!</definedName>
    <definedName name="P35_Percent" localSheetId="11">#REF!</definedName>
    <definedName name="P35_Percent" localSheetId="8">#REF!</definedName>
    <definedName name="P35_Percent" localSheetId="7">#REF!</definedName>
    <definedName name="P35_Percent" localSheetId="14">#REF!</definedName>
    <definedName name="P35_Percent" localSheetId="13">#REF!</definedName>
    <definedName name="P35_Percent" localSheetId="10">#REF!</definedName>
    <definedName name="P35_Percent" localSheetId="9">#REF!</definedName>
    <definedName name="P35_Percent" localSheetId="4">#REF!</definedName>
    <definedName name="P35_Percent" localSheetId="3">#REF!</definedName>
    <definedName name="P35_Percent" localSheetId="6">#REF!</definedName>
    <definedName name="P35_Percent" localSheetId="5">#REF!</definedName>
    <definedName name="P35Percent" localSheetId="2">#REF!</definedName>
    <definedName name="P35Percent" localSheetId="1">#REF!</definedName>
    <definedName name="P35Percent" localSheetId="12">#REF!</definedName>
    <definedName name="P35Percent" localSheetId="11">#REF!</definedName>
    <definedName name="P35Percent" localSheetId="8">#REF!</definedName>
    <definedName name="P35Percent" localSheetId="7">#REF!</definedName>
    <definedName name="P35Percent" localSheetId="14">#REF!</definedName>
    <definedName name="P35Percent" localSheetId="13">#REF!</definedName>
    <definedName name="P35Percent" localSheetId="10">#REF!</definedName>
    <definedName name="P35Percent" localSheetId="9">#REF!</definedName>
    <definedName name="P35Percent" localSheetId="4">#REF!</definedName>
    <definedName name="P35Percent" localSheetId="3">#REF!</definedName>
    <definedName name="P35Percent" localSheetId="6">#REF!</definedName>
    <definedName name="P35Percent" localSheetId="5">#REF!</definedName>
    <definedName name="_xlnm.Print_Area" localSheetId="2">'Eastfork Actual'!$A$1:$W$139</definedName>
    <definedName name="_xlnm.Print_Area" localSheetId="1">'Eastfork Budget'!$A$1:$W$139</definedName>
    <definedName name="_xlnm.Print_Area" localSheetId="12">'Kanuka (T&amp;M) Actual'!$A$1:$W$139</definedName>
    <definedName name="_xlnm.Print_Area" localSheetId="11">'Kanuka (T&amp;M) Budget'!$A$1:$W$139</definedName>
    <definedName name="_xlnm.Print_Area" localSheetId="8">'Mount Erin (T&amp;M) Actual'!$A$1:$W$139</definedName>
    <definedName name="_xlnm.Print_Area" localSheetId="7">'Mount Erin (T&amp;M) Budget'!$A$1:$W$139</definedName>
    <definedName name="_xlnm.Print_Area" localSheetId="14">'Rangatira Utiku Block Actual'!$A$1:$W$139</definedName>
    <definedName name="_xlnm.Print_Area" localSheetId="13">'Rangatira Utiku Block Budget'!$A$1:$W$139</definedName>
    <definedName name="_xlnm.Print_Area" localSheetId="10">'Rawhitiroa (T&amp;M) Actual'!$A$1:$W$139</definedName>
    <definedName name="_xlnm.Print_Area" localSheetId="9">'Rawhitiroa (T&amp;M) Budget'!$A$1:$W$139</definedName>
    <definedName name="_xlnm.Print_Area" localSheetId="4">'Waipuna Actual'!$A$1:$W$139</definedName>
    <definedName name="_xlnm.Print_Area" localSheetId="3">'Waipuna Budget'!$A$1:$W$139</definedName>
    <definedName name="_xlnm.Print_Area" localSheetId="6">'Whakatikei Actual'!$A$1:$W$139</definedName>
    <definedName name="_xlnm.Print_Area" localSheetId="5">'Whakatikei Budget'!$A$1:$W$139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4" i="8" l="1"/>
  <c r="C43" i="8"/>
  <c r="G46" i="8"/>
  <c r="F20" i="8"/>
  <c r="J21" i="8"/>
  <c r="K21" i="8"/>
  <c r="L21" i="8"/>
  <c r="M21" i="8"/>
  <c r="N21" i="8"/>
  <c r="O21" i="8"/>
  <c r="P21" i="8"/>
  <c r="Q21" i="8"/>
  <c r="R21" i="8"/>
  <c r="S21" i="8"/>
  <c r="T21" i="8"/>
  <c r="U21" i="8"/>
  <c r="J22" i="8"/>
  <c r="K22" i="8"/>
  <c r="L22" i="8"/>
  <c r="M22" i="8"/>
  <c r="N22" i="8"/>
  <c r="O22" i="8"/>
  <c r="P22" i="8"/>
  <c r="Q22" i="8"/>
  <c r="R22" i="8"/>
  <c r="S22" i="8"/>
  <c r="T22" i="8"/>
  <c r="U22" i="8"/>
  <c r="J23" i="8"/>
  <c r="K23" i="8"/>
  <c r="L23" i="8"/>
  <c r="M23" i="8"/>
  <c r="N23" i="8"/>
  <c r="O23" i="8"/>
  <c r="P23" i="8"/>
  <c r="Q23" i="8"/>
  <c r="R23" i="8"/>
  <c r="S23" i="8"/>
  <c r="T23" i="8"/>
  <c r="U23" i="8"/>
  <c r="J24" i="8"/>
  <c r="K24" i="8"/>
  <c r="L24" i="8"/>
  <c r="M24" i="8"/>
  <c r="N24" i="8"/>
  <c r="O24" i="8"/>
  <c r="P24" i="8"/>
  <c r="Q24" i="8"/>
  <c r="R24" i="8"/>
  <c r="S24" i="8"/>
  <c r="T24" i="8"/>
  <c r="U24" i="8"/>
  <c r="J25" i="8"/>
  <c r="K25" i="8"/>
  <c r="L25" i="8"/>
  <c r="M25" i="8"/>
  <c r="N25" i="8"/>
  <c r="O25" i="8"/>
  <c r="P25" i="8"/>
  <c r="Q25" i="8"/>
  <c r="R25" i="8"/>
  <c r="S25" i="8"/>
  <c r="T25" i="8"/>
  <c r="U25" i="8"/>
  <c r="J26" i="8"/>
  <c r="K26" i="8"/>
  <c r="L26" i="8"/>
  <c r="M26" i="8"/>
  <c r="N26" i="8"/>
  <c r="O26" i="8"/>
  <c r="P26" i="8"/>
  <c r="Q26" i="8"/>
  <c r="R26" i="8"/>
  <c r="S26" i="8"/>
  <c r="T26" i="8"/>
  <c r="U26" i="8"/>
  <c r="J27" i="8"/>
  <c r="K27" i="8"/>
  <c r="L27" i="8"/>
  <c r="M27" i="8"/>
  <c r="N27" i="8"/>
  <c r="O27" i="8"/>
  <c r="P27" i="8"/>
  <c r="Q27" i="8"/>
  <c r="R27" i="8"/>
  <c r="S27" i="8"/>
  <c r="T27" i="8"/>
  <c r="U27" i="8"/>
  <c r="J28" i="8"/>
  <c r="K28" i="8"/>
  <c r="L28" i="8"/>
  <c r="M28" i="8"/>
  <c r="N28" i="8"/>
  <c r="O28" i="8"/>
  <c r="P28" i="8"/>
  <c r="Q28" i="8"/>
  <c r="R28" i="8"/>
  <c r="S28" i="8"/>
  <c r="T28" i="8"/>
  <c r="U28" i="8"/>
  <c r="J29" i="8"/>
  <c r="K29" i="8"/>
  <c r="L29" i="8"/>
  <c r="M29" i="8"/>
  <c r="N29" i="8"/>
  <c r="O29" i="8"/>
  <c r="P29" i="8"/>
  <c r="Q29" i="8"/>
  <c r="R29" i="8"/>
  <c r="S29" i="8"/>
  <c r="T29" i="8"/>
  <c r="U29" i="8"/>
  <c r="J30" i="8"/>
  <c r="K30" i="8"/>
  <c r="L30" i="8"/>
  <c r="M30" i="8"/>
  <c r="N30" i="8"/>
  <c r="O30" i="8"/>
  <c r="P30" i="8"/>
  <c r="Q30" i="8"/>
  <c r="R30" i="8"/>
  <c r="S30" i="8"/>
  <c r="T30" i="8"/>
  <c r="U30" i="8"/>
  <c r="J31" i="8"/>
  <c r="K31" i="8"/>
  <c r="L31" i="8"/>
  <c r="M31" i="8"/>
  <c r="N31" i="8"/>
  <c r="O31" i="8"/>
  <c r="P31" i="8"/>
  <c r="Q31" i="8"/>
  <c r="R31" i="8"/>
  <c r="S31" i="8"/>
  <c r="T31" i="8"/>
  <c r="U31" i="8"/>
  <c r="J32" i="8"/>
  <c r="K32" i="8"/>
  <c r="L32" i="8"/>
  <c r="M32" i="8"/>
  <c r="N32" i="8"/>
  <c r="O32" i="8"/>
  <c r="P32" i="8"/>
  <c r="Q32" i="8"/>
  <c r="R32" i="8"/>
  <c r="S32" i="8"/>
  <c r="T32" i="8"/>
  <c r="U32" i="8"/>
  <c r="J33" i="8"/>
  <c r="K33" i="8"/>
  <c r="L33" i="8"/>
  <c r="M33" i="8"/>
  <c r="N33" i="8"/>
  <c r="O33" i="8"/>
  <c r="P33" i="8"/>
  <c r="Q33" i="8"/>
  <c r="R33" i="8"/>
  <c r="S33" i="8"/>
  <c r="T33" i="8"/>
  <c r="U33" i="8"/>
  <c r="J34" i="8"/>
  <c r="K34" i="8"/>
  <c r="L34" i="8"/>
  <c r="M34" i="8"/>
  <c r="N34" i="8"/>
  <c r="O34" i="8"/>
  <c r="P34" i="8"/>
  <c r="Q34" i="8"/>
  <c r="R34" i="8"/>
  <c r="S34" i="8"/>
  <c r="T34" i="8"/>
  <c r="U34" i="8"/>
  <c r="J35" i="8"/>
  <c r="K35" i="8"/>
  <c r="L35" i="8"/>
  <c r="M35" i="8"/>
  <c r="N35" i="8"/>
  <c r="O35" i="8"/>
  <c r="P35" i="8"/>
  <c r="Q35" i="8"/>
  <c r="R35" i="8"/>
  <c r="S35" i="8"/>
  <c r="T35" i="8"/>
  <c r="U35" i="8"/>
  <c r="J36" i="8"/>
  <c r="K36" i="8"/>
  <c r="L36" i="8"/>
  <c r="M36" i="8"/>
  <c r="N36" i="8"/>
  <c r="O36" i="8"/>
  <c r="P36" i="8"/>
  <c r="Q36" i="8"/>
  <c r="R36" i="8"/>
  <c r="S36" i="8"/>
  <c r="T36" i="8"/>
  <c r="U36" i="8"/>
  <c r="J37" i="8"/>
  <c r="K37" i="8"/>
  <c r="L37" i="8"/>
  <c r="M37" i="8"/>
  <c r="N37" i="8"/>
  <c r="O37" i="8"/>
  <c r="P37" i="8"/>
  <c r="Q37" i="8"/>
  <c r="R37" i="8"/>
  <c r="S37" i="8"/>
  <c r="T37" i="8"/>
  <c r="U37" i="8"/>
  <c r="J38" i="8"/>
  <c r="K38" i="8"/>
  <c r="L38" i="8"/>
  <c r="M38" i="8"/>
  <c r="N38" i="8"/>
  <c r="O38" i="8"/>
  <c r="P38" i="8"/>
  <c r="Q38" i="8"/>
  <c r="R38" i="8"/>
  <c r="S38" i="8"/>
  <c r="T38" i="8"/>
  <c r="U38" i="8"/>
  <c r="J39" i="8"/>
  <c r="K39" i="8"/>
  <c r="L39" i="8"/>
  <c r="M39" i="8"/>
  <c r="N39" i="8"/>
  <c r="O39" i="8"/>
  <c r="P39" i="8"/>
  <c r="Q39" i="8"/>
  <c r="R39" i="8"/>
  <c r="S39" i="8"/>
  <c r="T39" i="8"/>
  <c r="U39" i="8"/>
  <c r="J40" i="8"/>
  <c r="K40" i="8"/>
  <c r="L40" i="8"/>
  <c r="M40" i="8"/>
  <c r="N40" i="8"/>
  <c r="O40" i="8"/>
  <c r="P40" i="8"/>
  <c r="Q40" i="8"/>
  <c r="R40" i="8"/>
  <c r="S40" i="8"/>
  <c r="T40" i="8"/>
  <c r="U40" i="8"/>
  <c r="J41" i="8"/>
  <c r="K41" i="8"/>
  <c r="L41" i="8"/>
  <c r="M41" i="8"/>
  <c r="N41" i="8"/>
  <c r="O41" i="8"/>
  <c r="P41" i="8"/>
  <c r="Q41" i="8"/>
  <c r="R41" i="8"/>
  <c r="S41" i="8"/>
  <c r="T41" i="8"/>
  <c r="U41" i="8"/>
  <c r="K20" i="8"/>
  <c r="L20" i="8"/>
  <c r="M20" i="8"/>
  <c r="N20" i="8"/>
  <c r="O20" i="8"/>
  <c r="P20" i="8"/>
  <c r="Q20" i="8"/>
  <c r="R20" i="8"/>
  <c r="S20" i="8"/>
  <c r="T20" i="8"/>
  <c r="U20" i="8"/>
  <c r="J20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7" i="8"/>
  <c r="F26" i="8"/>
  <c r="F25" i="8"/>
  <c r="F24" i="8"/>
  <c r="F23" i="8"/>
  <c r="F22" i="8"/>
  <c r="F21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7" i="8"/>
  <c r="D26" i="8"/>
  <c r="D25" i="8"/>
  <c r="D24" i="8"/>
  <c r="D23" i="8"/>
  <c r="D22" i="8"/>
  <c r="D21" i="8"/>
  <c r="D20" i="8"/>
  <c r="J2" i="43"/>
  <c r="K2" i="43" s="1"/>
  <c r="M2" i="43"/>
  <c r="J3" i="43"/>
  <c r="K3" i="43" s="1"/>
  <c r="M3" i="43"/>
  <c r="J4" i="43"/>
  <c r="K4" i="43" s="1"/>
  <c r="M4" i="43"/>
  <c r="J5" i="43"/>
  <c r="K5" i="43"/>
  <c r="M5" i="43"/>
  <c r="J6" i="43"/>
  <c r="K6" i="43" s="1"/>
  <c r="M6" i="43"/>
  <c r="J7" i="43"/>
  <c r="K7" i="43"/>
  <c r="M7" i="43"/>
  <c r="J8" i="43"/>
  <c r="K8" i="43"/>
  <c r="M8" i="43"/>
  <c r="J9" i="43"/>
  <c r="K9" i="43"/>
  <c r="M9" i="43"/>
  <c r="J10" i="43"/>
  <c r="K10" i="43"/>
  <c r="M10" i="43"/>
  <c r="J11" i="43"/>
  <c r="K11" i="43"/>
  <c r="M11" i="43"/>
  <c r="J12" i="43"/>
  <c r="K12" i="43" s="1"/>
  <c r="M12" i="43"/>
  <c r="J13" i="43"/>
  <c r="K13" i="43" s="1"/>
  <c r="M13" i="43"/>
  <c r="J14" i="43"/>
  <c r="K14" i="43" s="1"/>
  <c r="M14" i="43"/>
  <c r="J15" i="43"/>
  <c r="K15" i="43" s="1"/>
  <c r="M15" i="43"/>
  <c r="J16" i="43"/>
  <c r="K16" i="43" s="1"/>
  <c r="M16" i="43"/>
  <c r="J17" i="43"/>
  <c r="K17" i="43"/>
  <c r="M17" i="43"/>
  <c r="J18" i="43"/>
  <c r="K18" i="43" s="1"/>
  <c r="M18" i="43"/>
  <c r="J19" i="43"/>
  <c r="K19" i="43" s="1"/>
  <c r="M19" i="43"/>
  <c r="J20" i="43"/>
  <c r="K20" i="43" s="1"/>
  <c r="M20" i="43"/>
  <c r="J21" i="43"/>
  <c r="K21" i="43"/>
  <c r="M21" i="43"/>
  <c r="J22" i="43"/>
  <c r="K22" i="43" s="1"/>
  <c r="M22" i="43"/>
  <c r="J23" i="43"/>
  <c r="K23" i="43"/>
  <c r="M23" i="43"/>
  <c r="J24" i="43"/>
  <c r="K24" i="43"/>
  <c r="M24" i="43"/>
  <c r="J25" i="43"/>
  <c r="K25" i="43"/>
  <c r="M25" i="43"/>
  <c r="J26" i="43"/>
  <c r="K26" i="43" s="1"/>
  <c r="M26" i="43"/>
  <c r="J27" i="43"/>
  <c r="K27" i="43"/>
  <c r="M27" i="43"/>
  <c r="J28" i="43"/>
  <c r="K28" i="43" s="1"/>
  <c r="M28" i="43"/>
  <c r="J29" i="43"/>
  <c r="K29" i="43" s="1"/>
  <c r="M29" i="43"/>
  <c r="J30" i="43"/>
  <c r="K30" i="43" s="1"/>
  <c r="M30" i="43"/>
  <c r="J31" i="43"/>
  <c r="K31" i="43" s="1"/>
  <c r="M31" i="43"/>
  <c r="J32" i="43"/>
  <c r="K32" i="43" s="1"/>
  <c r="M32" i="43"/>
  <c r="J33" i="43"/>
  <c r="K33" i="43"/>
  <c r="M33" i="43"/>
  <c r="J34" i="43"/>
  <c r="K34" i="43"/>
  <c r="M34" i="43"/>
  <c r="J35" i="43"/>
  <c r="K35" i="43" s="1"/>
  <c r="M35" i="43"/>
  <c r="J36" i="43"/>
  <c r="K36" i="43" s="1"/>
  <c r="M36" i="43"/>
  <c r="J37" i="43"/>
  <c r="K37" i="43"/>
  <c r="M37" i="43"/>
  <c r="J38" i="43"/>
  <c r="K38" i="43" s="1"/>
  <c r="M38" i="43"/>
  <c r="J39" i="43"/>
  <c r="K39" i="43"/>
  <c r="M39" i="43"/>
  <c r="J40" i="43"/>
  <c r="K40" i="43"/>
  <c r="M40" i="43"/>
  <c r="J41" i="43"/>
  <c r="K41" i="43"/>
  <c r="M41" i="43"/>
  <c r="J42" i="43"/>
  <c r="K42" i="43" s="1"/>
  <c r="M42" i="43"/>
  <c r="J43" i="43"/>
  <c r="K43" i="43"/>
  <c r="M43" i="43"/>
  <c r="J44" i="43"/>
  <c r="K44" i="43" s="1"/>
  <c r="M44" i="43"/>
  <c r="J45" i="43"/>
  <c r="K45" i="43" s="1"/>
  <c r="M45" i="43"/>
  <c r="J46" i="43"/>
  <c r="K46" i="43" s="1"/>
  <c r="M46" i="43"/>
  <c r="J47" i="43"/>
  <c r="K47" i="43" s="1"/>
  <c r="M47" i="43"/>
  <c r="J48" i="43"/>
  <c r="K48" i="43" s="1"/>
  <c r="M48" i="43"/>
  <c r="J49" i="43"/>
  <c r="K49" i="43"/>
  <c r="M49" i="43"/>
  <c r="J50" i="43"/>
  <c r="K50" i="43" s="1"/>
  <c r="M50" i="43"/>
  <c r="J51" i="43"/>
  <c r="K51" i="43"/>
  <c r="M51" i="43"/>
  <c r="J52" i="43"/>
  <c r="K52" i="43" s="1"/>
  <c r="M52" i="43"/>
  <c r="J53" i="43"/>
  <c r="K53" i="43"/>
  <c r="M53" i="43"/>
  <c r="J54" i="43"/>
  <c r="K54" i="43" s="1"/>
  <c r="M54" i="43"/>
  <c r="J55" i="43"/>
  <c r="K55" i="43"/>
  <c r="M55" i="43"/>
  <c r="J56" i="43"/>
  <c r="K56" i="43"/>
  <c r="M56" i="43"/>
  <c r="J57" i="43"/>
  <c r="K57" i="43"/>
  <c r="M57" i="43"/>
  <c r="I3" i="1"/>
  <c r="U77" i="1"/>
  <c r="T77" i="1"/>
  <c r="S77" i="1"/>
  <c r="R77" i="1"/>
  <c r="Q77" i="1"/>
  <c r="P77" i="1"/>
  <c r="O77" i="1"/>
  <c r="N77" i="1"/>
  <c r="M77" i="1"/>
  <c r="L77" i="1"/>
  <c r="K77" i="1"/>
  <c r="J77" i="1"/>
  <c r="U76" i="1"/>
  <c r="T76" i="1"/>
  <c r="S76" i="1"/>
  <c r="R76" i="1"/>
  <c r="Q76" i="1"/>
  <c r="P76" i="1"/>
  <c r="O76" i="1"/>
  <c r="N76" i="1"/>
  <c r="M76" i="1"/>
  <c r="L76" i="1"/>
  <c r="K76" i="1"/>
  <c r="J76" i="1"/>
  <c r="U75" i="1"/>
  <c r="T75" i="1"/>
  <c r="S75" i="1"/>
  <c r="R75" i="1"/>
  <c r="Q75" i="1"/>
  <c r="P75" i="1"/>
  <c r="O75" i="1"/>
  <c r="N75" i="1"/>
  <c r="M75" i="1"/>
  <c r="L75" i="1"/>
  <c r="K75" i="1"/>
  <c r="J75" i="1"/>
  <c r="U74" i="1"/>
  <c r="T74" i="1"/>
  <c r="S74" i="1"/>
  <c r="R74" i="1"/>
  <c r="Q74" i="1"/>
  <c r="P74" i="1"/>
  <c r="O74" i="1"/>
  <c r="N74" i="1"/>
  <c r="M74" i="1"/>
  <c r="L74" i="1"/>
  <c r="K74" i="1"/>
  <c r="J74" i="1"/>
  <c r="U73" i="1"/>
  <c r="T73" i="1"/>
  <c r="S73" i="1"/>
  <c r="R73" i="1"/>
  <c r="Q73" i="1"/>
  <c r="P73" i="1"/>
  <c r="O73" i="1"/>
  <c r="N73" i="1"/>
  <c r="M73" i="1"/>
  <c r="L73" i="1"/>
  <c r="K73" i="1"/>
  <c r="J73" i="1"/>
  <c r="U72" i="1"/>
  <c r="T72" i="1"/>
  <c r="S72" i="1"/>
  <c r="R72" i="1"/>
  <c r="Q72" i="1"/>
  <c r="P72" i="1"/>
  <c r="O72" i="1"/>
  <c r="N72" i="1"/>
  <c r="M72" i="1"/>
  <c r="L72" i="1"/>
  <c r="K72" i="1"/>
  <c r="J72" i="1"/>
  <c r="U71" i="1"/>
  <c r="T71" i="1"/>
  <c r="S71" i="1"/>
  <c r="R71" i="1"/>
  <c r="Q71" i="1"/>
  <c r="P71" i="1"/>
  <c r="O71" i="1"/>
  <c r="N71" i="1"/>
  <c r="M71" i="1"/>
  <c r="L71" i="1"/>
  <c r="K71" i="1"/>
  <c r="J71" i="1"/>
  <c r="U70" i="1"/>
  <c r="T70" i="1"/>
  <c r="S70" i="1"/>
  <c r="R70" i="1"/>
  <c r="Q70" i="1"/>
  <c r="P70" i="1"/>
  <c r="O70" i="1"/>
  <c r="N70" i="1"/>
  <c r="M70" i="1"/>
  <c r="L70" i="1"/>
  <c r="K70" i="1"/>
  <c r="J70" i="1"/>
  <c r="U69" i="1"/>
  <c r="T69" i="1"/>
  <c r="S69" i="1"/>
  <c r="R69" i="1"/>
  <c r="Q69" i="1"/>
  <c r="P69" i="1"/>
  <c r="O69" i="1"/>
  <c r="N69" i="1"/>
  <c r="M69" i="1"/>
  <c r="L69" i="1"/>
  <c r="K69" i="1"/>
  <c r="J69" i="1"/>
  <c r="U68" i="1"/>
  <c r="T68" i="1"/>
  <c r="S68" i="1"/>
  <c r="R68" i="1"/>
  <c r="Q68" i="1"/>
  <c r="P68" i="1"/>
  <c r="O68" i="1"/>
  <c r="N68" i="1"/>
  <c r="M68" i="1"/>
  <c r="L68" i="1"/>
  <c r="K68" i="1"/>
  <c r="J68" i="1"/>
  <c r="U67" i="1"/>
  <c r="T67" i="1"/>
  <c r="S67" i="1"/>
  <c r="R67" i="1"/>
  <c r="Q67" i="1"/>
  <c r="P67" i="1"/>
  <c r="O67" i="1"/>
  <c r="N67" i="1"/>
  <c r="M67" i="1"/>
  <c r="L67" i="1"/>
  <c r="K67" i="1"/>
  <c r="J67" i="1"/>
  <c r="U66" i="1"/>
  <c r="T66" i="1"/>
  <c r="S66" i="1"/>
  <c r="R66" i="1"/>
  <c r="Q66" i="1"/>
  <c r="P66" i="1"/>
  <c r="O66" i="1"/>
  <c r="N66" i="1"/>
  <c r="M66" i="1"/>
  <c r="L66" i="1"/>
  <c r="K66" i="1"/>
  <c r="J66" i="1"/>
  <c r="U65" i="1"/>
  <c r="T65" i="1"/>
  <c r="S65" i="1"/>
  <c r="R65" i="1"/>
  <c r="Q65" i="1"/>
  <c r="P65" i="1"/>
  <c r="O65" i="1"/>
  <c r="N65" i="1"/>
  <c r="M65" i="1"/>
  <c r="L65" i="1"/>
  <c r="K65" i="1"/>
  <c r="J65" i="1"/>
  <c r="U64" i="1"/>
  <c r="T64" i="1"/>
  <c r="S64" i="1"/>
  <c r="R64" i="1"/>
  <c r="Q64" i="1"/>
  <c r="P64" i="1"/>
  <c r="O64" i="1"/>
  <c r="N64" i="1"/>
  <c r="M64" i="1"/>
  <c r="L64" i="1"/>
  <c r="K64" i="1"/>
  <c r="J64" i="1"/>
  <c r="U15" i="39"/>
  <c r="T15" i="39"/>
  <c r="S15" i="39"/>
  <c r="R15" i="39"/>
  <c r="Q15" i="39"/>
  <c r="P15" i="39"/>
  <c r="O15" i="39"/>
  <c r="N15" i="39"/>
  <c r="M15" i="39"/>
  <c r="L15" i="39"/>
  <c r="K15" i="39"/>
  <c r="J15" i="39"/>
  <c r="U15" i="33"/>
  <c r="T15" i="33"/>
  <c r="S15" i="33"/>
  <c r="R15" i="33"/>
  <c r="Q15" i="33"/>
  <c r="P15" i="33"/>
  <c r="O15" i="33"/>
  <c r="N15" i="33"/>
  <c r="M15" i="33"/>
  <c r="L15" i="33"/>
  <c r="K15" i="33"/>
  <c r="J15" i="33"/>
  <c r="U15" i="31"/>
  <c r="T15" i="31"/>
  <c r="S15" i="31"/>
  <c r="R15" i="31"/>
  <c r="Q15" i="31"/>
  <c r="P15" i="31"/>
  <c r="O15" i="31"/>
  <c r="N15" i="31"/>
  <c r="M15" i="31"/>
  <c r="L15" i="31"/>
  <c r="K15" i="31"/>
  <c r="J15" i="31"/>
  <c r="U15" i="25"/>
  <c r="T15" i="25"/>
  <c r="S15" i="25"/>
  <c r="R15" i="25"/>
  <c r="Q15" i="25"/>
  <c r="P15" i="25"/>
  <c r="O15" i="25"/>
  <c r="N15" i="25"/>
  <c r="M15" i="25"/>
  <c r="L15" i="25"/>
  <c r="K15" i="25"/>
  <c r="J15" i="25"/>
  <c r="U15" i="23"/>
  <c r="T15" i="23"/>
  <c r="S15" i="23"/>
  <c r="R15" i="23"/>
  <c r="Q15" i="23"/>
  <c r="P15" i="23"/>
  <c r="O15" i="23"/>
  <c r="N15" i="23"/>
  <c r="M15" i="23"/>
  <c r="L15" i="23"/>
  <c r="K15" i="23"/>
  <c r="J15" i="23"/>
  <c r="U15" i="19"/>
  <c r="T15" i="19"/>
  <c r="S15" i="19"/>
  <c r="R15" i="19"/>
  <c r="Q15" i="19"/>
  <c r="P15" i="19"/>
  <c r="O15" i="19"/>
  <c r="N15" i="19"/>
  <c r="M15" i="19"/>
  <c r="L15" i="19"/>
  <c r="K15" i="19"/>
  <c r="J15" i="19"/>
  <c r="U15" i="8"/>
  <c r="T15" i="8"/>
  <c r="S15" i="8"/>
  <c r="R15" i="8"/>
  <c r="Q15" i="8"/>
  <c r="P15" i="8"/>
  <c r="O15" i="8"/>
  <c r="N15" i="8"/>
  <c r="M15" i="8"/>
  <c r="L15" i="8"/>
  <c r="K15" i="8"/>
  <c r="J15" i="8"/>
  <c r="J13" i="8"/>
  <c r="D27" i="7"/>
  <c r="C32" i="8" l="1"/>
  <c r="C33" i="8"/>
  <c r="F46" i="8"/>
  <c r="C20" i="8" s="1"/>
  <c r="C27" i="8"/>
  <c r="C30" i="8"/>
  <c r="G4" i="41"/>
  <c r="G27" i="41" s="1"/>
  <c r="BC28" i="41" s="1"/>
  <c r="K4" i="41"/>
  <c r="K27" i="41" s="1"/>
  <c r="O4" i="41"/>
  <c r="O27" i="41" s="1"/>
  <c r="AZ4" i="41"/>
  <c r="BA4" i="41"/>
  <c r="BA27" i="41" s="1"/>
  <c r="BC4" i="41"/>
  <c r="G5" i="41"/>
  <c r="K5" i="41"/>
  <c r="O5" i="41"/>
  <c r="AZ5" i="41"/>
  <c r="BA5" i="41"/>
  <c r="BC5" i="41"/>
  <c r="G6" i="41"/>
  <c r="K6" i="41"/>
  <c r="BC6" i="41" s="1"/>
  <c r="O6" i="41"/>
  <c r="L22" i="39" s="1"/>
  <c r="L46" i="39" s="1"/>
  <c r="AZ6" i="41"/>
  <c r="BA6" i="41"/>
  <c r="G7" i="41"/>
  <c r="G29" i="41" s="1"/>
  <c r="K7" i="41"/>
  <c r="O7" i="41"/>
  <c r="L23" i="39" s="1"/>
  <c r="AZ7" i="41"/>
  <c r="AZ29" i="41" s="1"/>
  <c r="BA7" i="41"/>
  <c r="G8" i="41"/>
  <c r="K8" i="41"/>
  <c r="O8" i="41"/>
  <c r="L24" i="39" s="1"/>
  <c r="AZ8" i="41"/>
  <c r="BA8" i="41"/>
  <c r="BC8" i="41"/>
  <c r="G9" i="41"/>
  <c r="J25" i="39" s="1"/>
  <c r="K9" i="41"/>
  <c r="O9" i="41"/>
  <c r="AZ9" i="41"/>
  <c r="BA9" i="41"/>
  <c r="G10" i="41"/>
  <c r="BC10" i="41" s="1"/>
  <c r="K10" i="41"/>
  <c r="O10" i="41"/>
  <c r="AZ10" i="41"/>
  <c r="BA10" i="41"/>
  <c r="G11" i="41"/>
  <c r="BC11" i="41" s="1"/>
  <c r="K11" i="41"/>
  <c r="O11" i="41"/>
  <c r="AZ11" i="41"/>
  <c r="AZ27" i="41" s="1"/>
  <c r="BA11" i="41"/>
  <c r="G12" i="41"/>
  <c r="K12" i="41"/>
  <c r="O12" i="41"/>
  <c r="BC12" i="41" s="1"/>
  <c r="AZ12" i="41"/>
  <c r="BA12" i="41"/>
  <c r="G13" i="41"/>
  <c r="K13" i="41"/>
  <c r="O13" i="41"/>
  <c r="AZ13" i="41"/>
  <c r="BA13" i="41"/>
  <c r="BC13" i="41"/>
  <c r="G14" i="41"/>
  <c r="K14" i="41"/>
  <c r="BC14" i="41" s="1"/>
  <c r="O14" i="41"/>
  <c r="L30" i="39" s="1"/>
  <c r="AZ14" i="41"/>
  <c r="BA14" i="41"/>
  <c r="G15" i="41"/>
  <c r="BC15" i="41" s="1"/>
  <c r="K15" i="41"/>
  <c r="O15" i="41"/>
  <c r="L31" i="39" s="1"/>
  <c r="AZ15" i="41"/>
  <c r="AZ31" i="41" s="1"/>
  <c r="BA15" i="41"/>
  <c r="G16" i="41"/>
  <c r="K16" i="41"/>
  <c r="O16" i="41"/>
  <c r="L32" i="39" s="1"/>
  <c r="AZ16" i="41"/>
  <c r="BA16" i="41"/>
  <c r="BC16" i="41"/>
  <c r="G17" i="41"/>
  <c r="J33" i="39" s="1"/>
  <c r="H33" i="39" s="1"/>
  <c r="K17" i="41"/>
  <c r="O17" i="41"/>
  <c r="AZ17" i="41"/>
  <c r="BA17" i="41"/>
  <c r="G18" i="41"/>
  <c r="BC18" i="41" s="1"/>
  <c r="K18" i="41"/>
  <c r="O18" i="41"/>
  <c r="AZ18" i="41"/>
  <c r="BA18" i="41"/>
  <c r="G19" i="41"/>
  <c r="BC19" i="41" s="1"/>
  <c r="K19" i="41"/>
  <c r="O19" i="41"/>
  <c r="AZ19" i="41"/>
  <c r="BA19" i="41"/>
  <c r="G20" i="41"/>
  <c r="K20" i="41"/>
  <c r="O20" i="41"/>
  <c r="AZ20" i="41"/>
  <c r="BA20" i="41"/>
  <c r="BC20" i="41"/>
  <c r="G21" i="41"/>
  <c r="K21" i="41"/>
  <c r="O21" i="41"/>
  <c r="AZ21" i="41"/>
  <c r="BA21" i="41"/>
  <c r="BC21" i="41"/>
  <c r="G22" i="41"/>
  <c r="K22" i="41"/>
  <c r="K38" i="39" s="1"/>
  <c r="O22" i="41"/>
  <c r="L38" i="39" s="1"/>
  <c r="AZ22" i="41"/>
  <c r="BA22" i="41"/>
  <c r="G23" i="41"/>
  <c r="BC23" i="41" s="1"/>
  <c r="K23" i="41"/>
  <c r="O23" i="41"/>
  <c r="L39" i="39" s="1"/>
  <c r="AZ23" i="41"/>
  <c r="BA23" i="41"/>
  <c r="G24" i="41"/>
  <c r="K24" i="41"/>
  <c r="O24" i="41"/>
  <c r="L40" i="39" s="1"/>
  <c r="AZ24" i="41"/>
  <c r="BA24" i="41"/>
  <c r="BC24" i="41"/>
  <c r="G25" i="41"/>
  <c r="J41" i="39" s="1"/>
  <c r="K25" i="41"/>
  <c r="O25" i="41"/>
  <c r="AZ25" i="41"/>
  <c r="BA25" i="41"/>
  <c r="AZ26" i="41"/>
  <c r="BA26" i="41"/>
  <c r="BC26" i="41"/>
  <c r="D27" i="41"/>
  <c r="E27" i="41"/>
  <c r="H27" i="41"/>
  <c r="K16" i="39" s="1"/>
  <c r="I27" i="41"/>
  <c r="L27" i="41"/>
  <c r="L16" i="39" s="1"/>
  <c r="M27" i="41"/>
  <c r="P27" i="41"/>
  <c r="Q27" i="41"/>
  <c r="T27" i="41"/>
  <c r="U27" i="41"/>
  <c r="W27" i="41"/>
  <c r="X27" i="41"/>
  <c r="Y27" i="41"/>
  <c r="AA27" i="41"/>
  <c r="AB27" i="41"/>
  <c r="AC27" i="41"/>
  <c r="AE27" i="41"/>
  <c r="AF27" i="41"/>
  <c r="AG27" i="41"/>
  <c r="AI27" i="41"/>
  <c r="AJ27" i="41"/>
  <c r="R16" i="39" s="1"/>
  <c r="AK27" i="41"/>
  <c r="AM27" i="41"/>
  <c r="AN27" i="41"/>
  <c r="AO27" i="41"/>
  <c r="AQ27" i="41"/>
  <c r="AR27" i="41"/>
  <c r="T16" i="39" s="1"/>
  <c r="T105" i="39" s="1"/>
  <c r="AS27" i="41"/>
  <c r="AU27" i="41"/>
  <c r="AV27" i="41"/>
  <c r="AW27" i="41"/>
  <c r="AY27" i="41"/>
  <c r="BA28" i="41"/>
  <c r="D29" i="41"/>
  <c r="H29" i="41"/>
  <c r="L29" i="41"/>
  <c r="L32" i="41" s="1"/>
  <c r="P29" i="41"/>
  <c r="T29" i="41"/>
  <c r="W29" i="41"/>
  <c r="X29" i="41"/>
  <c r="AA29" i="41"/>
  <c r="AA32" i="41" s="1"/>
  <c r="AB29" i="41"/>
  <c r="AE29" i="41"/>
  <c r="AF29" i="41"/>
  <c r="AF32" i="41" s="1"/>
  <c r="AI29" i="41"/>
  <c r="AI32" i="41" s="1"/>
  <c r="AJ29" i="41"/>
  <c r="AM29" i="41"/>
  <c r="AN29" i="41"/>
  <c r="AN32" i="41" s="1"/>
  <c r="AQ29" i="41"/>
  <c r="AR29" i="41"/>
  <c r="AU29" i="41"/>
  <c r="AU32" i="41" s="1"/>
  <c r="AV29" i="41"/>
  <c r="AV32" i="41" s="1"/>
  <c r="AY29" i="41"/>
  <c r="D31" i="41"/>
  <c r="H31" i="41"/>
  <c r="L31" i="41"/>
  <c r="O31" i="41"/>
  <c r="P31" i="41"/>
  <c r="T31" i="41"/>
  <c r="T32" i="41" s="1"/>
  <c r="W31" i="41"/>
  <c r="X31" i="41"/>
  <c r="X32" i="41" s="1"/>
  <c r="AA31" i="41"/>
  <c r="AB31" i="41"/>
  <c r="AE31" i="41"/>
  <c r="AF31" i="41"/>
  <c r="AI31" i="41"/>
  <c r="AJ31" i="41"/>
  <c r="AM31" i="41"/>
  <c r="AN31" i="41"/>
  <c r="AQ31" i="41"/>
  <c r="AR31" i="41"/>
  <c r="AU31" i="41"/>
  <c r="AV31" i="41"/>
  <c r="AY31" i="41"/>
  <c r="D32" i="41"/>
  <c r="H32" i="41"/>
  <c r="P32" i="41"/>
  <c r="W32" i="41"/>
  <c r="AB32" i="41"/>
  <c r="AE32" i="41"/>
  <c r="AJ32" i="41"/>
  <c r="AM32" i="41"/>
  <c r="AQ32" i="41"/>
  <c r="AR32" i="41"/>
  <c r="AY32" i="41"/>
  <c r="A1" i="40"/>
  <c r="B1" i="40"/>
  <c r="A1" i="41" s="1"/>
  <c r="P1" i="40"/>
  <c r="A2" i="40"/>
  <c r="Q2" i="40"/>
  <c r="F5" i="40"/>
  <c r="F7" i="40" s="1"/>
  <c r="H5" i="40"/>
  <c r="H13" i="40" s="1"/>
  <c r="H21" i="40" s="1"/>
  <c r="I5" i="40"/>
  <c r="I15" i="40" s="1"/>
  <c r="P5" i="40"/>
  <c r="P13" i="40" s="1"/>
  <c r="Q5" i="40"/>
  <c r="Q46" i="40" s="1"/>
  <c r="R9" i="40"/>
  <c r="S9" i="40"/>
  <c r="H11" i="40"/>
  <c r="R11" i="40"/>
  <c r="S13" i="40"/>
  <c r="I14" i="40"/>
  <c r="R14" i="40"/>
  <c r="S15" i="40"/>
  <c r="H16" i="40"/>
  <c r="R16" i="40"/>
  <c r="S16" i="40"/>
  <c r="Q17" i="40"/>
  <c r="I19" i="40"/>
  <c r="R19" i="40"/>
  <c r="S19" i="40"/>
  <c r="R20" i="40"/>
  <c r="S20" i="40"/>
  <c r="R23" i="40"/>
  <c r="H24" i="40"/>
  <c r="R24" i="40"/>
  <c r="S24" i="40"/>
  <c r="I25" i="40"/>
  <c r="R25" i="40"/>
  <c r="S25" i="40"/>
  <c r="R26" i="40"/>
  <c r="S26" i="40"/>
  <c r="H27" i="40"/>
  <c r="R27" i="40"/>
  <c r="S27" i="40"/>
  <c r="I28" i="40"/>
  <c r="R28" i="40"/>
  <c r="S28" i="40"/>
  <c r="R31" i="40"/>
  <c r="S31" i="40"/>
  <c r="H32" i="40"/>
  <c r="R32" i="40"/>
  <c r="R33" i="40" s="1"/>
  <c r="S32" i="40"/>
  <c r="I35" i="40"/>
  <c r="R35" i="40"/>
  <c r="R37" i="40" s="1"/>
  <c r="S35" i="40"/>
  <c r="R36" i="40"/>
  <c r="S36" i="40"/>
  <c r="H40" i="40"/>
  <c r="H43" i="40" s="1"/>
  <c r="R40" i="40"/>
  <c r="S40" i="40"/>
  <c r="H41" i="40"/>
  <c r="I41" i="40"/>
  <c r="R41" i="40"/>
  <c r="S41" i="40"/>
  <c r="H42" i="40"/>
  <c r="R42" i="40"/>
  <c r="S42" i="40"/>
  <c r="H45" i="40"/>
  <c r="H48" i="40" s="1"/>
  <c r="S45" i="40"/>
  <c r="S46" i="40"/>
  <c r="F47" i="40"/>
  <c r="I47" i="40"/>
  <c r="S47" i="40"/>
  <c r="C1" i="39"/>
  <c r="B2" i="39"/>
  <c r="I3" i="39"/>
  <c r="J13" i="39"/>
  <c r="K13" i="39"/>
  <c r="L13" i="39"/>
  <c r="M13" i="39"/>
  <c r="M14" i="39" s="1"/>
  <c r="N13" i="39"/>
  <c r="O13" i="39"/>
  <c r="P13" i="39"/>
  <c r="Q13" i="39"/>
  <c r="R13" i="39"/>
  <c r="S13" i="39"/>
  <c r="S14" i="39" s="1"/>
  <c r="T13" i="39"/>
  <c r="U13" i="39"/>
  <c r="W13" i="39"/>
  <c r="J14" i="39"/>
  <c r="X14" i="39"/>
  <c r="X15" i="39"/>
  <c r="J16" i="39"/>
  <c r="J103" i="39" s="1"/>
  <c r="R45" i="40" s="1"/>
  <c r="M16" i="39"/>
  <c r="M103" i="39" s="1"/>
  <c r="N16" i="39"/>
  <c r="N103" i="39" s="1"/>
  <c r="O16" i="39"/>
  <c r="P16" i="39"/>
  <c r="P105" i="39" s="1"/>
  <c r="Q16" i="39"/>
  <c r="Q105" i="39" s="1"/>
  <c r="S16" i="39"/>
  <c r="S105" i="39" s="1"/>
  <c r="U16" i="39"/>
  <c r="U103" i="39" s="1"/>
  <c r="X16" i="39"/>
  <c r="J20" i="39"/>
  <c r="K20" i="39"/>
  <c r="L20" i="39"/>
  <c r="M20" i="39"/>
  <c r="N20" i="39"/>
  <c r="O20" i="39"/>
  <c r="P20" i="39"/>
  <c r="Q20" i="39"/>
  <c r="R20" i="39"/>
  <c r="S20" i="39"/>
  <c r="T20" i="39"/>
  <c r="T44" i="39" s="1"/>
  <c r="U20" i="39"/>
  <c r="J21" i="39"/>
  <c r="H21" i="39" s="1"/>
  <c r="K21" i="39"/>
  <c r="L21" i="39"/>
  <c r="M21" i="39"/>
  <c r="N21" i="39"/>
  <c r="O21" i="39"/>
  <c r="P21" i="39"/>
  <c r="Q21" i="39"/>
  <c r="R21" i="39"/>
  <c r="S21" i="39"/>
  <c r="T21" i="39"/>
  <c r="U21" i="39"/>
  <c r="J22" i="39"/>
  <c r="K22" i="39"/>
  <c r="M22" i="39"/>
  <c r="N22" i="39"/>
  <c r="O22" i="39"/>
  <c r="P22" i="39"/>
  <c r="Q22" i="39"/>
  <c r="Q44" i="39" s="1"/>
  <c r="R22" i="39"/>
  <c r="S22" i="39"/>
  <c r="T22" i="39"/>
  <c r="U22" i="39"/>
  <c r="J23" i="39"/>
  <c r="K23" i="39"/>
  <c r="M23" i="39"/>
  <c r="N23" i="39"/>
  <c r="O23" i="39"/>
  <c r="P23" i="39"/>
  <c r="Q23" i="39"/>
  <c r="R23" i="39"/>
  <c r="S23" i="39"/>
  <c r="T23" i="39"/>
  <c r="U23" i="39"/>
  <c r="J24" i="39"/>
  <c r="K24" i="39"/>
  <c r="M24" i="39"/>
  <c r="N24" i="39"/>
  <c r="O24" i="39"/>
  <c r="P24" i="39"/>
  <c r="Q24" i="39"/>
  <c r="R24" i="39"/>
  <c r="S24" i="39"/>
  <c r="T24" i="39"/>
  <c r="U24" i="39"/>
  <c r="K25" i="39"/>
  <c r="L25" i="39"/>
  <c r="M25" i="39"/>
  <c r="N25" i="39"/>
  <c r="O25" i="39"/>
  <c r="P25" i="39"/>
  <c r="Q25" i="39"/>
  <c r="R25" i="39"/>
  <c r="S25" i="39"/>
  <c r="T25" i="39"/>
  <c r="U25" i="39"/>
  <c r="J26" i="39"/>
  <c r="K26" i="39"/>
  <c r="L26" i="39"/>
  <c r="M26" i="39"/>
  <c r="N26" i="39"/>
  <c r="O26" i="39"/>
  <c r="P26" i="39"/>
  <c r="Q26" i="39"/>
  <c r="R26" i="39"/>
  <c r="S26" i="39"/>
  <c r="T26" i="39"/>
  <c r="U26" i="39"/>
  <c r="K27" i="39"/>
  <c r="L27" i="39"/>
  <c r="M27" i="39"/>
  <c r="N27" i="39"/>
  <c r="O27" i="39"/>
  <c r="P27" i="39"/>
  <c r="Q27" i="39"/>
  <c r="R27" i="39"/>
  <c r="S27" i="39"/>
  <c r="T27" i="39"/>
  <c r="U27" i="39"/>
  <c r="J28" i="39"/>
  <c r="K28" i="39"/>
  <c r="L28" i="39"/>
  <c r="M28" i="39"/>
  <c r="N28" i="39"/>
  <c r="O28" i="39"/>
  <c r="P28" i="39"/>
  <c r="P43" i="39" s="1"/>
  <c r="Q28" i="39"/>
  <c r="R28" i="39"/>
  <c r="S28" i="39"/>
  <c r="T28" i="39"/>
  <c r="U28" i="39"/>
  <c r="J29" i="39"/>
  <c r="K29" i="39"/>
  <c r="L29" i="39"/>
  <c r="M29" i="39"/>
  <c r="N29" i="39"/>
  <c r="O29" i="39"/>
  <c r="P29" i="39"/>
  <c r="Q29" i="39"/>
  <c r="R29" i="39"/>
  <c r="S29" i="39"/>
  <c r="T29" i="39"/>
  <c r="U29" i="39"/>
  <c r="J30" i="39"/>
  <c r="K30" i="39"/>
  <c r="M30" i="39"/>
  <c r="N30" i="39"/>
  <c r="O30" i="39"/>
  <c r="P30" i="39"/>
  <c r="Q30" i="39"/>
  <c r="R30" i="39"/>
  <c r="S30" i="39"/>
  <c r="T30" i="39"/>
  <c r="U30" i="39"/>
  <c r="J31" i="39"/>
  <c r="K31" i="39"/>
  <c r="M31" i="39"/>
  <c r="N31" i="39"/>
  <c r="O31" i="39"/>
  <c r="P31" i="39"/>
  <c r="Q31" i="39"/>
  <c r="R31" i="39"/>
  <c r="S31" i="39"/>
  <c r="T31" i="39"/>
  <c r="U31" i="39"/>
  <c r="J32" i="39"/>
  <c r="K32" i="39"/>
  <c r="M32" i="39"/>
  <c r="N32" i="39"/>
  <c r="O32" i="39"/>
  <c r="P32" i="39"/>
  <c r="Q32" i="39"/>
  <c r="R32" i="39"/>
  <c r="S32" i="39"/>
  <c r="T32" i="39"/>
  <c r="U32" i="39"/>
  <c r="K33" i="39"/>
  <c r="L33" i="39"/>
  <c r="M33" i="39"/>
  <c r="N33" i="39"/>
  <c r="O33" i="39"/>
  <c r="P33" i="39"/>
  <c r="Q33" i="39"/>
  <c r="R33" i="39"/>
  <c r="S33" i="39"/>
  <c r="T33" i="39"/>
  <c r="U33" i="39"/>
  <c r="J34" i="39"/>
  <c r="K34" i="39"/>
  <c r="L34" i="39"/>
  <c r="M34" i="39"/>
  <c r="N34" i="39"/>
  <c r="O34" i="39"/>
  <c r="P34" i="39"/>
  <c r="Q34" i="39"/>
  <c r="R34" i="39"/>
  <c r="S34" i="39"/>
  <c r="T34" i="39"/>
  <c r="U34" i="39"/>
  <c r="K35" i="39"/>
  <c r="L35" i="39"/>
  <c r="M35" i="39"/>
  <c r="N35" i="39"/>
  <c r="O35" i="39"/>
  <c r="P35" i="39"/>
  <c r="Q35" i="39"/>
  <c r="R35" i="39"/>
  <c r="S35" i="39"/>
  <c r="T35" i="39"/>
  <c r="U35" i="39"/>
  <c r="J36" i="39"/>
  <c r="K36" i="39"/>
  <c r="L36" i="39"/>
  <c r="M36" i="39"/>
  <c r="N36" i="39"/>
  <c r="O36" i="39"/>
  <c r="P36" i="39"/>
  <c r="Q36" i="39"/>
  <c r="R36" i="39"/>
  <c r="S36" i="39"/>
  <c r="T36" i="39"/>
  <c r="U36" i="39"/>
  <c r="J37" i="39"/>
  <c r="H37" i="39" s="1"/>
  <c r="K37" i="39"/>
  <c r="L37" i="39"/>
  <c r="M37" i="39"/>
  <c r="N37" i="39"/>
  <c r="O37" i="39"/>
  <c r="P37" i="39"/>
  <c r="Q37" i="39"/>
  <c r="R37" i="39"/>
  <c r="S37" i="39"/>
  <c r="T37" i="39"/>
  <c r="U37" i="39"/>
  <c r="J38" i="39"/>
  <c r="M38" i="39"/>
  <c r="N38" i="39"/>
  <c r="O38" i="39"/>
  <c r="P38" i="39"/>
  <c r="Q38" i="39"/>
  <c r="R38" i="39"/>
  <c r="S38" i="39"/>
  <c r="T38" i="39"/>
  <c r="U38" i="39"/>
  <c r="J39" i="39"/>
  <c r="K39" i="39"/>
  <c r="M39" i="39"/>
  <c r="N39" i="39"/>
  <c r="O39" i="39"/>
  <c r="P39" i="39"/>
  <c r="Q39" i="39"/>
  <c r="R39" i="39"/>
  <c r="S39" i="39"/>
  <c r="T39" i="39"/>
  <c r="U39" i="39"/>
  <c r="J40" i="39"/>
  <c r="K40" i="39"/>
  <c r="M40" i="39"/>
  <c r="N40" i="39"/>
  <c r="O40" i="39"/>
  <c r="P40" i="39"/>
  <c r="Q40" i="39"/>
  <c r="R40" i="39"/>
  <c r="S40" i="39"/>
  <c r="T40" i="39"/>
  <c r="U40" i="39"/>
  <c r="K41" i="39"/>
  <c r="L41" i="39"/>
  <c r="M41" i="39"/>
  <c r="N41" i="39"/>
  <c r="O41" i="39"/>
  <c r="P41" i="39"/>
  <c r="Q41" i="39"/>
  <c r="R41" i="39"/>
  <c r="S41" i="39"/>
  <c r="T41" i="39"/>
  <c r="U41" i="39"/>
  <c r="C42" i="39"/>
  <c r="C43" i="39"/>
  <c r="C44" i="39"/>
  <c r="H51" i="39"/>
  <c r="W51" i="39"/>
  <c r="H56" i="39"/>
  <c r="H78" i="39" s="1"/>
  <c r="H58" i="39"/>
  <c r="H59" i="39"/>
  <c r="H60" i="39"/>
  <c r="H61" i="39"/>
  <c r="H62" i="39"/>
  <c r="H63" i="39"/>
  <c r="H64" i="39"/>
  <c r="H65" i="39"/>
  <c r="H66" i="39"/>
  <c r="H67" i="39"/>
  <c r="H68" i="39"/>
  <c r="H69" i="39"/>
  <c r="H70" i="39"/>
  <c r="H71" i="39"/>
  <c r="H72" i="39"/>
  <c r="H73" i="39"/>
  <c r="H74" i="39"/>
  <c r="H75" i="39"/>
  <c r="H76" i="39"/>
  <c r="H77" i="39"/>
  <c r="W78" i="39"/>
  <c r="H82" i="39"/>
  <c r="H83" i="39"/>
  <c r="H84" i="39"/>
  <c r="C131" i="39" s="1"/>
  <c r="H85" i="39"/>
  <c r="H86" i="39"/>
  <c r="H87" i="39"/>
  <c r="H88" i="39"/>
  <c r="H89" i="39"/>
  <c r="H90" i="39"/>
  <c r="J91" i="39"/>
  <c r="K91" i="39"/>
  <c r="L91" i="39"/>
  <c r="M91" i="39"/>
  <c r="N91" i="39"/>
  <c r="O91" i="39"/>
  <c r="P91" i="39"/>
  <c r="H91" i="39" s="1"/>
  <c r="Q91" i="39"/>
  <c r="R91" i="39"/>
  <c r="S91" i="39"/>
  <c r="T91" i="39"/>
  <c r="U91" i="39"/>
  <c r="H92" i="39"/>
  <c r="H93" i="39"/>
  <c r="J94" i="39"/>
  <c r="K94" i="39"/>
  <c r="L94" i="39"/>
  <c r="M94" i="39"/>
  <c r="N94" i="39"/>
  <c r="O94" i="39"/>
  <c r="P94" i="39"/>
  <c r="Q94" i="39"/>
  <c r="R94" i="39"/>
  <c r="S94" i="39"/>
  <c r="H94" i="39" s="1"/>
  <c r="T94" i="39"/>
  <c r="U94" i="39"/>
  <c r="J95" i="39"/>
  <c r="H95" i="39" s="1"/>
  <c r="C134" i="39" s="1"/>
  <c r="K95" i="39"/>
  <c r="L95" i="39"/>
  <c r="M95" i="39"/>
  <c r="N95" i="39"/>
  <c r="O95" i="39"/>
  <c r="P95" i="39"/>
  <c r="Q95" i="39"/>
  <c r="R95" i="39"/>
  <c r="S95" i="39"/>
  <c r="T95" i="39"/>
  <c r="U95" i="39"/>
  <c r="H96" i="39"/>
  <c r="H97" i="39"/>
  <c r="H98" i="39"/>
  <c r="H99" i="39"/>
  <c r="C136" i="39" s="1"/>
  <c r="H100" i="39"/>
  <c r="H101" i="39"/>
  <c r="H102" i="39"/>
  <c r="O103" i="39"/>
  <c r="J105" i="39"/>
  <c r="M105" i="39"/>
  <c r="N105" i="39"/>
  <c r="G115" i="39"/>
  <c r="G119" i="39"/>
  <c r="G120" i="39"/>
  <c r="C135" i="39"/>
  <c r="H142" i="39"/>
  <c r="H143" i="39"/>
  <c r="H144" i="39"/>
  <c r="H145" i="39"/>
  <c r="H146" i="39"/>
  <c r="H147" i="39"/>
  <c r="H148" i="39"/>
  <c r="H149" i="39"/>
  <c r="H150" i="39"/>
  <c r="H151" i="39"/>
  <c r="H152" i="39"/>
  <c r="H153" i="39"/>
  <c r="H154" i="39"/>
  <c r="H155" i="39"/>
  <c r="H156" i="39"/>
  <c r="H157" i="39"/>
  <c r="H158" i="39"/>
  <c r="H159" i="39"/>
  <c r="H160" i="39"/>
  <c r="H161" i="39"/>
  <c r="H162" i="39"/>
  <c r="H163" i="39"/>
  <c r="H164" i="39"/>
  <c r="H165" i="39"/>
  <c r="H166" i="39"/>
  <c r="H167" i="39"/>
  <c r="H168" i="39"/>
  <c r="H169" i="39"/>
  <c r="H170" i="39"/>
  <c r="H171" i="39"/>
  <c r="J173" i="39"/>
  <c r="K173" i="39"/>
  <c r="L173" i="39"/>
  <c r="M173" i="39"/>
  <c r="N173" i="39"/>
  <c r="O173" i="39"/>
  <c r="P173" i="39"/>
  <c r="Q173" i="39"/>
  <c r="R173" i="39"/>
  <c r="S173" i="39"/>
  <c r="T173" i="39"/>
  <c r="U173" i="39"/>
  <c r="I3" i="38"/>
  <c r="W13" i="38" s="1"/>
  <c r="P13" i="38"/>
  <c r="P51" i="38" s="1"/>
  <c r="R13" i="38"/>
  <c r="S13" i="38"/>
  <c r="S51" i="38" s="1"/>
  <c r="T13" i="38"/>
  <c r="U13" i="38"/>
  <c r="U51" i="38" s="1"/>
  <c r="J14" i="38"/>
  <c r="K14" i="38"/>
  <c r="L14" i="38"/>
  <c r="M14" i="38"/>
  <c r="N14" i="38"/>
  <c r="O14" i="38"/>
  <c r="P14" i="38"/>
  <c r="Q14" i="38"/>
  <c r="R14" i="38"/>
  <c r="S14" i="38"/>
  <c r="T14" i="38"/>
  <c r="U14" i="38"/>
  <c r="X14" i="38"/>
  <c r="J15" i="38"/>
  <c r="P15" i="38"/>
  <c r="R15" i="38"/>
  <c r="S15" i="38"/>
  <c r="U15" i="38"/>
  <c r="X15" i="38"/>
  <c r="J16" i="38"/>
  <c r="J69" i="38" s="1"/>
  <c r="K16" i="38"/>
  <c r="K20" i="38" s="1"/>
  <c r="L16" i="38"/>
  <c r="L20" i="38" s="1"/>
  <c r="M16" i="38"/>
  <c r="M20" i="38" s="1"/>
  <c r="N16" i="38"/>
  <c r="N15" i="38" s="1"/>
  <c r="O16" i="38"/>
  <c r="O15" i="38" s="1"/>
  <c r="P16" i="38"/>
  <c r="Q16" i="38"/>
  <c r="Q15" i="38" s="1"/>
  <c r="R16" i="38"/>
  <c r="R20" i="38" s="1"/>
  <c r="S16" i="38"/>
  <c r="T16" i="38"/>
  <c r="T51" i="38" s="1"/>
  <c r="U16" i="38"/>
  <c r="U20" i="38" s="1"/>
  <c r="X16" i="38"/>
  <c r="J20" i="38"/>
  <c r="J46" i="38" s="1"/>
  <c r="P20" i="38"/>
  <c r="Q20" i="38"/>
  <c r="S20" i="38"/>
  <c r="S46" i="38" s="1"/>
  <c r="X20" i="38"/>
  <c r="J21" i="38"/>
  <c r="O21" i="38"/>
  <c r="P21" i="38"/>
  <c r="Q21" i="38"/>
  <c r="R21" i="38"/>
  <c r="S21" i="38"/>
  <c r="X21" i="38"/>
  <c r="J22" i="38"/>
  <c r="P22" i="38"/>
  <c r="Q22" i="38"/>
  <c r="R22" i="38"/>
  <c r="S22" i="38"/>
  <c r="X22" i="38"/>
  <c r="J23" i="38"/>
  <c r="O23" i="38"/>
  <c r="P23" i="38"/>
  <c r="Q23" i="38"/>
  <c r="R23" i="38"/>
  <c r="S23" i="38"/>
  <c r="X23" i="38"/>
  <c r="J24" i="38"/>
  <c r="P24" i="38"/>
  <c r="Q24" i="38"/>
  <c r="R24" i="38"/>
  <c r="S24" i="38"/>
  <c r="X24" i="38"/>
  <c r="J25" i="38"/>
  <c r="O25" i="38"/>
  <c r="P25" i="38"/>
  <c r="Q25" i="38"/>
  <c r="R25" i="38"/>
  <c r="S25" i="38"/>
  <c r="X25" i="38"/>
  <c r="J26" i="38"/>
  <c r="P26" i="38"/>
  <c r="Q26" i="38"/>
  <c r="R26" i="38"/>
  <c r="S26" i="38"/>
  <c r="U26" i="38"/>
  <c r="X26" i="38"/>
  <c r="J27" i="38"/>
  <c r="N27" i="38"/>
  <c r="O27" i="38"/>
  <c r="P27" i="38"/>
  <c r="Q27" i="38"/>
  <c r="R27" i="38"/>
  <c r="S27" i="38"/>
  <c r="U27" i="38"/>
  <c r="X27" i="38"/>
  <c r="J28" i="38"/>
  <c r="O28" i="38"/>
  <c r="P28" i="38"/>
  <c r="Q28" i="38"/>
  <c r="R28" i="38"/>
  <c r="S28" i="38"/>
  <c r="U28" i="38"/>
  <c r="X28" i="38"/>
  <c r="J29" i="38"/>
  <c r="N29" i="38"/>
  <c r="O29" i="38"/>
  <c r="O43" i="38" s="1"/>
  <c r="P29" i="38"/>
  <c r="Q29" i="38"/>
  <c r="R29" i="38"/>
  <c r="S29" i="38"/>
  <c r="U29" i="38"/>
  <c r="X29" i="38"/>
  <c r="J30" i="38"/>
  <c r="N30" i="38"/>
  <c r="O30" i="38"/>
  <c r="P30" i="38"/>
  <c r="Q30" i="38"/>
  <c r="R30" i="38"/>
  <c r="S30" i="38"/>
  <c r="U30" i="38"/>
  <c r="X30" i="38"/>
  <c r="J31" i="38"/>
  <c r="N31" i="38"/>
  <c r="O31" i="38"/>
  <c r="P31" i="38"/>
  <c r="Q31" i="38"/>
  <c r="R31" i="38"/>
  <c r="S31" i="38"/>
  <c r="U31" i="38"/>
  <c r="X31" i="38"/>
  <c r="J32" i="38"/>
  <c r="O32" i="38"/>
  <c r="P32" i="38"/>
  <c r="Q32" i="38"/>
  <c r="R32" i="38"/>
  <c r="S32" i="38"/>
  <c r="U32" i="38"/>
  <c r="X32" i="38"/>
  <c r="J33" i="38"/>
  <c r="N33" i="38"/>
  <c r="O33" i="38"/>
  <c r="P33" i="38"/>
  <c r="Q33" i="38"/>
  <c r="R33" i="38"/>
  <c r="S33" i="38"/>
  <c r="U33" i="38"/>
  <c r="X33" i="38"/>
  <c r="J34" i="38"/>
  <c r="N34" i="38"/>
  <c r="O34" i="38"/>
  <c r="P34" i="38"/>
  <c r="Q34" i="38"/>
  <c r="R34" i="38"/>
  <c r="S34" i="38"/>
  <c r="U34" i="38"/>
  <c r="X34" i="38"/>
  <c r="J35" i="38"/>
  <c r="O35" i="38"/>
  <c r="P35" i="38"/>
  <c r="Q35" i="38"/>
  <c r="R35" i="38"/>
  <c r="S35" i="38"/>
  <c r="U35" i="38"/>
  <c r="X35" i="38"/>
  <c r="J36" i="38"/>
  <c r="N36" i="38"/>
  <c r="O36" i="38"/>
  <c r="P36" i="38"/>
  <c r="Q36" i="38"/>
  <c r="R36" i="38"/>
  <c r="S36" i="38"/>
  <c r="U36" i="38"/>
  <c r="X36" i="38"/>
  <c r="J37" i="38"/>
  <c r="N37" i="38"/>
  <c r="O37" i="38"/>
  <c r="P37" i="38"/>
  <c r="Q37" i="38"/>
  <c r="R37" i="38"/>
  <c r="S37" i="38"/>
  <c r="U37" i="38"/>
  <c r="X37" i="38"/>
  <c r="J38" i="38"/>
  <c r="N38" i="38"/>
  <c r="O38" i="38"/>
  <c r="P38" i="38"/>
  <c r="Q38" i="38"/>
  <c r="R38" i="38"/>
  <c r="S38" i="38"/>
  <c r="U38" i="38"/>
  <c r="X38" i="38"/>
  <c r="J39" i="38"/>
  <c r="N39" i="38"/>
  <c r="O39" i="38"/>
  <c r="P39" i="38"/>
  <c r="Q39" i="38"/>
  <c r="R39" i="38"/>
  <c r="S39" i="38"/>
  <c r="U39" i="38"/>
  <c r="X39" i="38"/>
  <c r="J40" i="38"/>
  <c r="N40" i="38"/>
  <c r="O40" i="38"/>
  <c r="P40" i="38"/>
  <c r="Q40" i="38"/>
  <c r="R40" i="38"/>
  <c r="S40" i="38"/>
  <c r="U40" i="38"/>
  <c r="X40" i="38"/>
  <c r="J41" i="38"/>
  <c r="K41" i="38"/>
  <c r="L41" i="38"/>
  <c r="M41" i="38"/>
  <c r="N41" i="38"/>
  <c r="O41" i="38"/>
  <c r="P41" i="38"/>
  <c r="Q41" i="38"/>
  <c r="R41" i="38"/>
  <c r="S41" i="38"/>
  <c r="T41" i="38"/>
  <c r="U41" i="38"/>
  <c r="X41" i="38"/>
  <c r="C42" i="38"/>
  <c r="C43" i="38"/>
  <c r="J43" i="38"/>
  <c r="P43" i="38"/>
  <c r="Q43" i="38"/>
  <c r="R43" i="38"/>
  <c r="S43" i="38"/>
  <c r="U43" i="38"/>
  <c r="C44" i="38"/>
  <c r="P44" i="38"/>
  <c r="Q44" i="38"/>
  <c r="P46" i="38"/>
  <c r="Q46" i="38"/>
  <c r="R51" i="38"/>
  <c r="J56" i="38"/>
  <c r="K56" i="38"/>
  <c r="L56" i="38"/>
  <c r="M56" i="38"/>
  <c r="N56" i="38"/>
  <c r="O56" i="38"/>
  <c r="P56" i="38"/>
  <c r="Q56" i="38"/>
  <c r="R56" i="38"/>
  <c r="S56" i="38"/>
  <c r="T56" i="38"/>
  <c r="U56" i="38"/>
  <c r="J57" i="38"/>
  <c r="K57" i="38"/>
  <c r="L57" i="38"/>
  <c r="M57" i="38"/>
  <c r="N57" i="38"/>
  <c r="O57" i="38"/>
  <c r="P57" i="38"/>
  <c r="Q57" i="38"/>
  <c r="R57" i="38"/>
  <c r="S57" i="38"/>
  <c r="T57" i="38"/>
  <c r="U57" i="38"/>
  <c r="J58" i="38"/>
  <c r="K58" i="38"/>
  <c r="L58" i="38"/>
  <c r="M58" i="38"/>
  <c r="N58" i="38"/>
  <c r="O58" i="38"/>
  <c r="P58" i="38"/>
  <c r="Q58" i="38"/>
  <c r="R58" i="38"/>
  <c r="S58" i="38"/>
  <c r="T58" i="38"/>
  <c r="U58" i="38"/>
  <c r="J59" i="38"/>
  <c r="N59" i="38"/>
  <c r="O59" i="38"/>
  <c r="P59" i="38"/>
  <c r="Q59" i="38"/>
  <c r="Q78" i="38" s="1"/>
  <c r="R59" i="38"/>
  <c r="S59" i="38"/>
  <c r="U59" i="38"/>
  <c r="J60" i="38"/>
  <c r="K60" i="38"/>
  <c r="L60" i="38"/>
  <c r="M60" i="38"/>
  <c r="N60" i="38"/>
  <c r="O60" i="38"/>
  <c r="P60" i="38"/>
  <c r="Q60" i="38"/>
  <c r="R60" i="38"/>
  <c r="S60" i="38"/>
  <c r="T60" i="38"/>
  <c r="U60" i="38"/>
  <c r="J61" i="38"/>
  <c r="K61" i="38"/>
  <c r="L61" i="38"/>
  <c r="M61" i="38"/>
  <c r="N61" i="38"/>
  <c r="O61" i="38"/>
  <c r="P61" i="38"/>
  <c r="Q61" i="38"/>
  <c r="R61" i="38"/>
  <c r="S61" i="38"/>
  <c r="T61" i="38"/>
  <c r="U61" i="38"/>
  <c r="J62" i="38"/>
  <c r="K62" i="38"/>
  <c r="L62" i="38"/>
  <c r="M62" i="38"/>
  <c r="N62" i="38"/>
  <c r="O62" i="38"/>
  <c r="P62" i="38"/>
  <c r="Q62" i="38"/>
  <c r="R62" i="38"/>
  <c r="S62" i="38"/>
  <c r="T62" i="38"/>
  <c r="U62" i="38"/>
  <c r="J63" i="38"/>
  <c r="K63" i="38"/>
  <c r="L63" i="38"/>
  <c r="M63" i="38"/>
  <c r="N63" i="38"/>
  <c r="O63" i="38"/>
  <c r="P63" i="38"/>
  <c r="Q63" i="38"/>
  <c r="R63" i="38"/>
  <c r="S63" i="38"/>
  <c r="T63" i="38"/>
  <c r="U63" i="38"/>
  <c r="J64" i="38"/>
  <c r="K64" i="38"/>
  <c r="L64" i="38"/>
  <c r="M64" i="38"/>
  <c r="N64" i="38"/>
  <c r="O64" i="38"/>
  <c r="P64" i="38"/>
  <c r="Q64" i="38"/>
  <c r="R64" i="38"/>
  <c r="S64" i="38"/>
  <c r="T64" i="38"/>
  <c r="U64" i="38"/>
  <c r="J65" i="38"/>
  <c r="K65" i="38"/>
  <c r="L65" i="38"/>
  <c r="M65" i="38"/>
  <c r="N65" i="38"/>
  <c r="O65" i="38"/>
  <c r="P65" i="38"/>
  <c r="Q65" i="38"/>
  <c r="R65" i="38"/>
  <c r="S65" i="38"/>
  <c r="T65" i="38"/>
  <c r="U65" i="38"/>
  <c r="J66" i="38"/>
  <c r="K66" i="38"/>
  <c r="L66" i="38"/>
  <c r="M66" i="38"/>
  <c r="N66" i="38"/>
  <c r="O66" i="38"/>
  <c r="P66" i="38"/>
  <c r="Q66" i="38"/>
  <c r="R66" i="38"/>
  <c r="S66" i="38"/>
  <c r="T66" i="38"/>
  <c r="U66" i="38"/>
  <c r="J67" i="38"/>
  <c r="M67" i="38"/>
  <c r="N67" i="38"/>
  <c r="O67" i="38"/>
  <c r="P67" i="38"/>
  <c r="Q67" i="38"/>
  <c r="R67" i="38"/>
  <c r="S67" i="38"/>
  <c r="T67" i="38"/>
  <c r="U67" i="38"/>
  <c r="M68" i="38"/>
  <c r="N68" i="38"/>
  <c r="O68" i="38"/>
  <c r="P68" i="38"/>
  <c r="Q68" i="38"/>
  <c r="R68" i="38"/>
  <c r="S68" i="38"/>
  <c r="T68" i="38"/>
  <c r="U68" i="38"/>
  <c r="M69" i="38"/>
  <c r="N69" i="38"/>
  <c r="O69" i="38"/>
  <c r="P69" i="38"/>
  <c r="Q69" i="38"/>
  <c r="R69" i="38"/>
  <c r="S69" i="38"/>
  <c r="T69" i="38"/>
  <c r="U69" i="38"/>
  <c r="J70" i="38"/>
  <c r="L70" i="38"/>
  <c r="M70" i="38"/>
  <c r="N70" i="38"/>
  <c r="O70" i="38"/>
  <c r="P70" i="38"/>
  <c r="Q70" i="38"/>
  <c r="R70" i="38"/>
  <c r="S70" i="38"/>
  <c r="T70" i="38"/>
  <c r="U70" i="38"/>
  <c r="J71" i="38"/>
  <c r="L71" i="38"/>
  <c r="M71" i="38"/>
  <c r="N71" i="38"/>
  <c r="O71" i="38"/>
  <c r="P71" i="38"/>
  <c r="Q71" i="38"/>
  <c r="R71" i="38"/>
  <c r="S71" i="38"/>
  <c r="T71" i="38"/>
  <c r="U71" i="38"/>
  <c r="J72" i="38"/>
  <c r="K72" i="38"/>
  <c r="L72" i="38"/>
  <c r="M72" i="38"/>
  <c r="N72" i="38"/>
  <c r="O72" i="38"/>
  <c r="P72" i="38"/>
  <c r="Q72" i="38"/>
  <c r="R72" i="38"/>
  <c r="S72" i="38"/>
  <c r="T72" i="38"/>
  <c r="U72" i="38"/>
  <c r="J73" i="38"/>
  <c r="K73" i="38"/>
  <c r="L73" i="38"/>
  <c r="M73" i="38"/>
  <c r="N73" i="38"/>
  <c r="O73" i="38"/>
  <c r="P73" i="38"/>
  <c r="Q73" i="38"/>
  <c r="R73" i="38"/>
  <c r="S73" i="38"/>
  <c r="T73" i="38"/>
  <c r="U73" i="38"/>
  <c r="J74" i="38"/>
  <c r="K74" i="38"/>
  <c r="L74" i="38"/>
  <c r="M74" i="38"/>
  <c r="N74" i="38"/>
  <c r="O74" i="38"/>
  <c r="P74" i="38"/>
  <c r="Q74" i="38"/>
  <c r="R74" i="38"/>
  <c r="S74" i="38"/>
  <c r="T74" i="38"/>
  <c r="U74" i="38"/>
  <c r="J75" i="38"/>
  <c r="H75" i="38" s="1"/>
  <c r="K75" i="38"/>
  <c r="L75" i="38"/>
  <c r="M75" i="38"/>
  <c r="N75" i="38"/>
  <c r="O75" i="38"/>
  <c r="P75" i="38"/>
  <c r="Q75" i="38"/>
  <c r="R75" i="38"/>
  <c r="S75" i="38"/>
  <c r="T75" i="38"/>
  <c r="U75" i="38"/>
  <c r="J76" i="38"/>
  <c r="K76" i="38"/>
  <c r="L76" i="38"/>
  <c r="H76" i="38" s="1"/>
  <c r="M76" i="38"/>
  <c r="N76" i="38"/>
  <c r="O76" i="38"/>
  <c r="P76" i="38"/>
  <c r="Q76" i="38"/>
  <c r="R76" i="38"/>
  <c r="S76" i="38"/>
  <c r="T76" i="38"/>
  <c r="U76" i="38"/>
  <c r="J77" i="38"/>
  <c r="K77" i="38"/>
  <c r="L77" i="38"/>
  <c r="M77" i="38"/>
  <c r="N77" i="38"/>
  <c r="O77" i="38"/>
  <c r="P77" i="38"/>
  <c r="Q77" i="38"/>
  <c r="R77" i="38"/>
  <c r="S77" i="38"/>
  <c r="T77" i="38"/>
  <c r="U77" i="38"/>
  <c r="H82" i="38"/>
  <c r="H83" i="38"/>
  <c r="H84" i="38"/>
  <c r="H85" i="38"/>
  <c r="H86" i="38"/>
  <c r="H87" i="38"/>
  <c r="H88" i="38"/>
  <c r="H89" i="38"/>
  <c r="H90" i="38"/>
  <c r="J91" i="38"/>
  <c r="K91" i="38"/>
  <c r="L91" i="38"/>
  <c r="M91" i="38"/>
  <c r="N91" i="38"/>
  <c r="O91" i="38"/>
  <c r="P91" i="38"/>
  <c r="Q91" i="38"/>
  <c r="R91" i="38"/>
  <c r="S91" i="38"/>
  <c r="T91" i="38"/>
  <c r="U91" i="38"/>
  <c r="J92" i="38"/>
  <c r="K92" i="38"/>
  <c r="L92" i="38"/>
  <c r="M92" i="38"/>
  <c r="H92" i="38" s="1"/>
  <c r="N92" i="38"/>
  <c r="O92" i="38"/>
  <c r="P92" i="38"/>
  <c r="Q92" i="38"/>
  <c r="R92" i="38"/>
  <c r="S92" i="38"/>
  <c r="T92" i="38"/>
  <c r="U92" i="38"/>
  <c r="J93" i="38"/>
  <c r="K93" i="38"/>
  <c r="L93" i="38"/>
  <c r="H93" i="38" s="1"/>
  <c r="M93" i="38"/>
  <c r="N93" i="38"/>
  <c r="O93" i="38"/>
  <c r="P93" i="38"/>
  <c r="P107" i="38" s="1"/>
  <c r="Q93" i="38"/>
  <c r="Q107" i="38" s="1"/>
  <c r="R93" i="38"/>
  <c r="S93" i="38"/>
  <c r="T93" i="38"/>
  <c r="U93" i="38"/>
  <c r="J94" i="38"/>
  <c r="K94" i="38"/>
  <c r="L94" i="38"/>
  <c r="H94" i="38" s="1"/>
  <c r="M94" i="38"/>
  <c r="N94" i="38"/>
  <c r="O94" i="38"/>
  <c r="P94" i="38"/>
  <c r="Q94" i="38"/>
  <c r="R94" i="38"/>
  <c r="S94" i="38"/>
  <c r="T94" i="38"/>
  <c r="U94" i="38"/>
  <c r="J95" i="38"/>
  <c r="H95" i="38" s="1"/>
  <c r="K95" i="38"/>
  <c r="L95" i="38"/>
  <c r="M95" i="38"/>
  <c r="N95" i="38"/>
  <c r="O95" i="38"/>
  <c r="P95" i="38"/>
  <c r="Q95" i="38"/>
  <c r="R95" i="38"/>
  <c r="S95" i="38"/>
  <c r="T95" i="38"/>
  <c r="U95" i="38"/>
  <c r="H96" i="38"/>
  <c r="C134" i="38" s="1"/>
  <c r="H97" i="38"/>
  <c r="H98" i="38"/>
  <c r="C135" i="38" s="1"/>
  <c r="H99" i="38"/>
  <c r="H100" i="38"/>
  <c r="C136" i="38" s="1"/>
  <c r="H101" i="38"/>
  <c r="H102" i="38"/>
  <c r="J103" i="38"/>
  <c r="L103" i="38"/>
  <c r="M103" i="38"/>
  <c r="N103" i="38"/>
  <c r="O103" i="38"/>
  <c r="P103" i="38"/>
  <c r="Q103" i="38"/>
  <c r="R103" i="38"/>
  <c r="S103" i="38"/>
  <c r="T103" i="38"/>
  <c r="U103" i="38"/>
  <c r="P104" i="38"/>
  <c r="Q104" i="38"/>
  <c r="J105" i="38"/>
  <c r="L105" i="38"/>
  <c r="M105" i="38"/>
  <c r="N105" i="38"/>
  <c r="O105" i="38"/>
  <c r="P105" i="38"/>
  <c r="Q105" i="38"/>
  <c r="R105" i="38"/>
  <c r="S105" i="38"/>
  <c r="T105" i="38"/>
  <c r="U105" i="38"/>
  <c r="G114" i="38"/>
  <c r="H114" i="38"/>
  <c r="H115" i="38"/>
  <c r="G115" i="38" s="1"/>
  <c r="H116" i="38"/>
  <c r="G116" i="38" s="1"/>
  <c r="H117" i="38"/>
  <c r="G117" i="38" s="1"/>
  <c r="G118" i="38"/>
  <c r="H118" i="38"/>
  <c r="H119" i="38"/>
  <c r="G119" i="38" s="1"/>
  <c r="H120" i="38"/>
  <c r="G120" i="38" s="1"/>
  <c r="G121" i="38"/>
  <c r="H121" i="38"/>
  <c r="G122" i="38"/>
  <c r="H122" i="38"/>
  <c r="C36" i="8" l="1"/>
  <c r="C35" i="8"/>
  <c r="C34" i="8"/>
  <c r="C26" i="8"/>
  <c r="C25" i="8"/>
  <c r="C37" i="8"/>
  <c r="C40" i="8"/>
  <c r="C31" i="8"/>
  <c r="C23" i="8"/>
  <c r="C22" i="8"/>
  <c r="C38" i="8"/>
  <c r="C21" i="8"/>
  <c r="C39" i="8"/>
  <c r="C41" i="8"/>
  <c r="C29" i="8"/>
  <c r="C24" i="8"/>
  <c r="Q36" i="40"/>
  <c r="Q35" i="40"/>
  <c r="Q37" i="40" s="1"/>
  <c r="Q25" i="40"/>
  <c r="Q42" i="40"/>
  <c r="S48" i="40"/>
  <c r="S37" i="40"/>
  <c r="S33" i="40"/>
  <c r="S43" i="40"/>
  <c r="R78" i="38"/>
  <c r="H65" i="38"/>
  <c r="U78" i="38"/>
  <c r="P78" i="38"/>
  <c r="H62" i="38"/>
  <c r="S78" i="38"/>
  <c r="H72" i="38"/>
  <c r="H66" i="38"/>
  <c r="H56" i="38"/>
  <c r="N13" i="38"/>
  <c r="N51" i="38" s="1"/>
  <c r="I46" i="40"/>
  <c r="J41" i="40"/>
  <c r="F35" i="40"/>
  <c r="F37" i="40" s="1"/>
  <c r="F28" i="40"/>
  <c r="F19" i="40"/>
  <c r="F14" i="40"/>
  <c r="Q9" i="40"/>
  <c r="O78" i="38"/>
  <c r="F46" i="40"/>
  <c r="F41" i="40"/>
  <c r="I18" i="40"/>
  <c r="H77" i="38"/>
  <c r="H73" i="38"/>
  <c r="H63" i="38"/>
  <c r="N25" i="38"/>
  <c r="N23" i="38"/>
  <c r="N21" i="38"/>
  <c r="I24" i="40"/>
  <c r="J24" i="40" s="1"/>
  <c r="F18" i="40"/>
  <c r="I13" i="40"/>
  <c r="I21" i="40" s="1"/>
  <c r="I45" i="40"/>
  <c r="I48" i="40" s="1"/>
  <c r="I27" i="40"/>
  <c r="H60" i="38"/>
  <c r="H41" i="38"/>
  <c r="N32" i="38"/>
  <c r="I40" i="40"/>
  <c r="I43" i="40" s="1"/>
  <c r="F24" i="40"/>
  <c r="I17" i="40"/>
  <c r="F25" i="40"/>
  <c r="F45" i="40"/>
  <c r="F48" i="40" s="1"/>
  <c r="I32" i="40"/>
  <c r="J32" i="40" s="1"/>
  <c r="F27" i="40"/>
  <c r="F17" i="40"/>
  <c r="H57" i="38"/>
  <c r="F40" i="40"/>
  <c r="F43" i="40" s="1"/>
  <c r="I23" i="40"/>
  <c r="I29" i="40" s="1"/>
  <c r="F32" i="40"/>
  <c r="F23" i="40"/>
  <c r="F29" i="40" s="1"/>
  <c r="H74" i="38"/>
  <c r="N28" i="38"/>
  <c r="N43" i="38" s="1"/>
  <c r="O20" i="38"/>
  <c r="Q26" i="40"/>
  <c r="Q16" i="40"/>
  <c r="H61" i="38"/>
  <c r="N35" i="38"/>
  <c r="O26" i="38"/>
  <c r="O24" i="38"/>
  <c r="O22" i="38"/>
  <c r="N20" i="38"/>
  <c r="I26" i="40"/>
  <c r="I16" i="40"/>
  <c r="F9" i="40"/>
  <c r="N78" i="38"/>
  <c r="H58" i="38"/>
  <c r="N26" i="38"/>
  <c r="N24" i="38"/>
  <c r="N22" i="38"/>
  <c r="I42" i="40"/>
  <c r="J42" i="40" s="1"/>
  <c r="I36" i="40"/>
  <c r="I31" i="40"/>
  <c r="I33" i="40" s="1"/>
  <c r="F26" i="40"/>
  <c r="I7" i="40"/>
  <c r="F36" i="40"/>
  <c r="F31" i="40"/>
  <c r="F33" i="40" s="1"/>
  <c r="I20" i="40"/>
  <c r="F16" i="40"/>
  <c r="H64" i="38"/>
  <c r="F42" i="40"/>
  <c r="F20" i="40"/>
  <c r="F15" i="40"/>
  <c r="P28" i="40"/>
  <c r="P19" i="40"/>
  <c r="P36" i="40"/>
  <c r="P26" i="40"/>
  <c r="P9" i="40"/>
  <c r="K103" i="39"/>
  <c r="K14" i="39"/>
  <c r="K105" i="39"/>
  <c r="R105" i="39"/>
  <c r="R14" i="39"/>
  <c r="L103" i="39"/>
  <c r="L105" i="39"/>
  <c r="AZ32" i="41"/>
  <c r="BC31" i="41"/>
  <c r="K46" i="39"/>
  <c r="H30" i="39"/>
  <c r="H22" i="39"/>
  <c r="AZ28" i="41"/>
  <c r="U43" i="39"/>
  <c r="P42" i="40"/>
  <c r="H17" i="40"/>
  <c r="H9" i="40"/>
  <c r="K31" i="41"/>
  <c r="H34" i="39"/>
  <c r="R43" i="39"/>
  <c r="R46" i="39"/>
  <c r="S44" i="39"/>
  <c r="Q14" i="39"/>
  <c r="P35" i="40"/>
  <c r="P37" i="40" s="1"/>
  <c r="H28" i="40"/>
  <c r="J28" i="40" s="1"/>
  <c r="H26" i="40"/>
  <c r="H14" i="40"/>
  <c r="J14" i="40" s="1"/>
  <c r="P46" i="39"/>
  <c r="L14" i="39"/>
  <c r="J35" i="39"/>
  <c r="H35" i="39" s="1"/>
  <c r="N43" i="39"/>
  <c r="J27" i="39"/>
  <c r="H27" i="39" s="1"/>
  <c r="O46" i="39"/>
  <c r="O104" i="39" s="1"/>
  <c r="O107" i="39" s="1"/>
  <c r="O109" i="39" s="1"/>
  <c r="O111" i="39" s="1"/>
  <c r="H35" i="40"/>
  <c r="H37" i="40" s="1"/>
  <c r="J19" i="40"/>
  <c r="G31" i="41"/>
  <c r="G32" i="41" s="1"/>
  <c r="Q103" i="39"/>
  <c r="Q107" i="39" s="1"/>
  <c r="Q109" i="39" s="1"/>
  <c r="Q111" i="39" s="1"/>
  <c r="Q43" i="39"/>
  <c r="M43" i="39"/>
  <c r="Q46" i="39"/>
  <c r="N44" i="39"/>
  <c r="H23" i="40"/>
  <c r="H29" i="40" s="1"/>
  <c r="H19" i="40"/>
  <c r="P103" i="39"/>
  <c r="T43" i="39"/>
  <c r="L43" i="39"/>
  <c r="M44" i="39"/>
  <c r="BC7" i="41"/>
  <c r="BC29" i="41" s="1"/>
  <c r="BC32" i="41" s="1"/>
  <c r="T46" i="39"/>
  <c r="T104" i="39" s="1"/>
  <c r="H40" i="39"/>
  <c r="S43" i="39"/>
  <c r="K43" i="39"/>
  <c r="U14" i="39"/>
  <c r="H31" i="40"/>
  <c r="P16" i="40"/>
  <c r="J13" i="40"/>
  <c r="J21" i="40" s="1"/>
  <c r="H31" i="39"/>
  <c r="P14" i="39"/>
  <c r="J35" i="40"/>
  <c r="R29" i="40"/>
  <c r="H36" i="39"/>
  <c r="H32" i="39"/>
  <c r="H24" i="39"/>
  <c r="K44" i="39"/>
  <c r="T14" i="39"/>
  <c r="J45" i="40"/>
  <c r="J48" i="40" s="1"/>
  <c r="J27" i="40"/>
  <c r="P25" i="40"/>
  <c r="J16" i="40"/>
  <c r="O29" i="41"/>
  <c r="O32" i="41" s="1"/>
  <c r="R47" i="40"/>
  <c r="H26" i="39"/>
  <c r="H25" i="39"/>
  <c r="H25" i="40"/>
  <c r="J25" i="40" s="1"/>
  <c r="H18" i="40"/>
  <c r="K29" i="41"/>
  <c r="K32" i="41" s="1"/>
  <c r="BC25" i="41"/>
  <c r="BC17" i="41"/>
  <c r="BC9" i="41"/>
  <c r="H23" i="39"/>
  <c r="H41" i="39"/>
  <c r="J18" i="40"/>
  <c r="P44" i="39"/>
  <c r="S46" i="39"/>
  <c r="H29" i="39"/>
  <c r="H47" i="40"/>
  <c r="J47" i="40" s="1"/>
  <c r="U105" i="39"/>
  <c r="H36" i="40"/>
  <c r="J36" i="40" s="1"/>
  <c r="BC22" i="41"/>
  <c r="H38" i="39"/>
  <c r="R43" i="40"/>
  <c r="H15" i="40"/>
  <c r="J15" i="40" s="1"/>
  <c r="E5" i="40"/>
  <c r="R44" i="39"/>
  <c r="O43" i="39"/>
  <c r="U46" i="39"/>
  <c r="N14" i="39"/>
  <c r="J40" i="40"/>
  <c r="J43" i="40" s="1"/>
  <c r="H20" i="40"/>
  <c r="J20" i="40" s="1"/>
  <c r="P17" i="40"/>
  <c r="Q40" i="40"/>
  <c r="Q32" i="40"/>
  <c r="Q23" i="40"/>
  <c r="S17" i="40"/>
  <c r="Q14" i="40"/>
  <c r="F13" i="40"/>
  <c r="S5" i="40"/>
  <c r="P40" i="40"/>
  <c r="P32" i="40"/>
  <c r="P23" i="40"/>
  <c r="R17" i="40"/>
  <c r="P14" i="40"/>
  <c r="I9" i="40"/>
  <c r="R5" i="40"/>
  <c r="J23" i="40"/>
  <c r="J29" i="40" s="1"/>
  <c r="Q47" i="40"/>
  <c r="Q20" i="40"/>
  <c r="J5" i="40"/>
  <c r="P47" i="40"/>
  <c r="P20" i="40"/>
  <c r="R15" i="40"/>
  <c r="P11" i="40"/>
  <c r="Q41" i="40"/>
  <c r="Q24" i="40"/>
  <c r="S18" i="40"/>
  <c r="Q15" i="40"/>
  <c r="S7" i="40"/>
  <c r="P41" i="40"/>
  <c r="P24" i="40"/>
  <c r="R18" i="40"/>
  <c r="P15" i="40"/>
  <c r="Q45" i="40"/>
  <c r="Q48" i="40" s="1"/>
  <c r="Q27" i="40"/>
  <c r="Q18" i="40"/>
  <c r="Q7" i="40"/>
  <c r="P45" i="40"/>
  <c r="P27" i="40"/>
  <c r="P18" i="40"/>
  <c r="R13" i="40"/>
  <c r="Q31" i="40"/>
  <c r="Q13" i="40"/>
  <c r="P31" i="40"/>
  <c r="I37" i="40"/>
  <c r="I50" i="40" s="1"/>
  <c r="Q28" i="40"/>
  <c r="S23" i="40"/>
  <c r="S29" i="40" s="1"/>
  <c r="Q19" i="40"/>
  <c r="S14" i="40"/>
  <c r="C133" i="39"/>
  <c r="S104" i="39"/>
  <c r="L104" i="39"/>
  <c r="U104" i="39"/>
  <c r="U107" i="39" s="1"/>
  <c r="U109" i="39" s="1"/>
  <c r="U111" i="39" s="1"/>
  <c r="K104" i="39"/>
  <c r="K107" i="39" s="1"/>
  <c r="K109" i="39" s="1"/>
  <c r="K111" i="39" s="1"/>
  <c r="R104" i="39"/>
  <c r="T107" i="39"/>
  <c r="T109" i="39" s="1"/>
  <c r="T111" i="39" s="1"/>
  <c r="P104" i="39"/>
  <c r="P107" i="39" s="1"/>
  <c r="P109" i="39" s="1"/>
  <c r="P111" i="39" s="1"/>
  <c r="G78" i="39"/>
  <c r="C132" i="39"/>
  <c r="Q104" i="39"/>
  <c r="N46" i="39"/>
  <c r="L44" i="39"/>
  <c r="M46" i="39"/>
  <c r="H20" i="39"/>
  <c r="O105" i="39"/>
  <c r="W16" i="39"/>
  <c r="G101" i="39" s="1"/>
  <c r="O14" i="39"/>
  <c r="W14" i="39" s="1"/>
  <c r="T103" i="39"/>
  <c r="U44" i="39"/>
  <c r="S103" i="39"/>
  <c r="S107" i="39" s="1"/>
  <c r="S109" i="39" s="1"/>
  <c r="S111" i="39" s="1"/>
  <c r="R103" i="39"/>
  <c r="R107" i="39" s="1"/>
  <c r="R109" i="39" s="1"/>
  <c r="R111" i="39" s="1"/>
  <c r="H28" i="39"/>
  <c r="H39" i="39"/>
  <c r="O44" i="39"/>
  <c r="S104" i="38"/>
  <c r="S107" i="38" s="1"/>
  <c r="K44" i="38"/>
  <c r="J104" i="38"/>
  <c r="C133" i="38"/>
  <c r="H31" i="38"/>
  <c r="F31" i="38" s="1"/>
  <c r="R46" i="38"/>
  <c r="R44" i="38"/>
  <c r="P109" i="38"/>
  <c r="P111" i="38" s="1"/>
  <c r="H91" i="38"/>
  <c r="J44" i="38"/>
  <c r="K71" i="38"/>
  <c r="H71" i="38" s="1"/>
  <c r="K51" i="38"/>
  <c r="Q13" i="38"/>
  <c r="Q51" i="38" s="1"/>
  <c r="Q109" i="38" s="1"/>
  <c r="Q111" i="38" s="1"/>
  <c r="L67" i="38"/>
  <c r="T59" i="38"/>
  <c r="T78" i="38" s="1"/>
  <c r="U25" i="38"/>
  <c r="U24" i="38"/>
  <c r="U23" i="38"/>
  <c r="U22" i="38"/>
  <c r="U21" i="38"/>
  <c r="U46" i="38" s="1"/>
  <c r="W16" i="38"/>
  <c r="T15" i="38"/>
  <c r="O13" i="38"/>
  <c r="O51" i="38" s="1"/>
  <c r="K103" i="38"/>
  <c r="K67" i="38"/>
  <c r="T40" i="38"/>
  <c r="T39" i="38"/>
  <c r="T38" i="38"/>
  <c r="T37" i="38"/>
  <c r="T36" i="38"/>
  <c r="T35" i="38"/>
  <c r="T34" i="38"/>
  <c r="T33" i="38"/>
  <c r="T32" i="38"/>
  <c r="T31" i="38"/>
  <c r="T30" i="38"/>
  <c r="T29" i="38"/>
  <c r="T28" i="38"/>
  <c r="T27" i="38"/>
  <c r="T26" i="38"/>
  <c r="T25" i="38"/>
  <c r="T24" i="38"/>
  <c r="T23" i="38"/>
  <c r="T22" i="38"/>
  <c r="T21" i="38"/>
  <c r="T20" i="38"/>
  <c r="M13" i="38"/>
  <c r="M51" i="38" s="1"/>
  <c r="L68" i="38"/>
  <c r="S44" i="38"/>
  <c r="L13" i="38"/>
  <c r="L51" i="38" s="1"/>
  <c r="K68" i="38"/>
  <c r="K13" i="38"/>
  <c r="J68" i="38"/>
  <c r="H68" i="38" s="1"/>
  <c r="J13" i="38"/>
  <c r="J51" i="38" s="1"/>
  <c r="L69" i="38"/>
  <c r="K105" i="38"/>
  <c r="H105" i="38" s="1"/>
  <c r="C137" i="38" s="1"/>
  <c r="K69" i="38"/>
  <c r="M59" i="38"/>
  <c r="M78" i="38" s="1"/>
  <c r="M15" i="38"/>
  <c r="L59" i="38"/>
  <c r="L78" i="38" s="1"/>
  <c r="M40" i="38"/>
  <c r="M39" i="38"/>
  <c r="M38" i="38"/>
  <c r="M37" i="38"/>
  <c r="M36" i="38"/>
  <c r="M35" i="38"/>
  <c r="M34" i="38"/>
  <c r="M33" i="38"/>
  <c r="M32" i="38"/>
  <c r="M31" i="38"/>
  <c r="M30" i="38"/>
  <c r="M29" i="38"/>
  <c r="M28" i="38"/>
  <c r="M27" i="38"/>
  <c r="M26" i="38"/>
  <c r="M25" i="38"/>
  <c r="M24" i="38"/>
  <c r="M23" i="38"/>
  <c r="M22" i="38"/>
  <c r="M21" i="38"/>
  <c r="M44" i="38" s="1"/>
  <c r="L15" i="38"/>
  <c r="K59" i="38"/>
  <c r="L40" i="38"/>
  <c r="L39" i="38"/>
  <c r="L38" i="38"/>
  <c r="L37" i="38"/>
  <c r="H37" i="38" s="1"/>
  <c r="F37" i="38" s="1"/>
  <c r="L36" i="38"/>
  <c r="H36" i="38" s="1"/>
  <c r="F36" i="38" s="1"/>
  <c r="L35" i="38"/>
  <c r="H35" i="38" s="1"/>
  <c r="F35" i="38" s="1"/>
  <c r="L34" i="38"/>
  <c r="L33" i="38"/>
  <c r="L32" i="38"/>
  <c r="L31" i="38"/>
  <c r="L30" i="38"/>
  <c r="L29" i="38"/>
  <c r="L28" i="38"/>
  <c r="L27" i="38"/>
  <c r="L26" i="38"/>
  <c r="L25" i="38"/>
  <c r="L24" i="38"/>
  <c r="L23" i="38"/>
  <c r="L22" i="38"/>
  <c r="L21" i="38"/>
  <c r="L44" i="38" s="1"/>
  <c r="K15" i="38"/>
  <c r="K70" i="38"/>
  <c r="H70" i="38" s="1"/>
  <c r="K40" i="38"/>
  <c r="H40" i="38" s="1"/>
  <c r="F40" i="38" s="1"/>
  <c r="K39" i="38"/>
  <c r="H39" i="38" s="1"/>
  <c r="F39" i="38" s="1"/>
  <c r="K38" i="38"/>
  <c r="H38" i="38" s="1"/>
  <c r="F38" i="38" s="1"/>
  <c r="K37" i="38"/>
  <c r="K36" i="38"/>
  <c r="K35" i="38"/>
  <c r="K34" i="38"/>
  <c r="H34" i="38" s="1"/>
  <c r="F34" i="38" s="1"/>
  <c r="K33" i="38"/>
  <c r="H33" i="38" s="1"/>
  <c r="F33" i="38" s="1"/>
  <c r="K32" i="38"/>
  <c r="H32" i="38" s="1"/>
  <c r="F32" i="38" s="1"/>
  <c r="K31" i="38"/>
  <c r="K30" i="38"/>
  <c r="H30" i="38" s="1"/>
  <c r="F30" i="38" s="1"/>
  <c r="K29" i="38"/>
  <c r="H29" i="38" s="1"/>
  <c r="F29" i="38" s="1"/>
  <c r="K28" i="38"/>
  <c r="K27" i="38"/>
  <c r="H27" i="38" s="1"/>
  <c r="F27" i="38" s="1"/>
  <c r="K26" i="38"/>
  <c r="H26" i="38" s="1"/>
  <c r="F26" i="38" s="1"/>
  <c r="K25" i="38"/>
  <c r="H25" i="38" s="1"/>
  <c r="F25" i="38" s="1"/>
  <c r="K24" i="38"/>
  <c r="H24" i="38" s="1"/>
  <c r="F24" i="38" s="1"/>
  <c r="K23" i="38"/>
  <c r="H23" i="38" s="1"/>
  <c r="F23" i="38" s="1"/>
  <c r="K22" i="38"/>
  <c r="K21" i="38"/>
  <c r="H21" i="38" s="1"/>
  <c r="F21" i="38" s="1"/>
  <c r="W15" i="38" l="1"/>
  <c r="J26" i="40"/>
  <c r="Q43" i="40"/>
  <c r="J78" i="38"/>
  <c r="S109" i="38"/>
  <c r="S111" i="38" s="1"/>
  <c r="H69" i="38"/>
  <c r="H67" i="38"/>
  <c r="H22" i="38"/>
  <c r="F22" i="38" s="1"/>
  <c r="S21" i="40"/>
  <c r="S50" i="40" s="1"/>
  <c r="O44" i="38"/>
  <c r="O46" i="38"/>
  <c r="O104" i="38" s="1"/>
  <c r="O107" i="38" s="1"/>
  <c r="O109" i="38" s="1"/>
  <c r="O111" i="38" s="1"/>
  <c r="N44" i="38"/>
  <c r="N46" i="38"/>
  <c r="N104" i="38" s="1"/>
  <c r="N107" i="38" s="1"/>
  <c r="N109" i="38" s="1"/>
  <c r="N111" i="38" s="1"/>
  <c r="J17" i="40"/>
  <c r="H20" i="38"/>
  <c r="M15" i="40"/>
  <c r="M14" i="40"/>
  <c r="M13" i="40"/>
  <c r="M12" i="40"/>
  <c r="M11" i="40"/>
  <c r="M26" i="40"/>
  <c r="M10" i="40"/>
  <c r="M25" i="40"/>
  <c r="M9" i="40"/>
  <c r="M24" i="40"/>
  <c r="M8" i="40"/>
  <c r="M16" i="40"/>
  <c r="M23" i="40"/>
  <c r="M7" i="40"/>
  <c r="M22" i="40"/>
  <c r="M6" i="40"/>
  <c r="M21" i="40"/>
  <c r="M5" i="40"/>
  <c r="M20" i="40"/>
  <c r="M19" i="40"/>
  <c r="M18" i="40"/>
  <c r="M17" i="40"/>
  <c r="P33" i="40"/>
  <c r="G5" i="40"/>
  <c r="E36" i="40"/>
  <c r="G36" i="40" s="1"/>
  <c r="E11" i="40"/>
  <c r="E18" i="40"/>
  <c r="G18" i="40" s="1"/>
  <c r="E25" i="40"/>
  <c r="G25" i="40" s="1"/>
  <c r="E16" i="40"/>
  <c r="G16" i="40" s="1"/>
  <c r="E27" i="40"/>
  <c r="G27" i="40" s="1"/>
  <c r="E41" i="40"/>
  <c r="G41" i="40" s="1"/>
  <c r="E45" i="40"/>
  <c r="E31" i="40"/>
  <c r="E15" i="40"/>
  <c r="G15" i="40" s="1"/>
  <c r="E13" i="40"/>
  <c r="E21" i="40" s="1"/>
  <c r="E19" i="40"/>
  <c r="G19" i="40" s="1"/>
  <c r="E23" i="40"/>
  <c r="E17" i="40"/>
  <c r="G17" i="40" s="1"/>
  <c r="E40" i="40"/>
  <c r="E35" i="40"/>
  <c r="E14" i="40"/>
  <c r="G14" i="40" s="1"/>
  <c r="E28" i="40"/>
  <c r="G28" i="40" s="1"/>
  <c r="E42" i="40"/>
  <c r="G42" i="40" s="1"/>
  <c r="E9" i="40"/>
  <c r="G9" i="40" s="1"/>
  <c r="E26" i="40"/>
  <c r="G26" i="40" s="1"/>
  <c r="E24" i="40"/>
  <c r="G24" i="40" s="1"/>
  <c r="E32" i="40"/>
  <c r="G32" i="40" s="1"/>
  <c r="E20" i="40"/>
  <c r="G20" i="40" s="1"/>
  <c r="BC27" i="41"/>
  <c r="P21" i="40"/>
  <c r="E47" i="40"/>
  <c r="G47" i="40" s="1"/>
  <c r="H33" i="40"/>
  <c r="H50" i="40" s="1"/>
  <c r="J50" i="40" s="1"/>
  <c r="J31" i="40"/>
  <c r="J33" i="40" s="1"/>
  <c r="H105" i="39"/>
  <c r="C137" i="39" s="1"/>
  <c r="R21" i="40"/>
  <c r="H44" i="39"/>
  <c r="P43" i="40"/>
  <c r="J43" i="39"/>
  <c r="H43" i="39" s="1"/>
  <c r="W15" i="39"/>
  <c r="J44" i="39"/>
  <c r="J46" i="39"/>
  <c r="F21" i="40"/>
  <c r="F50" i="40" s="1"/>
  <c r="Q29" i="40"/>
  <c r="Q21" i="40"/>
  <c r="Q33" i="40"/>
  <c r="J9" i="40"/>
  <c r="P29" i="40"/>
  <c r="M104" i="39"/>
  <c r="M107" i="39" s="1"/>
  <c r="M109" i="39" s="1"/>
  <c r="M111" i="39" s="1"/>
  <c r="L107" i="39"/>
  <c r="L109" i="39" s="1"/>
  <c r="L111" i="39" s="1"/>
  <c r="N104" i="39"/>
  <c r="N107" i="39" s="1"/>
  <c r="N109" i="39" s="1"/>
  <c r="N111" i="39" s="1"/>
  <c r="W46" i="39"/>
  <c r="B127" i="39"/>
  <c r="I4" i="39"/>
  <c r="I7" i="39"/>
  <c r="I10" i="39"/>
  <c r="H103" i="39"/>
  <c r="G51" i="39"/>
  <c r="H46" i="39"/>
  <c r="U104" i="38"/>
  <c r="U107" i="38" s="1"/>
  <c r="U109" i="38" s="1"/>
  <c r="U111" i="38" s="1"/>
  <c r="M43" i="38"/>
  <c r="K46" i="38"/>
  <c r="F137" i="38"/>
  <c r="F20" i="38"/>
  <c r="F133" i="38"/>
  <c r="K43" i="38"/>
  <c r="H43" i="38" s="1"/>
  <c r="W51" i="38"/>
  <c r="H51" i="38"/>
  <c r="T43" i="38"/>
  <c r="I4" i="38"/>
  <c r="I7" i="38"/>
  <c r="I10" i="38"/>
  <c r="B127" i="38"/>
  <c r="W17" i="38"/>
  <c r="W14" i="38"/>
  <c r="H103" i="38"/>
  <c r="M46" i="38"/>
  <c r="J107" i="38"/>
  <c r="J109" i="38" s="1"/>
  <c r="H28" i="38"/>
  <c r="F28" i="38" s="1"/>
  <c r="K78" i="38"/>
  <c r="H59" i="38"/>
  <c r="H78" i="38" s="1"/>
  <c r="U44" i="38"/>
  <c r="H44" i="38" s="1"/>
  <c r="L43" i="38"/>
  <c r="R104" i="38"/>
  <c r="R107" i="38" s="1"/>
  <c r="R109" i="38" s="1"/>
  <c r="R111" i="38" s="1"/>
  <c r="T46" i="38"/>
  <c r="T44" i="38"/>
  <c r="G101" i="38"/>
  <c r="L46" i="38"/>
  <c r="S11" i="40" l="1"/>
  <c r="S52" i="40" s="1"/>
  <c r="S54" i="40" s="1"/>
  <c r="S55" i="40" s="1"/>
  <c r="Q11" i="40"/>
  <c r="F11" i="40"/>
  <c r="G11" i="40" s="1"/>
  <c r="I11" i="40"/>
  <c r="G13" i="40"/>
  <c r="G21" i="40" s="1"/>
  <c r="H52" i="40"/>
  <c r="E37" i="40"/>
  <c r="G35" i="40"/>
  <c r="E33" i="40"/>
  <c r="G31" i="40"/>
  <c r="G33" i="40" s="1"/>
  <c r="E29" i="40"/>
  <c r="G23" i="40"/>
  <c r="G29" i="40" s="1"/>
  <c r="G45" i="40"/>
  <c r="G48" i="40" s="1"/>
  <c r="E48" i="40"/>
  <c r="E43" i="40"/>
  <c r="G40" i="40"/>
  <c r="G43" i="40" s="1"/>
  <c r="E7" i="40"/>
  <c r="H7" i="40"/>
  <c r="J104" i="39"/>
  <c r="H104" i="39" s="1"/>
  <c r="H107" i="39" s="1"/>
  <c r="P7" i="40"/>
  <c r="R7" i="40"/>
  <c r="I13" i="39"/>
  <c r="Q50" i="40"/>
  <c r="Q52" i="40" s="1"/>
  <c r="Q54" i="40" s="1"/>
  <c r="Q55" i="40" s="1"/>
  <c r="F135" i="39"/>
  <c r="F136" i="39"/>
  <c r="F131" i="39"/>
  <c r="G138" i="39" s="1"/>
  <c r="F134" i="39"/>
  <c r="E128" i="39"/>
  <c r="G46" i="39"/>
  <c r="F132" i="39"/>
  <c r="F133" i="39"/>
  <c r="F137" i="39"/>
  <c r="J111" i="38"/>
  <c r="G51" i="38"/>
  <c r="C131" i="38"/>
  <c r="M104" i="38"/>
  <c r="M107" i="38" s="1"/>
  <c r="M109" i="38" s="1"/>
  <c r="M111" i="38" s="1"/>
  <c r="G78" i="38"/>
  <c r="C132" i="38"/>
  <c r="F132" i="38" s="1"/>
  <c r="H46" i="38"/>
  <c r="W25" i="38"/>
  <c r="W27" i="38"/>
  <c r="W29" i="38"/>
  <c r="W31" i="38"/>
  <c r="W36" i="38"/>
  <c r="W39" i="38"/>
  <c r="W26" i="38"/>
  <c r="W24" i="38"/>
  <c r="W28" i="38"/>
  <c r="W32" i="38"/>
  <c r="W38" i="38"/>
  <c r="W23" i="38"/>
  <c r="W30" i="38"/>
  <c r="W37" i="38"/>
  <c r="W22" i="38"/>
  <c r="W33" i="38"/>
  <c r="W21" i="38"/>
  <c r="W34" i="38"/>
  <c r="W40" i="38"/>
  <c r="W20" i="38"/>
  <c r="W35" i="38"/>
  <c r="W41" i="38"/>
  <c r="F135" i="38"/>
  <c r="F136" i="38"/>
  <c r="F134" i="38"/>
  <c r="K104" i="38"/>
  <c r="W46" i="38"/>
  <c r="W78" i="38"/>
  <c r="I13" i="38"/>
  <c r="T104" i="38"/>
  <c r="T107" i="38" s="1"/>
  <c r="T109" i="38" s="1"/>
  <c r="T111" i="38" s="1"/>
  <c r="L104" i="38"/>
  <c r="L107" i="38" s="1"/>
  <c r="L109" i="38" s="1"/>
  <c r="L111" i="38" s="1"/>
  <c r="J11" i="40" l="1"/>
  <c r="I52" i="40"/>
  <c r="F52" i="40"/>
  <c r="E50" i="40"/>
  <c r="G50" i="40" s="1"/>
  <c r="J7" i="40"/>
  <c r="H54" i="40"/>
  <c r="H55" i="40" s="1"/>
  <c r="G7" i="40"/>
  <c r="R46" i="40"/>
  <c r="R48" i="40" s="1"/>
  <c r="R50" i="40" s="1"/>
  <c r="R52" i="40" s="1"/>
  <c r="R54" i="40" s="1"/>
  <c r="R55" i="40" s="1"/>
  <c r="E46" i="40"/>
  <c r="G46" i="40" s="1"/>
  <c r="H46" i="40"/>
  <c r="J46" i="40" s="1"/>
  <c r="P46" i="40"/>
  <c r="P48" i="40" s="1"/>
  <c r="P50" i="40" s="1"/>
  <c r="P52" i="40" s="1"/>
  <c r="P54" i="40" s="1"/>
  <c r="P55" i="40" s="1"/>
  <c r="J107" i="39"/>
  <c r="J109" i="39" s="1"/>
  <c r="F54" i="40"/>
  <c r="G107" i="39"/>
  <c r="H109" i="39"/>
  <c r="H111" i="39" s="1"/>
  <c r="C138" i="39"/>
  <c r="G128" i="39"/>
  <c r="G139" i="39" s="1"/>
  <c r="W43" i="38"/>
  <c r="E128" i="38"/>
  <c r="G46" i="38"/>
  <c r="F131" i="38"/>
  <c r="K107" i="38"/>
  <c r="K109" i="38" s="1"/>
  <c r="H104" i="38"/>
  <c r="E52" i="40" l="1"/>
  <c r="J52" i="40"/>
  <c r="I54" i="40"/>
  <c r="J111" i="39"/>
  <c r="W111" i="39" s="1"/>
  <c r="W109" i="39"/>
  <c r="F55" i="40"/>
  <c r="F138" i="39"/>
  <c r="E138" i="39"/>
  <c r="E139" i="39" s="1"/>
  <c r="H107" i="38"/>
  <c r="C138" i="38"/>
  <c r="W109" i="38"/>
  <c r="K111" i="38"/>
  <c r="W111" i="38" s="1"/>
  <c r="G128" i="38"/>
  <c r="E54" i="40" l="1"/>
  <c r="G52" i="40"/>
  <c r="I55" i="40"/>
  <c r="J54" i="40"/>
  <c r="J55" i="40" s="1"/>
  <c r="F138" i="38"/>
  <c r="G138" i="38" s="1"/>
  <c r="G139" i="38" s="1"/>
  <c r="E138" i="38"/>
  <c r="E139" i="38" s="1"/>
  <c r="G107" i="38"/>
  <c r="H109" i="38"/>
  <c r="H111" i="38" s="1"/>
  <c r="E55" i="40" l="1"/>
  <c r="G54" i="40"/>
  <c r="G55" i="40" s="1"/>
  <c r="G4" i="37"/>
  <c r="BC4" i="37" s="1"/>
  <c r="K4" i="37"/>
  <c r="K29" i="37" s="1"/>
  <c r="K32" i="37" s="1"/>
  <c r="O4" i="37"/>
  <c r="O27" i="37" s="1"/>
  <c r="AZ4" i="37"/>
  <c r="BA4" i="37"/>
  <c r="G5" i="37"/>
  <c r="BC5" i="37" s="1"/>
  <c r="K5" i="37"/>
  <c r="O5" i="37"/>
  <c r="AZ5" i="37"/>
  <c r="BA5" i="37"/>
  <c r="BA27" i="37" s="1"/>
  <c r="G6" i="37"/>
  <c r="K6" i="37"/>
  <c r="BC6" i="37" s="1"/>
  <c r="O6" i="37"/>
  <c r="O29" i="37" s="1"/>
  <c r="O32" i="37" s="1"/>
  <c r="AZ6" i="37"/>
  <c r="BA6" i="37"/>
  <c r="G7" i="37"/>
  <c r="BC7" i="37" s="1"/>
  <c r="K7" i="37"/>
  <c r="O7" i="37"/>
  <c r="AZ7" i="37"/>
  <c r="BA7" i="37"/>
  <c r="G8" i="37"/>
  <c r="K8" i="37"/>
  <c r="O8" i="37"/>
  <c r="AZ8" i="37"/>
  <c r="AZ29" i="37" s="1"/>
  <c r="AZ32" i="37" s="1"/>
  <c r="BA8" i="37"/>
  <c r="BC8" i="37"/>
  <c r="G9" i="37"/>
  <c r="G29" i="37" s="1"/>
  <c r="K9" i="37"/>
  <c r="O9" i="37"/>
  <c r="AZ9" i="37"/>
  <c r="AZ27" i="37" s="1"/>
  <c r="BA9" i="37"/>
  <c r="G10" i="37"/>
  <c r="K10" i="37"/>
  <c r="BC10" i="37" s="1"/>
  <c r="O10" i="37"/>
  <c r="AZ10" i="37"/>
  <c r="BA10" i="37"/>
  <c r="G11" i="37"/>
  <c r="BC11" i="37" s="1"/>
  <c r="K11" i="37"/>
  <c r="O11" i="37"/>
  <c r="AZ11" i="37"/>
  <c r="BA11" i="37"/>
  <c r="G12" i="37"/>
  <c r="BC12" i="37" s="1"/>
  <c r="K12" i="37"/>
  <c r="O12" i="37"/>
  <c r="AZ12" i="37"/>
  <c r="BA12" i="37"/>
  <c r="G13" i="37"/>
  <c r="BC13" i="37" s="1"/>
  <c r="BC31" i="37" s="1"/>
  <c r="K13" i="37"/>
  <c r="O13" i="37"/>
  <c r="AZ13" i="37"/>
  <c r="BA13" i="37"/>
  <c r="G14" i="37"/>
  <c r="K14" i="37"/>
  <c r="BC14" i="37" s="1"/>
  <c r="O14" i="37"/>
  <c r="O31" i="37" s="1"/>
  <c r="AZ14" i="37"/>
  <c r="BA14" i="37"/>
  <c r="G15" i="37"/>
  <c r="BC15" i="37" s="1"/>
  <c r="K15" i="37"/>
  <c r="O15" i="37"/>
  <c r="AZ15" i="37"/>
  <c r="BA15" i="37"/>
  <c r="G16" i="37"/>
  <c r="K16" i="37"/>
  <c r="O16" i="37"/>
  <c r="AZ16" i="37"/>
  <c r="AZ31" i="37" s="1"/>
  <c r="BA16" i="37"/>
  <c r="BC16" i="37"/>
  <c r="G17" i="37"/>
  <c r="BC17" i="37" s="1"/>
  <c r="K17" i="37"/>
  <c r="O17" i="37"/>
  <c r="AZ17" i="37"/>
  <c r="BA17" i="37"/>
  <c r="G18" i="37"/>
  <c r="K18" i="37"/>
  <c r="BC18" i="37" s="1"/>
  <c r="O18" i="37"/>
  <c r="AZ18" i="37"/>
  <c r="BA18" i="37"/>
  <c r="G19" i="37"/>
  <c r="BC19" i="37" s="1"/>
  <c r="K19" i="37"/>
  <c r="O19" i="37"/>
  <c r="AZ19" i="37"/>
  <c r="BA19" i="37"/>
  <c r="G20" i="37"/>
  <c r="BC20" i="37" s="1"/>
  <c r="K20" i="37"/>
  <c r="O20" i="37"/>
  <c r="AZ20" i="37"/>
  <c r="BA20" i="37"/>
  <c r="G21" i="37"/>
  <c r="BC21" i="37" s="1"/>
  <c r="K21" i="37"/>
  <c r="O21" i="37"/>
  <c r="AZ21" i="37"/>
  <c r="BA21" i="37"/>
  <c r="G22" i="37"/>
  <c r="K22" i="37"/>
  <c r="BC22" i="37" s="1"/>
  <c r="O22" i="37"/>
  <c r="L38" i="33" s="1"/>
  <c r="AZ22" i="37"/>
  <c r="BA22" i="37"/>
  <c r="G23" i="37"/>
  <c r="BC23" i="37" s="1"/>
  <c r="K23" i="37"/>
  <c r="O23" i="37"/>
  <c r="AZ23" i="37"/>
  <c r="BA23" i="37"/>
  <c r="G24" i="37"/>
  <c r="K24" i="37"/>
  <c r="O24" i="37"/>
  <c r="AZ24" i="37"/>
  <c r="BA24" i="37"/>
  <c r="BC24" i="37"/>
  <c r="G25" i="37"/>
  <c r="BC25" i="37" s="1"/>
  <c r="K25" i="37"/>
  <c r="O25" i="37"/>
  <c r="AZ25" i="37"/>
  <c r="BA25" i="37"/>
  <c r="AZ26" i="37"/>
  <c r="BA26" i="37"/>
  <c r="BC26" i="37"/>
  <c r="D27" i="37"/>
  <c r="E27" i="37"/>
  <c r="H27" i="37"/>
  <c r="I27" i="37"/>
  <c r="BA28" i="37" s="1"/>
  <c r="L27" i="37"/>
  <c r="L16" i="33" s="1"/>
  <c r="M27" i="37"/>
  <c r="P27" i="37"/>
  <c r="Q27" i="37"/>
  <c r="S27" i="37"/>
  <c r="T27" i="37"/>
  <c r="U27" i="37"/>
  <c r="W27" i="37"/>
  <c r="X27" i="37"/>
  <c r="Y27" i="37"/>
  <c r="AA27" i="37"/>
  <c r="AB27" i="37"/>
  <c r="AC27" i="37"/>
  <c r="AE27" i="37"/>
  <c r="AF27" i="37"/>
  <c r="AG27" i="37"/>
  <c r="AI27" i="37"/>
  <c r="AJ27" i="37"/>
  <c r="AK27" i="37"/>
  <c r="AM27" i="37"/>
  <c r="AN27" i="37"/>
  <c r="AO27" i="37"/>
  <c r="AQ27" i="37"/>
  <c r="AR27" i="37"/>
  <c r="AS27" i="37"/>
  <c r="AU27" i="37"/>
  <c r="AV27" i="37"/>
  <c r="AW27" i="37"/>
  <c r="AY27" i="37"/>
  <c r="AZ28" i="37"/>
  <c r="D29" i="37"/>
  <c r="D32" i="37" s="1"/>
  <c r="H29" i="37"/>
  <c r="L29" i="37"/>
  <c r="P29" i="37"/>
  <c r="S29" i="37"/>
  <c r="T29" i="37"/>
  <c r="W29" i="37"/>
  <c r="X29" i="37"/>
  <c r="X32" i="37" s="1"/>
  <c r="AA29" i="37"/>
  <c r="AB29" i="37"/>
  <c r="AB32" i="37" s="1"/>
  <c r="AE29" i="37"/>
  <c r="AE32" i="37" s="1"/>
  <c r="AF29" i="37"/>
  <c r="AI29" i="37"/>
  <c r="AI32" i="37" s="1"/>
  <c r="AJ29" i="37"/>
  <c r="AJ32" i="37" s="1"/>
  <c r="AM29" i="37"/>
  <c r="AN29" i="37"/>
  <c r="AQ29" i="37"/>
  <c r="AR29" i="37"/>
  <c r="AU29" i="37"/>
  <c r="AU32" i="37" s="1"/>
  <c r="AV29" i="37"/>
  <c r="AY29" i="37"/>
  <c r="D31" i="37"/>
  <c r="H31" i="37"/>
  <c r="H32" i="37" s="1"/>
  <c r="K31" i="37"/>
  <c r="L31" i="37"/>
  <c r="P31" i="37"/>
  <c r="P32" i="37" s="1"/>
  <c r="S31" i="37"/>
  <c r="S32" i="37" s="1"/>
  <c r="T31" i="37"/>
  <c r="W31" i="37"/>
  <c r="X31" i="37"/>
  <c r="AA31" i="37"/>
  <c r="AA32" i="37" s="1"/>
  <c r="AB31" i="37"/>
  <c r="AE31" i="37"/>
  <c r="AF31" i="37"/>
  <c r="AI31" i="37"/>
  <c r="AJ31" i="37"/>
  <c r="AM31" i="37"/>
  <c r="AN31" i="37"/>
  <c r="AN32" i="37" s="1"/>
  <c r="AQ31" i="37"/>
  <c r="AQ32" i="37" s="1"/>
  <c r="AR31" i="37"/>
  <c r="AU31" i="37"/>
  <c r="AV31" i="37"/>
  <c r="AV32" i="37" s="1"/>
  <c r="AY31" i="37"/>
  <c r="AY32" i="37" s="1"/>
  <c r="L32" i="37"/>
  <c r="T32" i="37"/>
  <c r="W32" i="37"/>
  <c r="AF32" i="37"/>
  <c r="AM32" i="37"/>
  <c r="AR32" i="37"/>
  <c r="G4" i="36"/>
  <c r="BC4" i="36" s="1"/>
  <c r="K4" i="36"/>
  <c r="O4" i="36"/>
  <c r="O27" i="36" s="1"/>
  <c r="AZ4" i="36"/>
  <c r="AZ29" i="36" s="1"/>
  <c r="AZ32" i="36" s="1"/>
  <c r="BA4" i="36"/>
  <c r="G5" i="36"/>
  <c r="BC5" i="36" s="1"/>
  <c r="K5" i="36"/>
  <c r="O5" i="36"/>
  <c r="AZ5" i="36"/>
  <c r="BA5" i="36"/>
  <c r="G6" i="36"/>
  <c r="BC6" i="36" s="1"/>
  <c r="K6" i="36"/>
  <c r="O6" i="36"/>
  <c r="AZ6" i="36"/>
  <c r="BA6" i="36"/>
  <c r="G7" i="36"/>
  <c r="BC7" i="36" s="1"/>
  <c r="K7" i="36"/>
  <c r="O7" i="36"/>
  <c r="AZ7" i="36"/>
  <c r="BA7" i="36"/>
  <c r="BA27" i="36" s="1"/>
  <c r="G8" i="36"/>
  <c r="BC8" i="36" s="1"/>
  <c r="K8" i="36"/>
  <c r="O8" i="36"/>
  <c r="AZ8" i="36"/>
  <c r="BA8" i="36"/>
  <c r="G9" i="36"/>
  <c r="K9" i="36"/>
  <c r="O9" i="36"/>
  <c r="AZ9" i="36"/>
  <c r="BA9" i="36"/>
  <c r="BC9" i="36"/>
  <c r="G10" i="36"/>
  <c r="K10" i="36"/>
  <c r="O10" i="36"/>
  <c r="AZ10" i="36"/>
  <c r="BA10" i="36"/>
  <c r="BC10" i="36"/>
  <c r="G11" i="36"/>
  <c r="K11" i="36"/>
  <c r="BC11" i="36" s="1"/>
  <c r="O11" i="36"/>
  <c r="AZ11" i="36"/>
  <c r="BA11" i="36"/>
  <c r="G12" i="36"/>
  <c r="BC12" i="36" s="1"/>
  <c r="K12" i="36"/>
  <c r="K28" i="31" s="1"/>
  <c r="O12" i="36"/>
  <c r="AZ12" i="36"/>
  <c r="BA12" i="36"/>
  <c r="G13" i="36"/>
  <c r="G31" i="36" s="1"/>
  <c r="K13" i="36"/>
  <c r="O13" i="36"/>
  <c r="O31" i="36" s="1"/>
  <c r="AZ13" i="36"/>
  <c r="AZ31" i="36" s="1"/>
  <c r="BA13" i="36"/>
  <c r="G14" i="36"/>
  <c r="BC14" i="36" s="1"/>
  <c r="K14" i="36"/>
  <c r="O14" i="36"/>
  <c r="AZ14" i="36"/>
  <c r="BA14" i="36"/>
  <c r="G15" i="36"/>
  <c r="BC15" i="36" s="1"/>
  <c r="K15" i="36"/>
  <c r="O15" i="36"/>
  <c r="AZ15" i="36"/>
  <c r="BA15" i="36"/>
  <c r="G16" i="36"/>
  <c r="BC16" i="36" s="1"/>
  <c r="K16" i="36"/>
  <c r="K32" i="31" s="1"/>
  <c r="O16" i="36"/>
  <c r="AZ16" i="36"/>
  <c r="BA16" i="36"/>
  <c r="G17" i="36"/>
  <c r="K17" i="36"/>
  <c r="O17" i="36"/>
  <c r="AZ17" i="36"/>
  <c r="BA17" i="36"/>
  <c r="BC17" i="36"/>
  <c r="G18" i="36"/>
  <c r="K18" i="36"/>
  <c r="O18" i="36"/>
  <c r="AZ18" i="36"/>
  <c r="BA18" i="36"/>
  <c r="BC18" i="36"/>
  <c r="G19" i="36"/>
  <c r="K19" i="36"/>
  <c r="BC19" i="36" s="1"/>
  <c r="O19" i="36"/>
  <c r="AZ19" i="36"/>
  <c r="BA19" i="36"/>
  <c r="G20" i="36"/>
  <c r="BC20" i="36" s="1"/>
  <c r="K20" i="36"/>
  <c r="K36" i="31" s="1"/>
  <c r="O20" i="36"/>
  <c r="L36" i="31" s="1"/>
  <c r="AZ20" i="36"/>
  <c r="BA20" i="36"/>
  <c r="G21" i="36"/>
  <c r="BC21" i="36" s="1"/>
  <c r="K21" i="36"/>
  <c r="O21" i="36"/>
  <c r="AZ21" i="36"/>
  <c r="BA21" i="36"/>
  <c r="G22" i="36"/>
  <c r="BC22" i="36" s="1"/>
  <c r="K22" i="36"/>
  <c r="O22" i="36"/>
  <c r="AZ22" i="36"/>
  <c r="BA22" i="36"/>
  <c r="G23" i="36"/>
  <c r="BC23" i="36" s="1"/>
  <c r="K23" i="36"/>
  <c r="O23" i="36"/>
  <c r="AZ23" i="36"/>
  <c r="BA23" i="36"/>
  <c r="G24" i="36"/>
  <c r="BC24" i="36" s="1"/>
  <c r="K24" i="36"/>
  <c r="K40" i="31" s="1"/>
  <c r="O24" i="36"/>
  <c r="AZ24" i="36"/>
  <c r="BA24" i="36"/>
  <c r="G25" i="36"/>
  <c r="K25" i="36"/>
  <c r="O25" i="36"/>
  <c r="AZ25" i="36"/>
  <c r="BA25" i="36"/>
  <c r="BC25" i="36"/>
  <c r="AZ26" i="36"/>
  <c r="BA26" i="36"/>
  <c r="BC26" i="36"/>
  <c r="D27" i="36"/>
  <c r="AZ28" i="36" s="1"/>
  <c r="E27" i="36"/>
  <c r="BA28" i="36" s="1"/>
  <c r="H27" i="36"/>
  <c r="I27" i="36"/>
  <c r="K27" i="36"/>
  <c r="L27" i="36"/>
  <c r="M27" i="36"/>
  <c r="P27" i="36"/>
  <c r="Q27" i="36"/>
  <c r="T27" i="36"/>
  <c r="U27" i="36"/>
  <c r="W27" i="36"/>
  <c r="X27" i="36"/>
  <c r="Y27" i="36"/>
  <c r="AA27" i="36"/>
  <c r="AB27" i="36"/>
  <c r="P16" i="31" s="1"/>
  <c r="AC27" i="36"/>
  <c r="AE27" i="36"/>
  <c r="AF27" i="36"/>
  <c r="AG27" i="36"/>
  <c r="AI27" i="36"/>
  <c r="AJ27" i="36"/>
  <c r="AK27" i="36"/>
  <c r="AM27" i="36"/>
  <c r="AN27" i="36"/>
  <c r="AO27" i="36"/>
  <c r="AQ27" i="36"/>
  <c r="AR27" i="36"/>
  <c r="AS27" i="36"/>
  <c r="AU27" i="36"/>
  <c r="AV27" i="36"/>
  <c r="AW27" i="36"/>
  <c r="AY27" i="36"/>
  <c r="D29" i="36"/>
  <c r="H29" i="36"/>
  <c r="H32" i="36" s="1"/>
  <c r="K29" i="36"/>
  <c r="K32" i="36" s="1"/>
  <c r="L29" i="36"/>
  <c r="P29" i="36"/>
  <c r="T29" i="36"/>
  <c r="W29" i="36"/>
  <c r="W32" i="36" s="1"/>
  <c r="X29" i="36"/>
  <c r="X32" i="36" s="1"/>
  <c r="AA29" i="36"/>
  <c r="AB29" i="36"/>
  <c r="AB32" i="36" s="1"/>
  <c r="AE29" i="36"/>
  <c r="AE32" i="36" s="1"/>
  <c r="AF29" i="36"/>
  <c r="AI29" i="36"/>
  <c r="AJ29" i="36"/>
  <c r="AM29" i="36"/>
  <c r="AN29" i="36"/>
  <c r="AQ29" i="36"/>
  <c r="AQ32" i="36" s="1"/>
  <c r="AR29" i="36"/>
  <c r="AR32" i="36" s="1"/>
  <c r="AU29" i="36"/>
  <c r="AV29" i="36"/>
  <c r="AY29" i="36"/>
  <c r="AY32" i="36" s="1"/>
  <c r="D31" i="36"/>
  <c r="H31" i="36"/>
  <c r="K31" i="36"/>
  <c r="L31" i="36"/>
  <c r="P31" i="36"/>
  <c r="T31" i="36"/>
  <c r="W31" i="36"/>
  <c r="X31" i="36"/>
  <c r="AA31" i="36"/>
  <c r="AB31" i="36"/>
  <c r="AE31" i="36"/>
  <c r="AF31" i="36"/>
  <c r="AF32" i="36" s="1"/>
  <c r="AI31" i="36"/>
  <c r="AI32" i="36" s="1"/>
  <c r="AJ31" i="36"/>
  <c r="AJ32" i="36" s="1"/>
  <c r="AM31" i="36"/>
  <c r="AN31" i="36"/>
  <c r="AQ31" i="36"/>
  <c r="AR31" i="36"/>
  <c r="AU31" i="36"/>
  <c r="AV31" i="36"/>
  <c r="AY31" i="36"/>
  <c r="D32" i="36"/>
  <c r="L32" i="36"/>
  <c r="P32" i="36"/>
  <c r="T32" i="36"/>
  <c r="AA32" i="36"/>
  <c r="AM32" i="36"/>
  <c r="AN32" i="36"/>
  <c r="AU32" i="36"/>
  <c r="AV32" i="36"/>
  <c r="A1" i="35"/>
  <c r="A2" i="35"/>
  <c r="Q2" i="35"/>
  <c r="E5" i="35"/>
  <c r="F5" i="35"/>
  <c r="F42" i="35" s="1"/>
  <c r="I5" i="35"/>
  <c r="S5" i="35"/>
  <c r="R9" i="35"/>
  <c r="S9" i="35"/>
  <c r="I13" i="35"/>
  <c r="I21" i="35" s="1"/>
  <c r="S13" i="35"/>
  <c r="I14" i="35"/>
  <c r="R14" i="35"/>
  <c r="F15" i="35"/>
  <c r="I15" i="35"/>
  <c r="I16" i="35"/>
  <c r="R16" i="35"/>
  <c r="S16" i="35"/>
  <c r="F17" i="35"/>
  <c r="I17" i="35"/>
  <c r="S17" i="35"/>
  <c r="I18" i="35"/>
  <c r="I19" i="35"/>
  <c r="R19" i="35"/>
  <c r="S19" i="35"/>
  <c r="I20" i="35"/>
  <c r="R20" i="35"/>
  <c r="S20" i="35"/>
  <c r="I23" i="35"/>
  <c r="I29" i="35" s="1"/>
  <c r="R23" i="35"/>
  <c r="I24" i="35"/>
  <c r="I25" i="35"/>
  <c r="R25" i="35"/>
  <c r="S25" i="35"/>
  <c r="I26" i="35"/>
  <c r="S26" i="35"/>
  <c r="I27" i="35"/>
  <c r="I28" i="35"/>
  <c r="R28" i="35"/>
  <c r="S28" i="35"/>
  <c r="F31" i="35"/>
  <c r="F33" i="35" s="1"/>
  <c r="I31" i="35"/>
  <c r="I33" i="35" s="1"/>
  <c r="R31" i="35"/>
  <c r="R33" i="35" s="1"/>
  <c r="S31" i="35"/>
  <c r="I32" i="35"/>
  <c r="R32" i="35"/>
  <c r="F35" i="35"/>
  <c r="F37" i="35" s="1"/>
  <c r="I35" i="35"/>
  <c r="R35" i="35"/>
  <c r="S35" i="35"/>
  <c r="I36" i="35"/>
  <c r="S36" i="35"/>
  <c r="I40" i="35"/>
  <c r="I43" i="35" s="1"/>
  <c r="R40" i="35"/>
  <c r="F41" i="35"/>
  <c r="I41" i="35"/>
  <c r="I42" i="35"/>
  <c r="R42" i="35"/>
  <c r="S42" i="35"/>
  <c r="I45" i="35"/>
  <c r="I48" i="35" s="1"/>
  <c r="F47" i="35"/>
  <c r="I47" i="35"/>
  <c r="S47" i="35"/>
  <c r="A1" i="34"/>
  <c r="A2" i="34" s="1"/>
  <c r="Q2" i="34"/>
  <c r="E5" i="34"/>
  <c r="E31" i="34" s="1"/>
  <c r="E33" i="34" s="1"/>
  <c r="F5" i="34"/>
  <c r="F9" i="34" s="1"/>
  <c r="I5" i="34"/>
  <c r="I25" i="34" s="1"/>
  <c r="R14" i="34"/>
  <c r="S14" i="34"/>
  <c r="R15" i="34"/>
  <c r="I16" i="34"/>
  <c r="S16" i="34"/>
  <c r="F19" i="34"/>
  <c r="R19" i="34"/>
  <c r="S19" i="34"/>
  <c r="R20" i="34"/>
  <c r="R23" i="34"/>
  <c r="S23" i="34"/>
  <c r="R24" i="34"/>
  <c r="S25" i="34"/>
  <c r="F26" i="34"/>
  <c r="I26" i="34"/>
  <c r="R28" i="34"/>
  <c r="S28" i="34"/>
  <c r="F31" i="34"/>
  <c r="F33" i="34" s="1"/>
  <c r="I32" i="34"/>
  <c r="R32" i="34"/>
  <c r="S32" i="34"/>
  <c r="F35" i="34"/>
  <c r="F37" i="34" s="1"/>
  <c r="S35" i="34"/>
  <c r="F40" i="34"/>
  <c r="F43" i="34" s="1"/>
  <c r="R40" i="34"/>
  <c r="S40" i="34"/>
  <c r="F41" i="34"/>
  <c r="R41" i="34"/>
  <c r="F42" i="34"/>
  <c r="I42" i="34"/>
  <c r="S42" i="34"/>
  <c r="F45" i="34"/>
  <c r="F48" i="34" s="1"/>
  <c r="F47" i="34"/>
  <c r="C1" i="33"/>
  <c r="B2" i="33"/>
  <c r="B1" i="35" s="1"/>
  <c r="A1" i="37" s="1"/>
  <c r="I3" i="33"/>
  <c r="W13" i="33" s="1"/>
  <c r="J13" i="33"/>
  <c r="K13" i="33"/>
  <c r="L13" i="33"/>
  <c r="M13" i="33"/>
  <c r="N13" i="33"/>
  <c r="N14" i="33" s="1"/>
  <c r="O13" i="33"/>
  <c r="O14" i="33" s="1"/>
  <c r="P13" i="33"/>
  <c r="Q13" i="33"/>
  <c r="R13" i="33"/>
  <c r="S13" i="33"/>
  <c r="T13" i="33"/>
  <c r="U13" i="33"/>
  <c r="K14" i="33"/>
  <c r="X14" i="33"/>
  <c r="X15" i="33"/>
  <c r="J16" i="33"/>
  <c r="J105" i="33" s="1"/>
  <c r="K16" i="33"/>
  <c r="K105" i="33" s="1"/>
  <c r="M16" i="33"/>
  <c r="M103" i="33" s="1"/>
  <c r="N16" i="33"/>
  <c r="N103" i="33" s="1"/>
  <c r="O16" i="33"/>
  <c r="P16" i="33"/>
  <c r="Q16" i="33"/>
  <c r="R16" i="33"/>
  <c r="R14" i="33" s="1"/>
  <c r="S16" i="33"/>
  <c r="S14" i="33" s="1"/>
  <c r="T16" i="33"/>
  <c r="T103" i="33" s="1"/>
  <c r="U16" i="33"/>
  <c r="U103" i="33" s="1"/>
  <c r="X16" i="33"/>
  <c r="J20" i="33"/>
  <c r="K20" i="33"/>
  <c r="L20" i="33"/>
  <c r="M20" i="33"/>
  <c r="N20" i="33"/>
  <c r="O20" i="33"/>
  <c r="P20" i="33"/>
  <c r="Q20" i="33"/>
  <c r="R20" i="33"/>
  <c r="S20" i="33"/>
  <c r="T20" i="33"/>
  <c r="U20" i="33"/>
  <c r="J21" i="33"/>
  <c r="K21" i="33"/>
  <c r="L21" i="33"/>
  <c r="M21" i="33"/>
  <c r="N21" i="33"/>
  <c r="O21" i="33"/>
  <c r="P21" i="33"/>
  <c r="Q21" i="33"/>
  <c r="R21" i="33"/>
  <c r="S21" i="33"/>
  <c r="T21" i="33"/>
  <c r="U21" i="33"/>
  <c r="J22" i="33"/>
  <c r="M22" i="33"/>
  <c r="N22" i="33"/>
  <c r="O22" i="33"/>
  <c r="P22" i="33"/>
  <c r="Q22" i="33"/>
  <c r="R22" i="33"/>
  <c r="S22" i="33"/>
  <c r="S46" i="33" s="1"/>
  <c r="T22" i="33"/>
  <c r="U22" i="33"/>
  <c r="J23" i="33"/>
  <c r="K23" i="33"/>
  <c r="L23" i="33"/>
  <c r="M23" i="33"/>
  <c r="N23" i="33"/>
  <c r="O23" i="33"/>
  <c r="P23" i="33"/>
  <c r="Q23" i="33"/>
  <c r="R23" i="33"/>
  <c r="S23" i="33"/>
  <c r="T23" i="33"/>
  <c r="U23" i="33"/>
  <c r="J24" i="33"/>
  <c r="K24" i="33"/>
  <c r="L24" i="33"/>
  <c r="M24" i="33"/>
  <c r="N24" i="33"/>
  <c r="O24" i="33"/>
  <c r="P24" i="33"/>
  <c r="Q24" i="33"/>
  <c r="R24" i="33"/>
  <c r="S24" i="33"/>
  <c r="T24" i="33"/>
  <c r="U24" i="33"/>
  <c r="K25" i="33"/>
  <c r="L25" i="33"/>
  <c r="M25" i="33"/>
  <c r="N25" i="33"/>
  <c r="O25" i="33"/>
  <c r="P25" i="33"/>
  <c r="Q25" i="33"/>
  <c r="R25" i="33"/>
  <c r="S25" i="33"/>
  <c r="T25" i="33"/>
  <c r="U25" i="33"/>
  <c r="J26" i="33"/>
  <c r="K26" i="33"/>
  <c r="H26" i="33" s="1"/>
  <c r="L26" i="33"/>
  <c r="M26" i="33"/>
  <c r="N26" i="33"/>
  <c r="O26" i="33"/>
  <c r="P26" i="33"/>
  <c r="Q26" i="33"/>
  <c r="R26" i="33"/>
  <c r="S26" i="33"/>
  <c r="T26" i="33"/>
  <c r="U26" i="33"/>
  <c r="J27" i="33"/>
  <c r="K27" i="33"/>
  <c r="L27" i="33"/>
  <c r="M27" i="33"/>
  <c r="N27" i="33"/>
  <c r="O27" i="33"/>
  <c r="P27" i="33"/>
  <c r="Q27" i="33"/>
  <c r="R27" i="33"/>
  <c r="R44" i="33" s="1"/>
  <c r="S27" i="33"/>
  <c r="T27" i="33"/>
  <c r="U27" i="33"/>
  <c r="J28" i="33"/>
  <c r="K28" i="33"/>
  <c r="L28" i="33"/>
  <c r="M28" i="33"/>
  <c r="N28" i="33"/>
  <c r="O28" i="33"/>
  <c r="O43" i="33" s="1"/>
  <c r="P28" i="33"/>
  <c r="Q28" i="33"/>
  <c r="R28" i="33"/>
  <c r="S28" i="33"/>
  <c r="T28" i="33"/>
  <c r="T43" i="33" s="1"/>
  <c r="U28" i="33"/>
  <c r="J29" i="33"/>
  <c r="K29" i="33"/>
  <c r="L29" i="33"/>
  <c r="M29" i="33"/>
  <c r="N29" i="33"/>
  <c r="O29" i="33"/>
  <c r="P29" i="33"/>
  <c r="Q29" i="33"/>
  <c r="R29" i="33"/>
  <c r="S29" i="33"/>
  <c r="T29" i="33"/>
  <c r="U29" i="33"/>
  <c r="J30" i="33"/>
  <c r="M30" i="33"/>
  <c r="N30" i="33"/>
  <c r="O30" i="33"/>
  <c r="P30" i="33"/>
  <c r="Q30" i="33"/>
  <c r="R30" i="33"/>
  <c r="S30" i="33"/>
  <c r="T30" i="33"/>
  <c r="U30" i="33"/>
  <c r="J31" i="33"/>
  <c r="H31" i="33" s="1"/>
  <c r="K31" i="33"/>
  <c r="L31" i="33"/>
  <c r="M31" i="33"/>
  <c r="N31" i="33"/>
  <c r="O31" i="33"/>
  <c r="P31" i="33"/>
  <c r="Q31" i="33"/>
  <c r="R31" i="33"/>
  <c r="S31" i="33"/>
  <c r="T31" i="33"/>
  <c r="U31" i="33"/>
  <c r="J32" i="33"/>
  <c r="K32" i="33"/>
  <c r="L32" i="33"/>
  <c r="M32" i="33"/>
  <c r="N32" i="33"/>
  <c r="O32" i="33"/>
  <c r="P32" i="33"/>
  <c r="Q32" i="33"/>
  <c r="R32" i="33"/>
  <c r="S32" i="33"/>
  <c r="T32" i="33"/>
  <c r="U32" i="33"/>
  <c r="J33" i="33"/>
  <c r="K33" i="33"/>
  <c r="L33" i="33"/>
  <c r="M33" i="33"/>
  <c r="N33" i="33"/>
  <c r="O33" i="33"/>
  <c r="P33" i="33"/>
  <c r="Q33" i="33"/>
  <c r="R33" i="33"/>
  <c r="S33" i="33"/>
  <c r="T33" i="33"/>
  <c r="U33" i="33"/>
  <c r="J34" i="33"/>
  <c r="K34" i="33"/>
  <c r="L34" i="33"/>
  <c r="M34" i="33"/>
  <c r="N34" i="33"/>
  <c r="O34" i="33"/>
  <c r="P34" i="33"/>
  <c r="Q34" i="33"/>
  <c r="R34" i="33"/>
  <c r="S34" i="33"/>
  <c r="T34" i="33"/>
  <c r="U34" i="33"/>
  <c r="J35" i="33"/>
  <c r="K35" i="33"/>
  <c r="L35" i="33"/>
  <c r="M35" i="33"/>
  <c r="N35" i="33"/>
  <c r="O35" i="33"/>
  <c r="P35" i="33"/>
  <c r="Q35" i="33"/>
  <c r="R35" i="33"/>
  <c r="S35" i="33"/>
  <c r="T35" i="33"/>
  <c r="U35" i="33"/>
  <c r="J36" i="33"/>
  <c r="K36" i="33"/>
  <c r="L36" i="33"/>
  <c r="M36" i="33"/>
  <c r="N36" i="33"/>
  <c r="O36" i="33"/>
  <c r="P36" i="33"/>
  <c r="Q36" i="33"/>
  <c r="R36" i="33"/>
  <c r="S36" i="33"/>
  <c r="T36" i="33"/>
  <c r="U36" i="33"/>
  <c r="J37" i="33"/>
  <c r="H37" i="33" s="1"/>
  <c r="K37" i="33"/>
  <c r="L37" i="33"/>
  <c r="M37" i="33"/>
  <c r="N37" i="33"/>
  <c r="O37" i="33"/>
  <c r="P37" i="33"/>
  <c r="Q37" i="33"/>
  <c r="R37" i="33"/>
  <c r="S37" i="33"/>
  <c r="T37" i="33"/>
  <c r="U37" i="33"/>
  <c r="J38" i="33"/>
  <c r="M38" i="33"/>
  <c r="N38" i="33"/>
  <c r="O38" i="33"/>
  <c r="P38" i="33"/>
  <c r="Q38" i="33"/>
  <c r="R38" i="33"/>
  <c r="S38" i="33"/>
  <c r="T38" i="33"/>
  <c r="U38" i="33"/>
  <c r="J39" i="33"/>
  <c r="K39" i="33"/>
  <c r="L39" i="33"/>
  <c r="M39" i="33"/>
  <c r="N39" i="33"/>
  <c r="O39" i="33"/>
  <c r="P39" i="33"/>
  <c r="Q39" i="33"/>
  <c r="R39" i="33"/>
  <c r="S39" i="33"/>
  <c r="T39" i="33"/>
  <c r="U39" i="33"/>
  <c r="J40" i="33"/>
  <c r="K40" i="33"/>
  <c r="L40" i="33"/>
  <c r="M40" i="33"/>
  <c r="N40" i="33"/>
  <c r="O40" i="33"/>
  <c r="P40" i="33"/>
  <c r="Q40" i="33"/>
  <c r="R40" i="33"/>
  <c r="S40" i="33"/>
  <c r="T40" i="33"/>
  <c r="U40" i="33"/>
  <c r="J41" i="33"/>
  <c r="K41" i="33"/>
  <c r="L41" i="33"/>
  <c r="M41" i="33"/>
  <c r="N41" i="33"/>
  <c r="O41" i="33"/>
  <c r="P41" i="33"/>
  <c r="Q41" i="33"/>
  <c r="R41" i="33"/>
  <c r="S41" i="33"/>
  <c r="T41" i="33"/>
  <c r="U41" i="33"/>
  <c r="C42" i="33"/>
  <c r="C43" i="33"/>
  <c r="P43" i="33"/>
  <c r="C44" i="33"/>
  <c r="Q44" i="33"/>
  <c r="H51" i="33"/>
  <c r="W51" i="33"/>
  <c r="H56" i="33"/>
  <c r="H78" i="33" s="1"/>
  <c r="H58" i="33"/>
  <c r="H59" i="33"/>
  <c r="H60" i="33"/>
  <c r="H61" i="33"/>
  <c r="H62" i="33"/>
  <c r="H63" i="33"/>
  <c r="H64" i="33"/>
  <c r="H65" i="33"/>
  <c r="H66" i="33"/>
  <c r="H67" i="33"/>
  <c r="H68" i="33"/>
  <c r="H69" i="33"/>
  <c r="H70" i="33"/>
  <c r="H71" i="33"/>
  <c r="H72" i="33"/>
  <c r="H73" i="33"/>
  <c r="H74" i="33"/>
  <c r="H75" i="33"/>
  <c r="H76" i="33"/>
  <c r="H77" i="33"/>
  <c r="W78" i="33"/>
  <c r="H82" i="33"/>
  <c r="H83" i="33"/>
  <c r="H84" i="33"/>
  <c r="H85" i="33"/>
  <c r="H86" i="33"/>
  <c r="H87" i="33"/>
  <c r="H88" i="33"/>
  <c r="H89" i="33"/>
  <c r="H90" i="33"/>
  <c r="J91" i="33"/>
  <c r="K91" i="33"/>
  <c r="L91" i="33"/>
  <c r="M91" i="33"/>
  <c r="N91" i="33"/>
  <c r="O91" i="33"/>
  <c r="P91" i="33"/>
  <c r="Q91" i="33"/>
  <c r="R91" i="33"/>
  <c r="S91" i="33"/>
  <c r="T91" i="33"/>
  <c r="U91" i="33"/>
  <c r="H92" i="33"/>
  <c r="H93" i="33"/>
  <c r="J94" i="33"/>
  <c r="H94" i="33" s="1"/>
  <c r="K94" i="33"/>
  <c r="L94" i="33"/>
  <c r="M94" i="33"/>
  <c r="N94" i="33"/>
  <c r="O94" i="33"/>
  <c r="P94" i="33"/>
  <c r="Q94" i="33"/>
  <c r="R94" i="33"/>
  <c r="S94" i="33"/>
  <c r="T94" i="33"/>
  <c r="U94" i="33"/>
  <c r="J95" i="33"/>
  <c r="H95" i="33" s="1"/>
  <c r="C134" i="33" s="1"/>
  <c r="K95" i="33"/>
  <c r="L95" i="33"/>
  <c r="M95" i="33"/>
  <c r="N95" i="33"/>
  <c r="O95" i="33"/>
  <c r="P95" i="33"/>
  <c r="Q95" i="33"/>
  <c r="R95" i="33"/>
  <c r="S95" i="33"/>
  <c r="T95" i="33"/>
  <c r="U95" i="33"/>
  <c r="H96" i="33"/>
  <c r="H97" i="33"/>
  <c r="H98" i="33"/>
  <c r="H99" i="33"/>
  <c r="H100" i="33"/>
  <c r="H101" i="33"/>
  <c r="H102" i="33"/>
  <c r="K103" i="33"/>
  <c r="O103" i="33"/>
  <c r="P103" i="33"/>
  <c r="Q103" i="33"/>
  <c r="M105" i="33"/>
  <c r="N105" i="33"/>
  <c r="O105" i="33"/>
  <c r="R105" i="33"/>
  <c r="S105" i="33"/>
  <c r="T105" i="33"/>
  <c r="G115" i="33"/>
  <c r="G119" i="33"/>
  <c r="G120" i="33"/>
  <c r="C131" i="33"/>
  <c r="C135" i="33"/>
  <c r="H142" i="33"/>
  <c r="H143" i="33"/>
  <c r="H144" i="33"/>
  <c r="H145" i="33"/>
  <c r="H146" i="33"/>
  <c r="H147" i="33"/>
  <c r="H148" i="33"/>
  <c r="H149" i="33"/>
  <c r="H150" i="33"/>
  <c r="H151" i="33"/>
  <c r="H152" i="33"/>
  <c r="H153" i="33"/>
  <c r="H154" i="33"/>
  <c r="H155" i="33"/>
  <c r="H156" i="33"/>
  <c r="H157" i="33"/>
  <c r="H158" i="33"/>
  <c r="H159" i="33"/>
  <c r="H160" i="33"/>
  <c r="H161" i="33"/>
  <c r="H162" i="33"/>
  <c r="H163" i="33"/>
  <c r="H164" i="33"/>
  <c r="H165" i="33"/>
  <c r="H166" i="33"/>
  <c r="H167" i="33"/>
  <c r="H168" i="33"/>
  <c r="H169" i="33"/>
  <c r="H170" i="33"/>
  <c r="H171" i="33"/>
  <c r="J173" i="33"/>
  <c r="K173" i="33"/>
  <c r="L173" i="33"/>
  <c r="M173" i="33"/>
  <c r="N173" i="33"/>
  <c r="O173" i="33"/>
  <c r="P173" i="33"/>
  <c r="Q173" i="33"/>
  <c r="R173" i="33"/>
  <c r="S173" i="33"/>
  <c r="T173" i="33"/>
  <c r="U173" i="33"/>
  <c r="I3" i="32"/>
  <c r="L13" i="32"/>
  <c r="L51" i="32" s="1"/>
  <c r="P13" i="32"/>
  <c r="Q13" i="32"/>
  <c r="S13" i="32"/>
  <c r="S51" i="32" s="1"/>
  <c r="T13" i="32"/>
  <c r="T51" i="32" s="1"/>
  <c r="W13" i="32"/>
  <c r="J14" i="32"/>
  <c r="K14" i="32"/>
  <c r="L14" i="32"/>
  <c r="M14" i="32"/>
  <c r="N14" i="32"/>
  <c r="O14" i="32"/>
  <c r="P14" i="32"/>
  <c r="Q14" i="32"/>
  <c r="R14" i="32"/>
  <c r="S14" i="32"/>
  <c r="T14" i="32"/>
  <c r="U14" i="32"/>
  <c r="X14" i="32"/>
  <c r="L15" i="32"/>
  <c r="M15" i="32"/>
  <c r="Q15" i="32"/>
  <c r="S15" i="32"/>
  <c r="X15" i="32"/>
  <c r="J16" i="32"/>
  <c r="J15" i="32" s="1"/>
  <c r="K16" i="32"/>
  <c r="K20" i="32" s="1"/>
  <c r="L16" i="32"/>
  <c r="L57" i="32" s="1"/>
  <c r="M16" i="32"/>
  <c r="M69" i="32" s="1"/>
  <c r="N16" i="32"/>
  <c r="N71" i="32" s="1"/>
  <c r="O16" i="32"/>
  <c r="P16" i="32"/>
  <c r="P20" i="32" s="1"/>
  <c r="Q16" i="32"/>
  <c r="R16" i="32"/>
  <c r="R15" i="32" s="1"/>
  <c r="S16" i="32"/>
  <c r="S71" i="32" s="1"/>
  <c r="T16" i="32"/>
  <c r="T15" i="32" s="1"/>
  <c r="U16" i="32"/>
  <c r="U13" i="32" s="1"/>
  <c r="X16" i="32"/>
  <c r="J20" i="32"/>
  <c r="L20" i="32"/>
  <c r="M20" i="32"/>
  <c r="M44" i="32" s="1"/>
  <c r="Q20" i="32"/>
  <c r="Q44" i="32" s="1"/>
  <c r="R20" i="32"/>
  <c r="R44" i="32" s="1"/>
  <c r="T20" i="32"/>
  <c r="X20" i="32"/>
  <c r="J21" i="32"/>
  <c r="L21" i="32"/>
  <c r="L46" i="32" s="1"/>
  <c r="L104" i="32" s="1"/>
  <c r="M21" i="32"/>
  <c r="Q21" i="32"/>
  <c r="R21" i="32"/>
  <c r="T21" i="32"/>
  <c r="X21" i="32"/>
  <c r="J22" i="32"/>
  <c r="L22" i="32"/>
  <c r="M22" i="32"/>
  <c r="Q22" i="32"/>
  <c r="R22" i="32"/>
  <c r="T22" i="32"/>
  <c r="X22" i="32"/>
  <c r="J23" i="32"/>
  <c r="L23" i="32"/>
  <c r="M23" i="32"/>
  <c r="O23" i="32"/>
  <c r="Q23" i="32"/>
  <c r="R23" i="32"/>
  <c r="T23" i="32"/>
  <c r="X23" i="32"/>
  <c r="J24" i="32"/>
  <c r="L24" i="32"/>
  <c r="M24" i="32"/>
  <c r="O24" i="32"/>
  <c r="Q24" i="32"/>
  <c r="R24" i="32"/>
  <c r="T24" i="32"/>
  <c r="X24" i="32"/>
  <c r="J25" i="32"/>
  <c r="L25" i="32"/>
  <c r="M25" i="32"/>
  <c r="O25" i="32"/>
  <c r="Q25" i="32"/>
  <c r="R25" i="32"/>
  <c r="T25" i="32"/>
  <c r="X25" i="32"/>
  <c r="J26" i="32"/>
  <c r="L26" i="32"/>
  <c r="M26" i="32"/>
  <c r="O26" i="32"/>
  <c r="Q26" i="32"/>
  <c r="R26" i="32"/>
  <c r="T26" i="32"/>
  <c r="X26" i="32"/>
  <c r="J27" i="32"/>
  <c r="L27" i="32"/>
  <c r="M27" i="32"/>
  <c r="O27" i="32"/>
  <c r="Q27" i="32"/>
  <c r="R27" i="32"/>
  <c r="T27" i="32"/>
  <c r="X27" i="32"/>
  <c r="J28" i="32"/>
  <c r="L28" i="32"/>
  <c r="L43" i="32" s="1"/>
  <c r="M28" i="32"/>
  <c r="O28" i="32"/>
  <c r="Q28" i="32"/>
  <c r="R28" i="32"/>
  <c r="R43" i="32" s="1"/>
  <c r="T28" i="32"/>
  <c r="T43" i="32" s="1"/>
  <c r="X28" i="32"/>
  <c r="J29" i="32"/>
  <c r="L29" i="32"/>
  <c r="M29" i="32"/>
  <c r="O29" i="32"/>
  <c r="O43" i="32" s="1"/>
  <c r="Q29" i="32"/>
  <c r="R29" i="32"/>
  <c r="T29" i="32"/>
  <c r="X29" i="32"/>
  <c r="J30" i="32"/>
  <c r="L30" i="32"/>
  <c r="M30" i="32"/>
  <c r="O30" i="32"/>
  <c r="Q30" i="32"/>
  <c r="R30" i="32"/>
  <c r="T30" i="32"/>
  <c r="X30" i="32"/>
  <c r="J31" i="32"/>
  <c r="L31" i="32"/>
  <c r="M31" i="32"/>
  <c r="O31" i="32"/>
  <c r="Q31" i="32"/>
  <c r="R31" i="32"/>
  <c r="T31" i="32"/>
  <c r="X31" i="32"/>
  <c r="J32" i="32"/>
  <c r="L32" i="32"/>
  <c r="M32" i="32"/>
  <c r="O32" i="32"/>
  <c r="Q32" i="32"/>
  <c r="R32" i="32"/>
  <c r="T32" i="32"/>
  <c r="X32" i="32"/>
  <c r="J33" i="32"/>
  <c r="L33" i="32"/>
  <c r="M33" i="32"/>
  <c r="O33" i="32"/>
  <c r="Q33" i="32"/>
  <c r="R33" i="32"/>
  <c r="T33" i="32"/>
  <c r="X33" i="32"/>
  <c r="J34" i="32"/>
  <c r="L34" i="32"/>
  <c r="M34" i="32"/>
  <c r="O34" i="32"/>
  <c r="Q34" i="32"/>
  <c r="R34" i="32"/>
  <c r="T34" i="32"/>
  <c r="X34" i="32"/>
  <c r="J35" i="32"/>
  <c r="L35" i="32"/>
  <c r="M35" i="32"/>
  <c r="N35" i="32"/>
  <c r="O35" i="32"/>
  <c r="Q35" i="32"/>
  <c r="R35" i="32"/>
  <c r="T35" i="32"/>
  <c r="X35" i="32"/>
  <c r="J36" i="32"/>
  <c r="L36" i="32"/>
  <c r="M36" i="32"/>
  <c r="N36" i="32"/>
  <c r="O36" i="32"/>
  <c r="Q36" i="32"/>
  <c r="Q43" i="32" s="1"/>
  <c r="R36" i="32"/>
  <c r="T36" i="32"/>
  <c r="X36" i="32"/>
  <c r="J37" i="32"/>
  <c r="L37" i="32"/>
  <c r="M37" i="32"/>
  <c r="N37" i="32"/>
  <c r="O37" i="32"/>
  <c r="Q37" i="32"/>
  <c r="R37" i="32"/>
  <c r="T37" i="32"/>
  <c r="X37" i="32"/>
  <c r="J38" i="32"/>
  <c r="L38" i="32"/>
  <c r="M38" i="32"/>
  <c r="N38" i="32"/>
  <c r="O38" i="32"/>
  <c r="Q38" i="32"/>
  <c r="R38" i="32"/>
  <c r="T38" i="32"/>
  <c r="X38" i="32"/>
  <c r="J39" i="32"/>
  <c r="L39" i="32"/>
  <c r="M39" i="32"/>
  <c r="M46" i="32" s="1"/>
  <c r="M104" i="32" s="1"/>
  <c r="N39" i="32"/>
  <c r="O39" i="32"/>
  <c r="Q39" i="32"/>
  <c r="R39" i="32"/>
  <c r="T39" i="32"/>
  <c r="X39" i="32"/>
  <c r="J40" i="32"/>
  <c r="L40" i="32"/>
  <c r="M40" i="32"/>
  <c r="M43" i="32" s="1"/>
  <c r="N40" i="32"/>
  <c r="O40" i="32"/>
  <c r="Q40" i="32"/>
  <c r="R40" i="32"/>
  <c r="T40" i="32"/>
  <c r="X40" i="32"/>
  <c r="J41" i="32"/>
  <c r="H41" i="32" s="1"/>
  <c r="K41" i="32"/>
  <c r="L41" i="32"/>
  <c r="M41" i="32"/>
  <c r="N41" i="32"/>
  <c r="O41" i="32"/>
  <c r="P41" i="32"/>
  <c r="Q41" i="32"/>
  <c r="R41" i="32"/>
  <c r="S41" i="32"/>
  <c r="T41" i="32"/>
  <c r="U41" i="32"/>
  <c r="X41" i="32"/>
  <c r="C42" i="32"/>
  <c r="C43" i="32"/>
  <c r="C44" i="32"/>
  <c r="Q46" i="32"/>
  <c r="Q104" i="32" s="1"/>
  <c r="P51" i="32"/>
  <c r="Q51" i="32"/>
  <c r="L56" i="32"/>
  <c r="M56" i="32"/>
  <c r="O56" i="32"/>
  <c r="P56" i="32"/>
  <c r="Q56" i="32"/>
  <c r="R56" i="32"/>
  <c r="S56" i="32"/>
  <c r="T56" i="32"/>
  <c r="U56" i="32"/>
  <c r="M57" i="32"/>
  <c r="O57" i="32"/>
  <c r="P57" i="32"/>
  <c r="Q57" i="32"/>
  <c r="R57" i="32"/>
  <c r="S57" i="32"/>
  <c r="T57" i="32"/>
  <c r="U57" i="32"/>
  <c r="J58" i="32"/>
  <c r="K58" i="32"/>
  <c r="L58" i="32"/>
  <c r="M58" i="32"/>
  <c r="N58" i="32"/>
  <c r="O58" i="32"/>
  <c r="P58" i="32"/>
  <c r="Q58" i="32"/>
  <c r="R58" i="32"/>
  <c r="S58" i="32"/>
  <c r="H58" i="32" s="1"/>
  <c r="T58" i="32"/>
  <c r="U58" i="32"/>
  <c r="L59" i="32"/>
  <c r="M59" i="32"/>
  <c r="N59" i="32"/>
  <c r="Q59" i="32"/>
  <c r="S59" i="32"/>
  <c r="T59" i="32"/>
  <c r="U59" i="32"/>
  <c r="J60" i="32"/>
  <c r="K60" i="32"/>
  <c r="L60" i="32"/>
  <c r="M60" i="32"/>
  <c r="N60" i="32"/>
  <c r="O60" i="32"/>
  <c r="P60" i="32"/>
  <c r="Q60" i="32"/>
  <c r="R60" i="32"/>
  <c r="S60" i="32"/>
  <c r="T60" i="32"/>
  <c r="U60" i="32"/>
  <c r="J61" i="32"/>
  <c r="K61" i="32"/>
  <c r="L61" i="32"/>
  <c r="M61" i="32"/>
  <c r="N61" i="32"/>
  <c r="O61" i="32"/>
  <c r="P61" i="32"/>
  <c r="Q61" i="32"/>
  <c r="R61" i="32"/>
  <c r="S61" i="32"/>
  <c r="T61" i="32"/>
  <c r="U61" i="32"/>
  <c r="J62" i="32"/>
  <c r="K62" i="32"/>
  <c r="L62" i="32"/>
  <c r="M62" i="32"/>
  <c r="N62" i="32"/>
  <c r="O62" i="32"/>
  <c r="P62" i="32"/>
  <c r="Q62" i="32"/>
  <c r="R62" i="32"/>
  <c r="S62" i="32"/>
  <c r="T62" i="32"/>
  <c r="U62" i="32"/>
  <c r="J63" i="32"/>
  <c r="K63" i="32"/>
  <c r="L63" i="32"/>
  <c r="M63" i="32"/>
  <c r="N63" i="32"/>
  <c r="O63" i="32"/>
  <c r="P63" i="32"/>
  <c r="Q63" i="32"/>
  <c r="R63" i="32"/>
  <c r="S63" i="32"/>
  <c r="T63" i="32"/>
  <c r="U63" i="32"/>
  <c r="J64" i="32"/>
  <c r="K64" i="32"/>
  <c r="L64" i="32"/>
  <c r="M64" i="32"/>
  <c r="N64" i="32"/>
  <c r="O64" i="32"/>
  <c r="P64" i="32"/>
  <c r="Q64" i="32"/>
  <c r="R64" i="32"/>
  <c r="S64" i="32"/>
  <c r="T64" i="32"/>
  <c r="U64" i="32"/>
  <c r="J65" i="32"/>
  <c r="K65" i="32"/>
  <c r="L65" i="32"/>
  <c r="M65" i="32"/>
  <c r="N65" i="32"/>
  <c r="O65" i="32"/>
  <c r="P65" i="32"/>
  <c r="Q65" i="32"/>
  <c r="R65" i="32"/>
  <c r="S65" i="32"/>
  <c r="T65" i="32"/>
  <c r="U65" i="32"/>
  <c r="L66" i="32"/>
  <c r="M66" i="32"/>
  <c r="N66" i="32"/>
  <c r="P66" i="32"/>
  <c r="Q66" i="32"/>
  <c r="R66" i="32"/>
  <c r="S66" i="32"/>
  <c r="T66" i="32"/>
  <c r="M67" i="32"/>
  <c r="N67" i="32"/>
  <c r="P67" i="32"/>
  <c r="Q67" i="32"/>
  <c r="R67" i="32"/>
  <c r="S67" i="32"/>
  <c r="T67" i="32"/>
  <c r="U67" i="32"/>
  <c r="L68" i="32"/>
  <c r="N68" i="32"/>
  <c r="P68" i="32"/>
  <c r="Q68" i="32"/>
  <c r="R68" i="32"/>
  <c r="S68" i="32"/>
  <c r="T68" i="32"/>
  <c r="L69" i="32"/>
  <c r="O69" i="32"/>
  <c r="Q69" i="32"/>
  <c r="Q78" i="32" s="1"/>
  <c r="S69" i="32"/>
  <c r="T69" i="32"/>
  <c r="J70" i="32"/>
  <c r="L70" i="32"/>
  <c r="M70" i="32"/>
  <c r="N70" i="32"/>
  <c r="O70" i="32"/>
  <c r="Q70" i="32"/>
  <c r="R70" i="32"/>
  <c r="T70" i="32"/>
  <c r="J71" i="32"/>
  <c r="L71" i="32"/>
  <c r="M71" i="32"/>
  <c r="O71" i="32"/>
  <c r="P71" i="32"/>
  <c r="Q71" i="32"/>
  <c r="R71" i="32"/>
  <c r="T71" i="32"/>
  <c r="U71" i="32"/>
  <c r="J72" i="32"/>
  <c r="K72" i="32"/>
  <c r="L72" i="32"/>
  <c r="M72" i="32"/>
  <c r="N72" i="32"/>
  <c r="O72" i="32"/>
  <c r="P72" i="32"/>
  <c r="Q72" i="32"/>
  <c r="R72" i="32"/>
  <c r="S72" i="32"/>
  <c r="T72" i="32"/>
  <c r="U72" i="32"/>
  <c r="J73" i="32"/>
  <c r="K73" i="32"/>
  <c r="L73" i="32"/>
  <c r="M73" i="32"/>
  <c r="N73" i="32"/>
  <c r="O73" i="32"/>
  <c r="P73" i="32"/>
  <c r="Q73" i="32"/>
  <c r="R73" i="32"/>
  <c r="S73" i="32"/>
  <c r="T73" i="32"/>
  <c r="U73" i="32"/>
  <c r="J74" i="32"/>
  <c r="K74" i="32"/>
  <c r="L74" i="32"/>
  <c r="M74" i="32"/>
  <c r="N74" i="32"/>
  <c r="O74" i="32"/>
  <c r="P74" i="32"/>
  <c r="Q74" i="32"/>
  <c r="R74" i="32"/>
  <c r="S74" i="32"/>
  <c r="T74" i="32"/>
  <c r="U74" i="32"/>
  <c r="J75" i="32"/>
  <c r="H75" i="32" s="1"/>
  <c r="K75" i="32"/>
  <c r="L75" i="32"/>
  <c r="M75" i="32"/>
  <c r="N75" i="32"/>
  <c r="O75" i="32"/>
  <c r="P75" i="32"/>
  <c r="Q75" i="32"/>
  <c r="R75" i="32"/>
  <c r="S75" i="32"/>
  <c r="T75" i="32"/>
  <c r="U75" i="32"/>
  <c r="J76" i="32"/>
  <c r="K76" i="32"/>
  <c r="L76" i="32"/>
  <c r="H76" i="32" s="1"/>
  <c r="M76" i="32"/>
  <c r="N76" i="32"/>
  <c r="O76" i="32"/>
  <c r="P76" i="32"/>
  <c r="Q76" i="32"/>
  <c r="R76" i="32"/>
  <c r="S76" i="32"/>
  <c r="T76" i="32"/>
  <c r="U76" i="32"/>
  <c r="J77" i="32"/>
  <c r="K77" i="32"/>
  <c r="H77" i="32" s="1"/>
  <c r="L77" i="32"/>
  <c r="M77" i="32"/>
  <c r="N77" i="32"/>
  <c r="O77" i="32"/>
  <c r="P77" i="32"/>
  <c r="Q77" i="32"/>
  <c r="R77" i="32"/>
  <c r="S77" i="32"/>
  <c r="T77" i="32"/>
  <c r="U77" i="32"/>
  <c r="H82" i="32"/>
  <c r="H83" i="32"/>
  <c r="H84" i="32"/>
  <c r="H85" i="32"/>
  <c r="H86" i="32"/>
  <c r="H87" i="32"/>
  <c r="H88" i="32"/>
  <c r="H89" i="32"/>
  <c r="H90" i="32"/>
  <c r="J91" i="32"/>
  <c r="K91" i="32"/>
  <c r="L91" i="32"/>
  <c r="M91" i="32"/>
  <c r="N91" i="32"/>
  <c r="O91" i="32"/>
  <c r="P91" i="32"/>
  <c r="Q91" i="32"/>
  <c r="R91" i="32"/>
  <c r="S91" i="32"/>
  <c r="T91" i="32"/>
  <c r="U91" i="32"/>
  <c r="J92" i="32"/>
  <c r="K92" i="32"/>
  <c r="L92" i="32"/>
  <c r="M92" i="32"/>
  <c r="N92" i="32"/>
  <c r="O92" i="32"/>
  <c r="P92" i="32"/>
  <c r="Q92" i="32"/>
  <c r="R92" i="32"/>
  <c r="S92" i="32"/>
  <c r="T92" i="32"/>
  <c r="U92" i="32"/>
  <c r="J93" i="32"/>
  <c r="K93" i="32"/>
  <c r="L93" i="32"/>
  <c r="M93" i="32"/>
  <c r="N93" i="32"/>
  <c r="O93" i="32"/>
  <c r="P93" i="32"/>
  <c r="Q93" i="32"/>
  <c r="R93" i="32"/>
  <c r="S93" i="32"/>
  <c r="T93" i="32"/>
  <c r="U93" i="32"/>
  <c r="J94" i="32"/>
  <c r="H94" i="32" s="1"/>
  <c r="K94" i="32"/>
  <c r="L94" i="32"/>
  <c r="M94" i="32"/>
  <c r="N94" i="32"/>
  <c r="O94" i="32"/>
  <c r="P94" i="32"/>
  <c r="Q94" i="32"/>
  <c r="R94" i="32"/>
  <c r="S94" i="32"/>
  <c r="T94" i="32"/>
  <c r="U94" i="32"/>
  <c r="J95" i="32"/>
  <c r="K95" i="32"/>
  <c r="L95" i="32"/>
  <c r="M95" i="32"/>
  <c r="N95" i="32"/>
  <c r="O95" i="32"/>
  <c r="P95" i="32"/>
  <c r="Q95" i="32"/>
  <c r="R95" i="32"/>
  <c r="S95" i="32"/>
  <c r="T95" i="32"/>
  <c r="U95" i="32"/>
  <c r="H96" i="32"/>
  <c r="C134" i="32" s="1"/>
  <c r="H97" i="32"/>
  <c r="H98" i="32"/>
  <c r="H99" i="32"/>
  <c r="H100" i="32"/>
  <c r="C136" i="32" s="1"/>
  <c r="H101" i="32"/>
  <c r="H102" i="32"/>
  <c r="M103" i="32"/>
  <c r="N103" i="32"/>
  <c r="P103" i="32"/>
  <c r="Q103" i="32"/>
  <c r="R103" i="32"/>
  <c r="S103" i="32"/>
  <c r="T103" i="32"/>
  <c r="U103" i="32"/>
  <c r="L105" i="32"/>
  <c r="O105" i="32"/>
  <c r="Q105" i="32"/>
  <c r="R105" i="32"/>
  <c r="S105" i="32"/>
  <c r="T105" i="32"/>
  <c r="H114" i="32"/>
  <c r="G114" i="32" s="1"/>
  <c r="H115" i="32"/>
  <c r="G115" i="32" s="1"/>
  <c r="H116" i="32"/>
  <c r="G116" i="32" s="1"/>
  <c r="H117" i="32"/>
  <c r="G117" i="32" s="1"/>
  <c r="H118" i="32"/>
  <c r="G118" i="32" s="1"/>
  <c r="H119" i="32"/>
  <c r="G119" i="32" s="1"/>
  <c r="H120" i="32"/>
  <c r="G120" i="32" s="1"/>
  <c r="H121" i="32"/>
  <c r="G121" i="32" s="1"/>
  <c r="H122" i="32"/>
  <c r="G122" i="32" s="1"/>
  <c r="C1" i="31"/>
  <c r="B2" i="31"/>
  <c r="B1" i="34" s="1"/>
  <c r="A1" i="36" s="1"/>
  <c r="I3" i="31"/>
  <c r="J13" i="31"/>
  <c r="K13" i="31"/>
  <c r="L13" i="31"/>
  <c r="L14" i="31" s="1"/>
  <c r="M13" i="31"/>
  <c r="N13" i="31"/>
  <c r="O13" i="31"/>
  <c r="P13" i="31"/>
  <c r="Q13" i="31"/>
  <c r="R13" i="31"/>
  <c r="R14" i="31" s="1"/>
  <c r="S13" i="31"/>
  <c r="S14" i="31" s="1"/>
  <c r="T13" i="31"/>
  <c r="U13" i="31"/>
  <c r="W13" i="31"/>
  <c r="U14" i="31"/>
  <c r="X14" i="31"/>
  <c r="X15" i="31"/>
  <c r="J16" i="31"/>
  <c r="K16" i="31"/>
  <c r="L16" i="31"/>
  <c r="L105" i="31" s="1"/>
  <c r="M16" i="31"/>
  <c r="N16" i="31"/>
  <c r="N103" i="31" s="1"/>
  <c r="O16" i="31"/>
  <c r="Q16" i="31"/>
  <c r="Q105" i="31" s="1"/>
  <c r="R16" i="31"/>
  <c r="S16" i="31"/>
  <c r="T16" i="31"/>
  <c r="T105" i="31" s="1"/>
  <c r="U16" i="31"/>
  <c r="X16" i="31"/>
  <c r="J20" i="31"/>
  <c r="K20" i="31"/>
  <c r="L20" i="31"/>
  <c r="M20" i="31"/>
  <c r="N20" i="31"/>
  <c r="O20" i="31"/>
  <c r="P20" i="31"/>
  <c r="Q20" i="31"/>
  <c r="R20" i="31"/>
  <c r="S20" i="31"/>
  <c r="T20" i="31"/>
  <c r="U20" i="31"/>
  <c r="J21" i="31"/>
  <c r="K21" i="31"/>
  <c r="K44" i="31" s="1"/>
  <c r="L21" i="31"/>
  <c r="M21" i="31"/>
  <c r="N21" i="31"/>
  <c r="N46" i="31" s="1"/>
  <c r="O21" i="31"/>
  <c r="P21" i="31"/>
  <c r="Q21" i="31"/>
  <c r="R21" i="31"/>
  <c r="S21" i="31"/>
  <c r="T21" i="31"/>
  <c r="U21" i="31"/>
  <c r="K22" i="31"/>
  <c r="L22" i="31"/>
  <c r="L44" i="31" s="1"/>
  <c r="M22" i="31"/>
  <c r="N22" i="31"/>
  <c r="O22" i="31"/>
  <c r="P22" i="31"/>
  <c r="Q22" i="31"/>
  <c r="R22" i="31"/>
  <c r="S22" i="31"/>
  <c r="T22" i="31"/>
  <c r="U22" i="31"/>
  <c r="J23" i="31"/>
  <c r="K23" i="31"/>
  <c r="L23" i="31"/>
  <c r="M23" i="31"/>
  <c r="N23" i="31"/>
  <c r="O23" i="31"/>
  <c r="P23" i="31"/>
  <c r="Q23" i="31"/>
  <c r="R23" i="31"/>
  <c r="S23" i="31"/>
  <c r="T23" i="31"/>
  <c r="U23" i="31"/>
  <c r="J24" i="31"/>
  <c r="H24" i="31" s="1"/>
  <c r="K24" i="31"/>
  <c r="L24" i="31"/>
  <c r="M24" i="31"/>
  <c r="N24" i="31"/>
  <c r="O24" i="31"/>
  <c r="P24" i="31"/>
  <c r="Q24" i="31"/>
  <c r="R24" i="31"/>
  <c r="S24" i="31"/>
  <c r="T24" i="31"/>
  <c r="U24" i="31"/>
  <c r="J25" i="31"/>
  <c r="H25" i="31" s="1"/>
  <c r="K25" i="31"/>
  <c r="L25" i="31"/>
  <c r="M25" i="31"/>
  <c r="N25" i="31"/>
  <c r="O25" i="31"/>
  <c r="P25" i="31"/>
  <c r="Q25" i="31"/>
  <c r="R25" i="31"/>
  <c r="S25" i="31"/>
  <c r="T25" i="31"/>
  <c r="U25" i="31"/>
  <c r="J26" i="31"/>
  <c r="K26" i="31"/>
  <c r="L26" i="31"/>
  <c r="M26" i="31"/>
  <c r="N26" i="31"/>
  <c r="O26" i="31"/>
  <c r="P26" i="31"/>
  <c r="Q26" i="31"/>
  <c r="R26" i="31"/>
  <c r="S26" i="31"/>
  <c r="T26" i="31"/>
  <c r="U26" i="31"/>
  <c r="J27" i="31"/>
  <c r="K27" i="31"/>
  <c r="L27" i="31"/>
  <c r="M27" i="31"/>
  <c r="N27" i="31"/>
  <c r="O27" i="31"/>
  <c r="P27" i="31"/>
  <c r="Q27" i="31"/>
  <c r="R27" i="31"/>
  <c r="S27" i="31"/>
  <c r="T27" i="31"/>
  <c r="U27" i="31"/>
  <c r="J28" i="31"/>
  <c r="L28" i="31"/>
  <c r="M28" i="31"/>
  <c r="N28" i="31"/>
  <c r="O28" i="31"/>
  <c r="P28" i="31"/>
  <c r="Q28" i="31"/>
  <c r="R28" i="31"/>
  <c r="S28" i="31"/>
  <c r="T28" i="31"/>
  <c r="U28" i="31"/>
  <c r="J29" i="31"/>
  <c r="K29" i="31"/>
  <c r="L29" i="31"/>
  <c r="M29" i="31"/>
  <c r="N29" i="31"/>
  <c r="O29" i="31"/>
  <c r="P29" i="31"/>
  <c r="Q29" i="31"/>
  <c r="R29" i="31"/>
  <c r="S29" i="31"/>
  <c r="T29" i="31"/>
  <c r="U29" i="31"/>
  <c r="K30" i="31"/>
  <c r="L30" i="31"/>
  <c r="M30" i="31"/>
  <c r="N30" i="31"/>
  <c r="O30" i="31"/>
  <c r="P30" i="31"/>
  <c r="Q30" i="31"/>
  <c r="R30" i="31"/>
  <c r="S30" i="31"/>
  <c r="T30" i="31"/>
  <c r="U30" i="31"/>
  <c r="J31" i="31"/>
  <c r="K31" i="31"/>
  <c r="L31" i="31"/>
  <c r="M31" i="31"/>
  <c r="N31" i="31"/>
  <c r="O31" i="31"/>
  <c r="P31" i="31"/>
  <c r="Q31" i="31"/>
  <c r="R31" i="31"/>
  <c r="S31" i="31"/>
  <c r="T31" i="31"/>
  <c r="U31" i="31"/>
  <c r="L32" i="31"/>
  <c r="M32" i="31"/>
  <c r="N32" i="31"/>
  <c r="O32" i="31"/>
  <c r="P32" i="31"/>
  <c r="Q32" i="31"/>
  <c r="R32" i="31"/>
  <c r="S32" i="31"/>
  <c r="T32" i="31"/>
  <c r="U32" i="31"/>
  <c r="J33" i="31"/>
  <c r="K33" i="31"/>
  <c r="L33" i="31"/>
  <c r="M33" i="31"/>
  <c r="N33" i="31"/>
  <c r="O33" i="31"/>
  <c r="P33" i="31"/>
  <c r="Q33" i="31"/>
  <c r="R33" i="31"/>
  <c r="S33" i="31"/>
  <c r="T33" i="31"/>
  <c r="U33" i="31"/>
  <c r="J34" i="31"/>
  <c r="K34" i="31"/>
  <c r="L34" i="31"/>
  <c r="M34" i="31"/>
  <c r="N34" i="31"/>
  <c r="O34" i="31"/>
  <c r="P34" i="31"/>
  <c r="Q34" i="31"/>
  <c r="R34" i="31"/>
  <c r="S34" i="31"/>
  <c r="T34" i="31"/>
  <c r="U34" i="31"/>
  <c r="J35" i="31"/>
  <c r="K35" i="31"/>
  <c r="L35" i="31"/>
  <c r="M35" i="31"/>
  <c r="N35" i="31"/>
  <c r="O35" i="31"/>
  <c r="P35" i="31"/>
  <c r="Q35" i="31"/>
  <c r="R35" i="31"/>
  <c r="S35" i="31"/>
  <c r="T35" i="31"/>
  <c r="U35" i="31"/>
  <c r="J36" i="31"/>
  <c r="M36" i="31"/>
  <c r="N36" i="31"/>
  <c r="O36" i="31"/>
  <c r="P36" i="31"/>
  <c r="Q36" i="31"/>
  <c r="R36" i="31"/>
  <c r="S36" i="31"/>
  <c r="T36" i="31"/>
  <c r="U36" i="31"/>
  <c r="J37" i="31"/>
  <c r="K37" i="31"/>
  <c r="L37" i="31"/>
  <c r="M37" i="31"/>
  <c r="N37" i="31"/>
  <c r="O37" i="31"/>
  <c r="P37" i="31"/>
  <c r="Q37" i="31"/>
  <c r="R37" i="31"/>
  <c r="S37" i="31"/>
  <c r="T37" i="31"/>
  <c r="U37" i="31"/>
  <c r="K38" i="31"/>
  <c r="L38" i="31"/>
  <c r="M38" i="31"/>
  <c r="N38" i="31"/>
  <c r="O38" i="31"/>
  <c r="P38" i="31"/>
  <c r="Q38" i="31"/>
  <c r="R38" i="31"/>
  <c r="S38" i="31"/>
  <c r="T38" i="31"/>
  <c r="U38" i="31"/>
  <c r="J39" i="31"/>
  <c r="K39" i="31"/>
  <c r="L39" i="31"/>
  <c r="M39" i="31"/>
  <c r="N39" i="31"/>
  <c r="O39" i="31"/>
  <c r="P39" i="31"/>
  <c r="Q39" i="31"/>
  <c r="R39" i="31"/>
  <c r="S39" i="31"/>
  <c r="T39" i="31"/>
  <c r="U39" i="31"/>
  <c r="L40" i="31"/>
  <c r="M40" i="31"/>
  <c r="N40" i="31"/>
  <c r="O40" i="31"/>
  <c r="P40" i="31"/>
  <c r="Q40" i="31"/>
  <c r="R40" i="31"/>
  <c r="S40" i="31"/>
  <c r="T40" i="31"/>
  <c r="U40" i="31"/>
  <c r="J41" i="31"/>
  <c r="K41" i="31"/>
  <c r="L41" i="31"/>
  <c r="H41" i="31" s="1"/>
  <c r="M41" i="31"/>
  <c r="N41" i="31"/>
  <c r="O41" i="31"/>
  <c r="P41" i="31"/>
  <c r="Q41" i="31"/>
  <c r="R41" i="31"/>
  <c r="S41" i="31"/>
  <c r="T41" i="31"/>
  <c r="U41" i="31"/>
  <c r="C42" i="31"/>
  <c r="C43" i="31"/>
  <c r="C44" i="31"/>
  <c r="Q44" i="31"/>
  <c r="H51" i="31"/>
  <c r="W51" i="31"/>
  <c r="H56" i="31"/>
  <c r="H78" i="31" s="1"/>
  <c r="H58" i="31"/>
  <c r="H59" i="31"/>
  <c r="H60" i="31"/>
  <c r="H61" i="31"/>
  <c r="H62" i="31"/>
  <c r="H63" i="31"/>
  <c r="H64" i="31"/>
  <c r="H65" i="31"/>
  <c r="H66" i="31"/>
  <c r="H67" i="31"/>
  <c r="H68" i="31"/>
  <c r="H69" i="31"/>
  <c r="H70" i="31"/>
  <c r="H71" i="31"/>
  <c r="H72" i="31"/>
  <c r="H73" i="31"/>
  <c r="H74" i="31"/>
  <c r="H75" i="31"/>
  <c r="H76" i="31"/>
  <c r="H77" i="31"/>
  <c r="W78" i="31"/>
  <c r="H82" i="31"/>
  <c r="H83" i="31"/>
  <c r="H84" i="31"/>
  <c r="H85" i="31"/>
  <c r="H86" i="31"/>
  <c r="H87" i="31"/>
  <c r="H88" i="31"/>
  <c r="H89" i="31"/>
  <c r="H90" i="31"/>
  <c r="C133" i="31" s="1"/>
  <c r="J91" i="31"/>
  <c r="H91" i="31" s="1"/>
  <c r="K91" i="31"/>
  <c r="L91" i="31"/>
  <c r="M91" i="31"/>
  <c r="N91" i="31"/>
  <c r="O91" i="31"/>
  <c r="P91" i="31"/>
  <c r="Q91" i="31"/>
  <c r="R91" i="31"/>
  <c r="S91" i="31"/>
  <c r="T91" i="31"/>
  <c r="U91" i="31"/>
  <c r="H92" i="31"/>
  <c r="H93" i="31"/>
  <c r="J94" i="31"/>
  <c r="K94" i="31"/>
  <c r="L94" i="31"/>
  <c r="H94" i="31" s="1"/>
  <c r="M94" i="31"/>
  <c r="N94" i="31"/>
  <c r="O94" i="31"/>
  <c r="P94" i="31"/>
  <c r="Q94" i="31"/>
  <c r="R94" i="31"/>
  <c r="S94" i="31"/>
  <c r="T94" i="31"/>
  <c r="U94" i="31"/>
  <c r="J95" i="31"/>
  <c r="H95" i="31" s="1"/>
  <c r="C134" i="31" s="1"/>
  <c r="K95" i="31"/>
  <c r="L95" i="31"/>
  <c r="M95" i="31"/>
  <c r="N95" i="31"/>
  <c r="O95" i="31"/>
  <c r="P95" i="31"/>
  <c r="Q95" i="31"/>
  <c r="R95" i="31"/>
  <c r="S95" i="31"/>
  <c r="T95" i="31"/>
  <c r="U95" i="31"/>
  <c r="H96" i="31"/>
  <c r="H97" i="31"/>
  <c r="C135" i="31" s="1"/>
  <c r="H98" i="31"/>
  <c r="H99" i="31"/>
  <c r="H100" i="31"/>
  <c r="H101" i="31"/>
  <c r="H102" i="31"/>
  <c r="J103" i="31"/>
  <c r="E45" i="34" s="1"/>
  <c r="K103" i="31"/>
  <c r="O103" i="31"/>
  <c r="Q103" i="31"/>
  <c r="R103" i="31"/>
  <c r="U103" i="31"/>
  <c r="K105" i="31"/>
  <c r="M105" i="31"/>
  <c r="R105" i="31"/>
  <c r="S105" i="31"/>
  <c r="U105" i="31"/>
  <c r="G115" i="31"/>
  <c r="G119" i="31"/>
  <c r="G120" i="31"/>
  <c r="C131" i="31"/>
  <c r="C136" i="31"/>
  <c r="H142" i="31"/>
  <c r="H143" i="31"/>
  <c r="H144" i="31"/>
  <c r="H145" i="31"/>
  <c r="H146" i="31"/>
  <c r="H147" i="31"/>
  <c r="H148" i="31"/>
  <c r="H149" i="31"/>
  <c r="H150" i="31"/>
  <c r="H151" i="31"/>
  <c r="H152" i="31"/>
  <c r="H153" i="31"/>
  <c r="H154" i="31"/>
  <c r="H155" i="31"/>
  <c r="H156" i="31"/>
  <c r="H157" i="31"/>
  <c r="H158" i="31"/>
  <c r="H159" i="31"/>
  <c r="H160" i="31"/>
  <c r="H161" i="31"/>
  <c r="H162" i="31"/>
  <c r="H163" i="31"/>
  <c r="H164" i="31"/>
  <c r="H165" i="31"/>
  <c r="H166" i="31"/>
  <c r="H167" i="31"/>
  <c r="H168" i="31"/>
  <c r="H169" i="31"/>
  <c r="H170" i="31"/>
  <c r="H171" i="31"/>
  <c r="J173" i="31"/>
  <c r="K173" i="31"/>
  <c r="L173" i="31"/>
  <c r="M173" i="31"/>
  <c r="N173" i="31"/>
  <c r="O173" i="31"/>
  <c r="P173" i="31"/>
  <c r="Q173" i="31"/>
  <c r="R173" i="31"/>
  <c r="S173" i="31"/>
  <c r="T173" i="31"/>
  <c r="U173" i="31"/>
  <c r="I3" i="30"/>
  <c r="W13" i="30" s="1"/>
  <c r="J13" i="30"/>
  <c r="J51" i="30" s="1"/>
  <c r="J14" i="30"/>
  <c r="K14" i="30"/>
  <c r="L14" i="30"/>
  <c r="M14" i="30"/>
  <c r="N14" i="30"/>
  <c r="O14" i="30"/>
  <c r="P14" i="30"/>
  <c r="Q14" i="30"/>
  <c r="R14" i="30"/>
  <c r="S14" i="30"/>
  <c r="T14" i="30"/>
  <c r="U14" i="30"/>
  <c r="X14" i="30"/>
  <c r="J15" i="30"/>
  <c r="L15" i="30"/>
  <c r="M15" i="30"/>
  <c r="X15" i="30"/>
  <c r="J16" i="30"/>
  <c r="K16" i="30"/>
  <c r="K20" i="30" s="1"/>
  <c r="L16" i="30"/>
  <c r="L20" i="30" s="1"/>
  <c r="M16" i="30"/>
  <c r="M13" i="30" s="1"/>
  <c r="M51" i="30" s="1"/>
  <c r="N16" i="30"/>
  <c r="N71" i="30" s="1"/>
  <c r="O16" i="30"/>
  <c r="P16" i="30"/>
  <c r="P13" i="30" s="1"/>
  <c r="P51" i="30" s="1"/>
  <c r="Q16" i="30"/>
  <c r="Q15" i="30" s="1"/>
  <c r="R16" i="30"/>
  <c r="R67" i="30" s="1"/>
  <c r="S16" i="30"/>
  <c r="S15" i="30" s="1"/>
  <c r="T16" i="30"/>
  <c r="T13" i="30" s="1"/>
  <c r="T51" i="30" s="1"/>
  <c r="U16" i="30"/>
  <c r="U15" i="30" s="1"/>
  <c r="X16" i="30"/>
  <c r="J20" i="30"/>
  <c r="M20" i="30"/>
  <c r="N20" i="30"/>
  <c r="X20" i="30"/>
  <c r="J21" i="30"/>
  <c r="M21" i="30"/>
  <c r="N21" i="30"/>
  <c r="N44" i="30" s="1"/>
  <c r="P21" i="30"/>
  <c r="X21" i="30"/>
  <c r="J22" i="30"/>
  <c r="M22" i="30"/>
  <c r="N22" i="30"/>
  <c r="T22" i="30"/>
  <c r="U22" i="30"/>
  <c r="X22" i="30"/>
  <c r="J23" i="30"/>
  <c r="M23" i="30"/>
  <c r="N23" i="30"/>
  <c r="P23" i="30"/>
  <c r="X23" i="30"/>
  <c r="J24" i="30"/>
  <c r="M24" i="30"/>
  <c r="N24" i="30"/>
  <c r="Q24" i="30"/>
  <c r="T24" i="30"/>
  <c r="U24" i="30"/>
  <c r="X24" i="30"/>
  <c r="J25" i="30"/>
  <c r="M25" i="30"/>
  <c r="M46" i="30" s="1"/>
  <c r="M104" i="30" s="1"/>
  <c r="N25" i="30"/>
  <c r="X25" i="30"/>
  <c r="J26" i="30"/>
  <c r="M26" i="30"/>
  <c r="N26" i="30"/>
  <c r="P26" i="30"/>
  <c r="Q26" i="30"/>
  <c r="T26" i="30"/>
  <c r="U26" i="30"/>
  <c r="X26" i="30"/>
  <c r="J27" i="30"/>
  <c r="M27" i="30"/>
  <c r="N27" i="30"/>
  <c r="U27" i="30"/>
  <c r="X27" i="30"/>
  <c r="J28" i="30"/>
  <c r="M28" i="30"/>
  <c r="N28" i="30"/>
  <c r="P28" i="30"/>
  <c r="Q28" i="30"/>
  <c r="T28" i="30"/>
  <c r="U28" i="30"/>
  <c r="X28" i="30"/>
  <c r="J29" i="30"/>
  <c r="M29" i="30"/>
  <c r="N29" i="30"/>
  <c r="T29" i="30"/>
  <c r="U29" i="30"/>
  <c r="X29" i="30"/>
  <c r="J30" i="30"/>
  <c r="M30" i="30"/>
  <c r="M43" i="30" s="1"/>
  <c r="N30" i="30"/>
  <c r="P30" i="30"/>
  <c r="Q30" i="30"/>
  <c r="T30" i="30"/>
  <c r="U30" i="30"/>
  <c r="X30" i="30"/>
  <c r="J31" i="30"/>
  <c r="M31" i="30"/>
  <c r="N31" i="30"/>
  <c r="N43" i="30" s="1"/>
  <c r="P31" i="30"/>
  <c r="Q31" i="30"/>
  <c r="T31" i="30"/>
  <c r="U31" i="30"/>
  <c r="X31" i="30"/>
  <c r="J32" i="30"/>
  <c r="M32" i="30"/>
  <c r="N32" i="30"/>
  <c r="P32" i="30"/>
  <c r="Q32" i="30"/>
  <c r="T32" i="30"/>
  <c r="U32" i="30"/>
  <c r="X32" i="30"/>
  <c r="J33" i="30"/>
  <c r="M33" i="30"/>
  <c r="N33" i="30"/>
  <c r="P33" i="30"/>
  <c r="Q33" i="30"/>
  <c r="T33" i="30"/>
  <c r="U33" i="30"/>
  <c r="X33" i="30"/>
  <c r="J34" i="30"/>
  <c r="M34" i="30"/>
  <c r="N34" i="30"/>
  <c r="P34" i="30"/>
  <c r="Q34" i="30"/>
  <c r="T34" i="30"/>
  <c r="U34" i="30"/>
  <c r="X34" i="30"/>
  <c r="J35" i="30"/>
  <c r="M35" i="30"/>
  <c r="N35" i="30"/>
  <c r="P35" i="30"/>
  <c r="Q35" i="30"/>
  <c r="T35" i="30"/>
  <c r="U35" i="30"/>
  <c r="X35" i="30"/>
  <c r="J36" i="30"/>
  <c r="M36" i="30"/>
  <c r="N36" i="30"/>
  <c r="P36" i="30"/>
  <c r="Q36" i="30"/>
  <c r="T36" i="30"/>
  <c r="U36" i="30"/>
  <c r="X36" i="30"/>
  <c r="J37" i="30"/>
  <c r="M37" i="30"/>
  <c r="N37" i="30"/>
  <c r="P37" i="30"/>
  <c r="Q37" i="30"/>
  <c r="T37" i="30"/>
  <c r="U37" i="30"/>
  <c r="X37" i="30"/>
  <c r="J38" i="30"/>
  <c r="M38" i="30"/>
  <c r="N38" i="30"/>
  <c r="P38" i="30"/>
  <c r="Q38" i="30"/>
  <c r="T38" i="30"/>
  <c r="U38" i="30"/>
  <c r="X38" i="30"/>
  <c r="J39" i="30"/>
  <c r="M39" i="30"/>
  <c r="N39" i="30"/>
  <c r="P39" i="30"/>
  <c r="Q39" i="30"/>
  <c r="T39" i="30"/>
  <c r="U39" i="30"/>
  <c r="X39" i="30"/>
  <c r="J40" i="30"/>
  <c r="M40" i="30"/>
  <c r="N40" i="30"/>
  <c r="P40" i="30"/>
  <c r="Q40" i="30"/>
  <c r="T40" i="30"/>
  <c r="U40" i="30"/>
  <c r="X40" i="30"/>
  <c r="J41" i="30"/>
  <c r="K41" i="30"/>
  <c r="L41" i="30"/>
  <c r="M41" i="30"/>
  <c r="N41" i="30"/>
  <c r="O41" i="30"/>
  <c r="P41" i="30"/>
  <c r="Q41" i="30"/>
  <c r="T41" i="30"/>
  <c r="U41" i="30"/>
  <c r="X41" i="30"/>
  <c r="C42" i="30"/>
  <c r="C43" i="30"/>
  <c r="C44" i="30"/>
  <c r="J56" i="30"/>
  <c r="K56" i="30"/>
  <c r="L56" i="30"/>
  <c r="M56" i="30"/>
  <c r="N56" i="30"/>
  <c r="O56" i="30"/>
  <c r="P56" i="30"/>
  <c r="Q56" i="30"/>
  <c r="R56" i="30"/>
  <c r="S56" i="30"/>
  <c r="T56" i="30"/>
  <c r="U56" i="30"/>
  <c r="J57" i="30"/>
  <c r="M57" i="30"/>
  <c r="P57" i="30"/>
  <c r="Q57" i="30"/>
  <c r="T57" i="30"/>
  <c r="U57" i="30"/>
  <c r="J58" i="30"/>
  <c r="K58" i="30"/>
  <c r="L58" i="30"/>
  <c r="M58" i="30"/>
  <c r="N58" i="30"/>
  <c r="O58" i="30"/>
  <c r="P58" i="30"/>
  <c r="Q58" i="30"/>
  <c r="R58" i="30"/>
  <c r="S58" i="30"/>
  <c r="T58" i="30"/>
  <c r="U58" i="30"/>
  <c r="J59" i="30"/>
  <c r="L59" i="30"/>
  <c r="M59" i="30"/>
  <c r="O59" i="30"/>
  <c r="P59" i="30"/>
  <c r="T59" i="30"/>
  <c r="U59" i="30"/>
  <c r="J60" i="30"/>
  <c r="K60" i="30"/>
  <c r="L60" i="30"/>
  <c r="M60" i="30"/>
  <c r="N60" i="30"/>
  <c r="O60" i="30"/>
  <c r="P60" i="30"/>
  <c r="Q60" i="30"/>
  <c r="R60" i="30"/>
  <c r="S60" i="30"/>
  <c r="T60" i="30"/>
  <c r="U60" i="30"/>
  <c r="J61" i="30"/>
  <c r="K61" i="30"/>
  <c r="L61" i="30"/>
  <c r="M61" i="30"/>
  <c r="N61" i="30"/>
  <c r="O61" i="30"/>
  <c r="P61" i="30"/>
  <c r="Q61" i="30"/>
  <c r="R61" i="30"/>
  <c r="S61" i="30"/>
  <c r="T61" i="30"/>
  <c r="U61" i="30"/>
  <c r="J62" i="30"/>
  <c r="K62" i="30"/>
  <c r="L62" i="30"/>
  <c r="M62" i="30"/>
  <c r="N62" i="30"/>
  <c r="O62" i="30"/>
  <c r="P62" i="30"/>
  <c r="Q62" i="30"/>
  <c r="R62" i="30"/>
  <c r="S62" i="30"/>
  <c r="T62" i="30"/>
  <c r="U62" i="30"/>
  <c r="J63" i="30"/>
  <c r="K63" i="30"/>
  <c r="L63" i="30"/>
  <c r="M63" i="30"/>
  <c r="N63" i="30"/>
  <c r="O63" i="30"/>
  <c r="P63" i="30"/>
  <c r="Q63" i="30"/>
  <c r="R63" i="30"/>
  <c r="S63" i="30"/>
  <c r="T63" i="30"/>
  <c r="U63" i="30"/>
  <c r="J64" i="30"/>
  <c r="K64" i="30"/>
  <c r="L64" i="30"/>
  <c r="M64" i="30"/>
  <c r="N64" i="30"/>
  <c r="O64" i="30"/>
  <c r="P64" i="30"/>
  <c r="Q64" i="30"/>
  <c r="R64" i="30"/>
  <c r="S64" i="30"/>
  <c r="T64" i="30"/>
  <c r="U64" i="30"/>
  <c r="J65" i="30"/>
  <c r="K65" i="30"/>
  <c r="L65" i="30"/>
  <c r="M65" i="30"/>
  <c r="N65" i="30"/>
  <c r="O65" i="30"/>
  <c r="P65" i="30"/>
  <c r="Q65" i="30"/>
  <c r="R65" i="30"/>
  <c r="S65" i="30"/>
  <c r="T65" i="30"/>
  <c r="U65" i="30"/>
  <c r="J66" i="30"/>
  <c r="K66" i="30"/>
  <c r="L66" i="30"/>
  <c r="M66" i="30"/>
  <c r="N66" i="30"/>
  <c r="O66" i="30"/>
  <c r="P66" i="30"/>
  <c r="Q66" i="30"/>
  <c r="R66" i="30"/>
  <c r="S66" i="30"/>
  <c r="T66" i="30"/>
  <c r="U66" i="30"/>
  <c r="J67" i="30"/>
  <c r="L67" i="30"/>
  <c r="M67" i="30"/>
  <c r="N67" i="30"/>
  <c r="O67" i="30"/>
  <c r="P67" i="30"/>
  <c r="Q67" i="30"/>
  <c r="T67" i="30"/>
  <c r="U67" i="30"/>
  <c r="J68" i="30"/>
  <c r="M68" i="30"/>
  <c r="P68" i="30"/>
  <c r="Q68" i="30"/>
  <c r="T68" i="30"/>
  <c r="U68" i="30"/>
  <c r="J69" i="30"/>
  <c r="M69" i="30"/>
  <c r="N69" i="30"/>
  <c r="P69" i="30"/>
  <c r="T69" i="30"/>
  <c r="U69" i="30"/>
  <c r="J70" i="30"/>
  <c r="M70" i="30"/>
  <c r="N70" i="30"/>
  <c r="P70" i="30"/>
  <c r="Q70" i="30"/>
  <c r="T70" i="30"/>
  <c r="U70" i="30"/>
  <c r="J71" i="30"/>
  <c r="M71" i="30"/>
  <c r="P71" i="30"/>
  <c r="Q71" i="30"/>
  <c r="T71" i="30"/>
  <c r="U71" i="30"/>
  <c r="J72" i="30"/>
  <c r="K72" i="30"/>
  <c r="L72" i="30"/>
  <c r="M72" i="30"/>
  <c r="N72" i="30"/>
  <c r="O72" i="30"/>
  <c r="P72" i="30"/>
  <c r="Q72" i="30"/>
  <c r="R72" i="30"/>
  <c r="S72" i="30"/>
  <c r="T72" i="30"/>
  <c r="U72" i="30"/>
  <c r="J73" i="30"/>
  <c r="K73" i="30"/>
  <c r="L73" i="30"/>
  <c r="M73" i="30"/>
  <c r="N73" i="30"/>
  <c r="O73" i="30"/>
  <c r="P73" i="30"/>
  <c r="Q73" i="30"/>
  <c r="R73" i="30"/>
  <c r="S73" i="30"/>
  <c r="T73" i="30"/>
  <c r="U73" i="30"/>
  <c r="J74" i="30"/>
  <c r="K74" i="30"/>
  <c r="L74" i="30"/>
  <c r="M74" i="30"/>
  <c r="N74" i="30"/>
  <c r="O74" i="30"/>
  <c r="P74" i="30"/>
  <c r="Q74" i="30"/>
  <c r="R74" i="30"/>
  <c r="S74" i="30"/>
  <c r="T74" i="30"/>
  <c r="U74" i="30"/>
  <c r="J75" i="30"/>
  <c r="H75" i="30" s="1"/>
  <c r="K75" i="30"/>
  <c r="L75" i="30"/>
  <c r="M75" i="30"/>
  <c r="N75" i="30"/>
  <c r="O75" i="30"/>
  <c r="P75" i="30"/>
  <c r="Q75" i="30"/>
  <c r="R75" i="30"/>
  <c r="S75" i="30"/>
  <c r="T75" i="30"/>
  <c r="U75" i="30"/>
  <c r="J76" i="30"/>
  <c r="K76" i="30"/>
  <c r="L76" i="30"/>
  <c r="M76" i="30"/>
  <c r="N76" i="30"/>
  <c r="O76" i="30"/>
  <c r="P76" i="30"/>
  <c r="Q76" i="30"/>
  <c r="R76" i="30"/>
  <c r="S76" i="30"/>
  <c r="T76" i="30"/>
  <c r="U76" i="30"/>
  <c r="J77" i="30"/>
  <c r="K77" i="30"/>
  <c r="L77" i="30"/>
  <c r="M77" i="30"/>
  <c r="N77" i="30"/>
  <c r="O77" i="30"/>
  <c r="P77" i="30"/>
  <c r="Q77" i="30"/>
  <c r="R77" i="30"/>
  <c r="S77" i="30"/>
  <c r="T77" i="30"/>
  <c r="U77" i="30"/>
  <c r="H82" i="30"/>
  <c r="H83" i="30"/>
  <c r="H84" i="30"/>
  <c r="H85" i="30"/>
  <c r="H86" i="30"/>
  <c r="H87" i="30"/>
  <c r="H88" i="30"/>
  <c r="H89" i="30"/>
  <c r="H90" i="30"/>
  <c r="J91" i="30"/>
  <c r="K91" i="30"/>
  <c r="L91" i="30"/>
  <c r="M91" i="30"/>
  <c r="N91" i="30"/>
  <c r="O91" i="30"/>
  <c r="P91" i="30"/>
  <c r="Q91" i="30"/>
  <c r="R91" i="30"/>
  <c r="S91" i="30"/>
  <c r="T91" i="30"/>
  <c r="U91" i="30"/>
  <c r="J92" i="30"/>
  <c r="K92" i="30"/>
  <c r="L92" i="30"/>
  <c r="M92" i="30"/>
  <c r="N92" i="30"/>
  <c r="O92" i="30"/>
  <c r="P92" i="30"/>
  <c r="Q92" i="30"/>
  <c r="R92" i="30"/>
  <c r="S92" i="30"/>
  <c r="T92" i="30"/>
  <c r="U92" i="30"/>
  <c r="J93" i="30"/>
  <c r="K93" i="30"/>
  <c r="L93" i="30"/>
  <c r="M93" i="30"/>
  <c r="N93" i="30"/>
  <c r="O93" i="30"/>
  <c r="P93" i="30"/>
  <c r="Q93" i="30"/>
  <c r="R93" i="30"/>
  <c r="S93" i="30"/>
  <c r="T93" i="30"/>
  <c r="U93" i="30"/>
  <c r="J94" i="30"/>
  <c r="H94" i="30" s="1"/>
  <c r="K94" i="30"/>
  <c r="L94" i="30"/>
  <c r="M94" i="30"/>
  <c r="N94" i="30"/>
  <c r="O94" i="30"/>
  <c r="P94" i="30"/>
  <c r="Q94" i="30"/>
  <c r="R94" i="30"/>
  <c r="S94" i="30"/>
  <c r="T94" i="30"/>
  <c r="U94" i="30"/>
  <c r="J95" i="30"/>
  <c r="K95" i="30"/>
  <c r="L95" i="30"/>
  <c r="M95" i="30"/>
  <c r="N95" i="30"/>
  <c r="O95" i="30"/>
  <c r="P95" i="30"/>
  <c r="Q95" i="30"/>
  <c r="R95" i="30"/>
  <c r="S95" i="30"/>
  <c r="T95" i="30"/>
  <c r="H95" i="30" s="1"/>
  <c r="U95" i="30"/>
  <c r="H96" i="30"/>
  <c r="C134" i="30" s="1"/>
  <c r="H97" i="30"/>
  <c r="H98" i="30"/>
  <c r="C135" i="30" s="1"/>
  <c r="H99" i="30"/>
  <c r="H100" i="30"/>
  <c r="H101" i="30"/>
  <c r="H102" i="30"/>
  <c r="J103" i="30"/>
  <c r="L103" i="30"/>
  <c r="M103" i="30"/>
  <c r="N103" i="30"/>
  <c r="O103" i="30"/>
  <c r="P103" i="30"/>
  <c r="Q103" i="30"/>
  <c r="T103" i="30"/>
  <c r="U103" i="30"/>
  <c r="J105" i="30"/>
  <c r="L105" i="30"/>
  <c r="M105" i="30"/>
  <c r="N105" i="30"/>
  <c r="P105" i="30"/>
  <c r="T105" i="30"/>
  <c r="U105" i="30"/>
  <c r="H114" i="30"/>
  <c r="G114" i="30" s="1"/>
  <c r="H115" i="30"/>
  <c r="G115" i="30" s="1"/>
  <c r="G116" i="30"/>
  <c r="H116" i="30"/>
  <c r="H117" i="30"/>
  <c r="G117" i="30" s="1"/>
  <c r="G118" i="30"/>
  <c r="H118" i="30"/>
  <c r="G119" i="30"/>
  <c r="H119" i="30"/>
  <c r="H120" i="30"/>
  <c r="G120" i="30" s="1"/>
  <c r="H121" i="30"/>
  <c r="G121" i="30" s="1"/>
  <c r="H122" i="30"/>
  <c r="G122" i="30" s="1"/>
  <c r="E17" i="34" l="1"/>
  <c r="F20" i="35"/>
  <c r="F13" i="35"/>
  <c r="F21" i="35" s="1"/>
  <c r="F36" i="35"/>
  <c r="F26" i="35"/>
  <c r="M21" i="35"/>
  <c r="M5" i="35"/>
  <c r="M6" i="35"/>
  <c r="M20" i="35"/>
  <c r="M19" i="35"/>
  <c r="M18" i="35"/>
  <c r="M17" i="35"/>
  <c r="M16" i="35"/>
  <c r="M15" i="35"/>
  <c r="M14" i="35"/>
  <c r="M13" i="35"/>
  <c r="M12" i="35"/>
  <c r="M11" i="35"/>
  <c r="M22" i="35"/>
  <c r="M26" i="35"/>
  <c r="M10" i="35"/>
  <c r="M25" i="35"/>
  <c r="M9" i="35"/>
  <c r="M24" i="35"/>
  <c r="M8" i="35"/>
  <c r="M23" i="35"/>
  <c r="M7" i="35"/>
  <c r="F25" i="35"/>
  <c r="G5" i="35"/>
  <c r="F24" i="35"/>
  <c r="F16" i="35"/>
  <c r="H62" i="32"/>
  <c r="H63" i="32"/>
  <c r="H74" i="32"/>
  <c r="H72" i="32"/>
  <c r="H60" i="32"/>
  <c r="H73" i="32"/>
  <c r="H64" i="32"/>
  <c r="T78" i="32"/>
  <c r="H61" i="32"/>
  <c r="H65" i="32"/>
  <c r="H92" i="32"/>
  <c r="H95" i="32"/>
  <c r="H93" i="32"/>
  <c r="C135" i="32"/>
  <c r="T46" i="32"/>
  <c r="S37" i="35"/>
  <c r="L44" i="32"/>
  <c r="J46" i="32"/>
  <c r="I7" i="35" s="1"/>
  <c r="J43" i="32"/>
  <c r="F7" i="35"/>
  <c r="Q107" i="32"/>
  <c r="R46" i="32"/>
  <c r="H63" i="30"/>
  <c r="H74" i="30"/>
  <c r="M78" i="30"/>
  <c r="F18" i="34"/>
  <c r="F28" i="34"/>
  <c r="F16" i="34"/>
  <c r="F24" i="34"/>
  <c r="F36" i="34"/>
  <c r="F23" i="34"/>
  <c r="F29" i="34" s="1"/>
  <c r="F20" i="34"/>
  <c r="H92" i="30"/>
  <c r="H93" i="30"/>
  <c r="C136" i="30"/>
  <c r="S68" i="30"/>
  <c r="S33" i="30"/>
  <c r="S35" i="30"/>
  <c r="S26" i="30"/>
  <c r="S105" i="30"/>
  <c r="S70" i="30"/>
  <c r="R68" i="30"/>
  <c r="S40" i="30"/>
  <c r="S24" i="30"/>
  <c r="F32" i="34"/>
  <c r="H64" i="30"/>
  <c r="S31" i="30"/>
  <c r="I31" i="34"/>
  <c r="I33" i="34" s="1"/>
  <c r="I23" i="34"/>
  <c r="I29" i="34" s="1"/>
  <c r="F15" i="34"/>
  <c r="H62" i="30"/>
  <c r="H60" i="30"/>
  <c r="S38" i="30"/>
  <c r="P24" i="30"/>
  <c r="S22" i="30"/>
  <c r="U20" i="30"/>
  <c r="H76" i="30"/>
  <c r="U78" i="30"/>
  <c r="P78" i="30"/>
  <c r="S41" i="30"/>
  <c r="S29" i="30"/>
  <c r="Q22" i="30"/>
  <c r="Q46" i="30" s="1"/>
  <c r="Q104" i="30" s="1"/>
  <c r="T20" i="30"/>
  <c r="R41" i="30"/>
  <c r="H41" i="30" s="1"/>
  <c r="S36" i="30"/>
  <c r="Q29" i="30"/>
  <c r="T27" i="30"/>
  <c r="P22" i="30"/>
  <c r="P44" i="30" s="1"/>
  <c r="S20" i="30"/>
  <c r="I14" i="34"/>
  <c r="T78" i="30"/>
  <c r="H65" i="30"/>
  <c r="S59" i="30"/>
  <c r="P29" i="30"/>
  <c r="P43" i="30" s="1"/>
  <c r="S27" i="30"/>
  <c r="U25" i="30"/>
  <c r="Q20" i="30"/>
  <c r="Q44" i="30" s="1"/>
  <c r="I40" i="34"/>
  <c r="I43" i="34" s="1"/>
  <c r="F14" i="34"/>
  <c r="H72" i="30"/>
  <c r="H61" i="30"/>
  <c r="H58" i="30"/>
  <c r="S34" i="30"/>
  <c r="Q27" i="30"/>
  <c r="T25" i="30"/>
  <c r="P20" i="30"/>
  <c r="I13" i="34"/>
  <c r="I21" i="34" s="1"/>
  <c r="S67" i="30"/>
  <c r="P27" i="30"/>
  <c r="S25" i="30"/>
  <c r="U23" i="30"/>
  <c r="I36" i="34"/>
  <c r="F27" i="34"/>
  <c r="F11" i="34"/>
  <c r="S103" i="30"/>
  <c r="S69" i="30"/>
  <c r="H56" i="30"/>
  <c r="S32" i="30"/>
  <c r="Q25" i="30"/>
  <c r="T23" i="30"/>
  <c r="T15" i="30"/>
  <c r="R103" i="30"/>
  <c r="H77" i="30"/>
  <c r="S71" i="30"/>
  <c r="H66" i="30"/>
  <c r="S57" i="30"/>
  <c r="S39" i="30"/>
  <c r="P25" i="30"/>
  <c r="S23" i="30"/>
  <c r="U21" i="30"/>
  <c r="U46" i="30" s="1"/>
  <c r="U104" i="30" s="1"/>
  <c r="U107" i="30" s="1"/>
  <c r="P15" i="30"/>
  <c r="H73" i="30"/>
  <c r="S30" i="30"/>
  <c r="Q23" i="30"/>
  <c r="T21" i="30"/>
  <c r="U13" i="30"/>
  <c r="U51" i="30" s="1"/>
  <c r="I35" i="34"/>
  <c r="I17" i="34"/>
  <c r="G5" i="34"/>
  <c r="S51" i="30"/>
  <c r="S37" i="30"/>
  <c r="U43" i="30"/>
  <c r="Q43" i="30"/>
  <c r="T43" i="30"/>
  <c r="P46" i="30"/>
  <c r="P104" i="30" s="1"/>
  <c r="P107" i="30" s="1"/>
  <c r="P109" i="30" s="1"/>
  <c r="P111" i="30" s="1"/>
  <c r="S21" i="30"/>
  <c r="S46" i="30" s="1"/>
  <c r="S104" i="30" s="1"/>
  <c r="S107" i="30" s="1"/>
  <c r="F17" i="34"/>
  <c r="G17" i="34" s="1"/>
  <c r="S28" i="30"/>
  <c r="Q21" i="30"/>
  <c r="S13" i="30"/>
  <c r="F25" i="34"/>
  <c r="J43" i="30"/>
  <c r="N46" i="30"/>
  <c r="M44" i="30"/>
  <c r="G45" i="34"/>
  <c r="G48" i="34" s="1"/>
  <c r="J46" i="30"/>
  <c r="F7" i="34" s="1"/>
  <c r="E47" i="35"/>
  <c r="E20" i="34"/>
  <c r="E26" i="34"/>
  <c r="G26" i="34" s="1"/>
  <c r="E13" i="34"/>
  <c r="E21" i="34" s="1"/>
  <c r="E25" i="34"/>
  <c r="E18" i="34"/>
  <c r="G18" i="34" s="1"/>
  <c r="E40" i="34"/>
  <c r="E23" i="34"/>
  <c r="E29" i="34" s="1"/>
  <c r="E36" i="34"/>
  <c r="G36" i="34" s="1"/>
  <c r="E27" i="34"/>
  <c r="L103" i="33"/>
  <c r="W16" i="33"/>
  <c r="B127" i="33" s="1"/>
  <c r="F135" i="33" s="1"/>
  <c r="S104" i="33"/>
  <c r="H29" i="33"/>
  <c r="H39" i="33"/>
  <c r="U43" i="33"/>
  <c r="J25" i="33"/>
  <c r="J46" i="33" s="1"/>
  <c r="H21" i="33"/>
  <c r="G31" i="37"/>
  <c r="G32" i="37" s="1"/>
  <c r="K27" i="37"/>
  <c r="K38" i="33"/>
  <c r="H38" i="33" s="1"/>
  <c r="L30" i="33"/>
  <c r="L43" i="33" s="1"/>
  <c r="U44" i="33"/>
  <c r="E41" i="35"/>
  <c r="G41" i="35" s="1"/>
  <c r="E35" i="35"/>
  <c r="E37" i="35" s="1"/>
  <c r="G20" i="35"/>
  <c r="H34" i="33"/>
  <c r="K30" i="33"/>
  <c r="K43" i="33" s="1"/>
  <c r="S43" i="33"/>
  <c r="H23" i="33"/>
  <c r="L22" i="33"/>
  <c r="L44" i="33" s="1"/>
  <c r="E25" i="35"/>
  <c r="E20" i="35"/>
  <c r="S107" i="33"/>
  <c r="S109" i="33" s="1"/>
  <c r="S111" i="33" s="1"/>
  <c r="S103" i="33"/>
  <c r="K22" i="33"/>
  <c r="H22" i="33" s="1"/>
  <c r="E11" i="35"/>
  <c r="G27" i="37"/>
  <c r="BC28" i="37" s="1"/>
  <c r="R103" i="33"/>
  <c r="R107" i="33" s="1"/>
  <c r="R109" i="33" s="1"/>
  <c r="R111" i="33" s="1"/>
  <c r="E17" i="35"/>
  <c r="G17" i="35" s="1"/>
  <c r="U46" i="33"/>
  <c r="E16" i="35"/>
  <c r="G16" i="35" s="1"/>
  <c r="G51" i="33"/>
  <c r="H35" i="33"/>
  <c r="P46" i="33"/>
  <c r="R43" i="33"/>
  <c r="H27" i="33"/>
  <c r="S44" i="33"/>
  <c r="O46" i="33"/>
  <c r="O104" i="33" s="1"/>
  <c r="O107" i="33" s="1"/>
  <c r="O109" i="33" s="1"/>
  <c r="O111" i="33" s="1"/>
  <c r="J14" i="33"/>
  <c r="E27" i="35"/>
  <c r="E24" i="35"/>
  <c r="Q43" i="33"/>
  <c r="N44" i="33"/>
  <c r="U14" i="33"/>
  <c r="U105" i="33"/>
  <c r="Q46" i="33"/>
  <c r="M44" i="33"/>
  <c r="T14" i="33"/>
  <c r="BC9" i="37"/>
  <c r="BC27" i="37" s="1"/>
  <c r="G101" i="33"/>
  <c r="H40" i="33"/>
  <c r="H36" i="33"/>
  <c r="R46" i="33"/>
  <c r="R104" i="33" s="1"/>
  <c r="N43" i="33"/>
  <c r="H32" i="33"/>
  <c r="T44" i="33"/>
  <c r="R47" i="35"/>
  <c r="E18" i="35"/>
  <c r="E15" i="35"/>
  <c r="G15" i="35" s="1"/>
  <c r="H28" i="33"/>
  <c r="K44" i="33"/>
  <c r="G42" i="35"/>
  <c r="E36" i="35"/>
  <c r="G36" i="35" s="1"/>
  <c r="P44" i="33"/>
  <c r="H41" i="33"/>
  <c r="T46" i="33"/>
  <c r="T104" i="33" s="1"/>
  <c r="T107" i="33" s="1"/>
  <c r="T109" i="33" s="1"/>
  <c r="T111" i="33" s="1"/>
  <c r="M43" i="33"/>
  <c r="H24" i="33"/>
  <c r="H20" i="33"/>
  <c r="E42" i="35"/>
  <c r="E26" i="35"/>
  <c r="G26" i="35" s="1"/>
  <c r="H5" i="35"/>
  <c r="P14" i="33"/>
  <c r="G47" i="35"/>
  <c r="P105" i="31"/>
  <c r="P103" i="31"/>
  <c r="BC29" i="36"/>
  <c r="BC32" i="36" s="1"/>
  <c r="BC27" i="36"/>
  <c r="L103" i="31"/>
  <c r="L46" i="31"/>
  <c r="L104" i="31" s="1"/>
  <c r="N14" i="31"/>
  <c r="E42" i="34"/>
  <c r="G42" i="34" s="1"/>
  <c r="J40" i="31"/>
  <c r="H40" i="31" s="1"/>
  <c r="H36" i="31"/>
  <c r="J32" i="31"/>
  <c r="H32" i="31" s="1"/>
  <c r="K46" i="31"/>
  <c r="E32" i="34"/>
  <c r="H37" i="31"/>
  <c r="T44" i="31"/>
  <c r="M44" i="31"/>
  <c r="E19" i="34"/>
  <c r="G19" i="34" s="1"/>
  <c r="E15" i="34"/>
  <c r="BC13" i="36"/>
  <c r="BC31" i="36" s="1"/>
  <c r="O43" i="31"/>
  <c r="H33" i="31"/>
  <c r="K43" i="31"/>
  <c r="P46" i="31"/>
  <c r="H21" i="31"/>
  <c r="E41" i="34"/>
  <c r="G41" i="34" s="1"/>
  <c r="G31" i="34"/>
  <c r="G33" i="34" s="1"/>
  <c r="H5" i="34"/>
  <c r="H45" i="34" s="1"/>
  <c r="H48" i="34" s="1"/>
  <c r="AZ27" i="36"/>
  <c r="N43" i="31"/>
  <c r="H29" i="31"/>
  <c r="S46" i="31"/>
  <c r="G27" i="36"/>
  <c r="BC28" i="36" s="1"/>
  <c r="H39" i="31"/>
  <c r="T14" i="31"/>
  <c r="R46" i="31"/>
  <c r="U46" i="31"/>
  <c r="U104" i="31" s="1"/>
  <c r="U107" i="31" s="1"/>
  <c r="U109" i="31" s="1"/>
  <c r="U111" i="31" s="1"/>
  <c r="U44" i="31"/>
  <c r="J14" i="31"/>
  <c r="E35" i="34"/>
  <c r="S43" i="31"/>
  <c r="J38" i="31"/>
  <c r="H38" i="31" s="1"/>
  <c r="H34" i="31"/>
  <c r="J30" i="31"/>
  <c r="H30" i="31" s="1"/>
  <c r="R43" i="31"/>
  <c r="N44" i="31"/>
  <c r="H26" i="31"/>
  <c r="E14" i="34"/>
  <c r="O29" i="36"/>
  <c r="O32" i="36" s="1"/>
  <c r="S103" i="31"/>
  <c r="U43" i="31"/>
  <c r="Q43" i="31"/>
  <c r="J22" i="31"/>
  <c r="H22" i="31" s="1"/>
  <c r="H35" i="31"/>
  <c r="T43" i="31"/>
  <c r="Q46" i="31"/>
  <c r="O46" i="31"/>
  <c r="G29" i="36"/>
  <c r="G32" i="36" s="1"/>
  <c r="M43" i="31"/>
  <c r="G24" i="34"/>
  <c r="E11" i="34"/>
  <c r="H31" i="31"/>
  <c r="Q14" i="31"/>
  <c r="M103" i="31"/>
  <c r="T46" i="31"/>
  <c r="T104" i="31" s="1"/>
  <c r="P43" i="31"/>
  <c r="L43" i="31"/>
  <c r="E28" i="34"/>
  <c r="G28" i="34" s="1"/>
  <c r="E24" i="34"/>
  <c r="E16" i="34"/>
  <c r="G16" i="34" s="1"/>
  <c r="E9" i="34"/>
  <c r="G9" i="34" s="1"/>
  <c r="R36" i="35"/>
  <c r="R37" i="35" s="1"/>
  <c r="E31" i="35"/>
  <c r="R26" i="35"/>
  <c r="R17" i="35"/>
  <c r="E13" i="35"/>
  <c r="I9" i="35"/>
  <c r="R5" i="35"/>
  <c r="Q5" i="35"/>
  <c r="Q7" i="35" s="1"/>
  <c r="R11" i="35"/>
  <c r="P5" i="35"/>
  <c r="P23" i="35" s="1"/>
  <c r="S41" i="35"/>
  <c r="F28" i="35"/>
  <c r="G28" i="35" s="1"/>
  <c r="S24" i="35"/>
  <c r="F19" i="35"/>
  <c r="S15" i="35"/>
  <c r="H14" i="35"/>
  <c r="J14" i="35" s="1"/>
  <c r="F9" i="35"/>
  <c r="J5" i="35"/>
  <c r="R41" i="35"/>
  <c r="R43" i="35" s="1"/>
  <c r="E28" i="35"/>
  <c r="R24" i="35"/>
  <c r="R29" i="35" s="1"/>
  <c r="E19" i="35"/>
  <c r="R15" i="35"/>
  <c r="P11" i="35"/>
  <c r="E9" i="35"/>
  <c r="S45" i="35"/>
  <c r="F40" i="35"/>
  <c r="F32" i="35"/>
  <c r="S27" i="35"/>
  <c r="F23" i="35"/>
  <c r="S18" i="35"/>
  <c r="F14" i="35"/>
  <c r="S7" i="35"/>
  <c r="E40" i="35"/>
  <c r="E43" i="35" s="1"/>
  <c r="E32" i="35"/>
  <c r="R27" i="35"/>
  <c r="E23" i="35"/>
  <c r="E29" i="35" s="1"/>
  <c r="R18" i="35"/>
  <c r="E14" i="35"/>
  <c r="R13" i="35"/>
  <c r="I37" i="35"/>
  <c r="I50" i="35" s="1"/>
  <c r="P1" i="35"/>
  <c r="F45" i="35"/>
  <c r="S40" i="35"/>
  <c r="S32" i="35"/>
  <c r="S33" i="35" s="1"/>
  <c r="F27" i="35"/>
  <c r="S23" i="35"/>
  <c r="F18" i="35"/>
  <c r="S14" i="35"/>
  <c r="S36" i="34"/>
  <c r="S37" i="34" s="1"/>
  <c r="S26" i="34"/>
  <c r="S17" i="34"/>
  <c r="F13" i="34"/>
  <c r="S5" i="34"/>
  <c r="E48" i="34"/>
  <c r="R36" i="34"/>
  <c r="I28" i="34"/>
  <c r="R26" i="34"/>
  <c r="I19" i="34"/>
  <c r="R17" i="34"/>
  <c r="I9" i="34"/>
  <c r="R5" i="34"/>
  <c r="S47" i="34"/>
  <c r="S20" i="34"/>
  <c r="S11" i="34"/>
  <c r="Q5" i="34"/>
  <c r="Q15" i="34" s="1"/>
  <c r="R11" i="34"/>
  <c r="P5" i="34"/>
  <c r="P14" i="34" s="1"/>
  <c r="S41" i="34"/>
  <c r="S43" i="34" s="1"/>
  <c r="S24" i="34"/>
  <c r="Q20" i="34"/>
  <c r="S15" i="34"/>
  <c r="H14" i="34"/>
  <c r="J5" i="34"/>
  <c r="S45" i="34"/>
  <c r="S27" i="34"/>
  <c r="S18" i="34"/>
  <c r="I47" i="34"/>
  <c r="R45" i="34"/>
  <c r="R27" i="34"/>
  <c r="I20" i="34"/>
  <c r="R18" i="34"/>
  <c r="I11" i="34"/>
  <c r="S31" i="34"/>
  <c r="S33" i="34" s="1"/>
  <c r="S13" i="34"/>
  <c r="I41" i="34"/>
  <c r="R31" i="34"/>
  <c r="R33" i="34" s="1"/>
  <c r="I24" i="34"/>
  <c r="I15" i="34"/>
  <c r="R13" i="34"/>
  <c r="I45" i="34"/>
  <c r="R42" i="34"/>
  <c r="R43" i="34" s="1"/>
  <c r="R35" i="34"/>
  <c r="R37" i="34" s="1"/>
  <c r="I27" i="34"/>
  <c r="R25" i="34"/>
  <c r="R29" i="34" s="1"/>
  <c r="I18" i="34"/>
  <c r="R16" i="34"/>
  <c r="I37" i="34"/>
  <c r="S9" i="34"/>
  <c r="P1" i="34"/>
  <c r="R9" i="34"/>
  <c r="Q104" i="33"/>
  <c r="G78" i="33"/>
  <c r="C132" i="33"/>
  <c r="F132" i="33" s="1"/>
  <c r="U104" i="33"/>
  <c r="F134" i="33"/>
  <c r="P104" i="33"/>
  <c r="Q105" i="33"/>
  <c r="N46" i="33"/>
  <c r="J43" i="33"/>
  <c r="C136" i="33"/>
  <c r="F136" i="33" s="1"/>
  <c r="P105" i="33"/>
  <c r="H105" i="33" s="1"/>
  <c r="C137" i="33" s="1"/>
  <c r="F137" i="33" s="1"/>
  <c r="J103" i="33"/>
  <c r="M46" i="33"/>
  <c r="H91" i="33"/>
  <c r="C133" i="33" s="1"/>
  <c r="F133" i="33" s="1"/>
  <c r="Q14" i="33"/>
  <c r="W14" i="33" s="1"/>
  <c r="L105" i="33"/>
  <c r="H33" i="33"/>
  <c r="M14" i="33"/>
  <c r="L14" i="33"/>
  <c r="F131" i="33"/>
  <c r="G138" i="33" s="1"/>
  <c r="I10" i="33"/>
  <c r="I7" i="33"/>
  <c r="I4" i="33"/>
  <c r="O44" i="33"/>
  <c r="R104" i="32"/>
  <c r="R107" i="32" s="1"/>
  <c r="L78" i="32"/>
  <c r="H33" i="32"/>
  <c r="F33" i="32" s="1"/>
  <c r="T104" i="32"/>
  <c r="Q109" i="32"/>
  <c r="Q111" i="32" s="1"/>
  <c r="M107" i="32"/>
  <c r="J104" i="32"/>
  <c r="T107" i="32"/>
  <c r="H91" i="32"/>
  <c r="J44" i="32"/>
  <c r="U105" i="32"/>
  <c r="O103" i="32"/>
  <c r="K71" i="32"/>
  <c r="H71" i="32" s="1"/>
  <c r="U69" i="32"/>
  <c r="O67" i="32"/>
  <c r="N56" i="32"/>
  <c r="R13" i="32"/>
  <c r="R51" i="32" s="1"/>
  <c r="K66" i="32"/>
  <c r="J66" i="32"/>
  <c r="U15" i="32"/>
  <c r="L103" i="32"/>
  <c r="L107" i="32" s="1"/>
  <c r="U70" i="32"/>
  <c r="R69" i="32"/>
  <c r="O68" i="32"/>
  <c r="L67" i="32"/>
  <c r="N57" i="32"/>
  <c r="K56" i="32"/>
  <c r="U40" i="32"/>
  <c r="U39" i="32"/>
  <c r="U38" i="32"/>
  <c r="U37" i="32"/>
  <c r="U36" i="32"/>
  <c r="U35" i="32"/>
  <c r="U34" i="32"/>
  <c r="U33" i="32"/>
  <c r="U32" i="32"/>
  <c r="U31" i="32"/>
  <c r="U30" i="32"/>
  <c r="U29" i="32"/>
  <c r="U28" i="32"/>
  <c r="U27" i="32"/>
  <c r="U26" i="32"/>
  <c r="U25" i="32"/>
  <c r="U24" i="32"/>
  <c r="U23" i="32"/>
  <c r="U22" i="32"/>
  <c r="U21" i="32"/>
  <c r="U20" i="32"/>
  <c r="W16" i="32"/>
  <c r="O13" i="32"/>
  <c r="O51" i="32" s="1"/>
  <c r="K103" i="32"/>
  <c r="K67" i="32"/>
  <c r="J56" i="32"/>
  <c r="N13" i="32"/>
  <c r="N51" i="32" s="1"/>
  <c r="P105" i="32"/>
  <c r="J103" i="32"/>
  <c r="S70" i="32"/>
  <c r="S78" i="32" s="1"/>
  <c r="P69" i="32"/>
  <c r="M68" i="32"/>
  <c r="M78" i="32" s="1"/>
  <c r="J67" i="32"/>
  <c r="R59" i="32"/>
  <c r="T44" i="32"/>
  <c r="S40" i="32"/>
  <c r="S39" i="32"/>
  <c r="S38" i="32"/>
  <c r="S37" i="32"/>
  <c r="S36" i="32"/>
  <c r="S35" i="32"/>
  <c r="S34" i="32"/>
  <c r="S33" i="32"/>
  <c r="S32" i="32"/>
  <c r="S31" i="32"/>
  <c r="S30" i="32"/>
  <c r="S29" i="32"/>
  <c r="S28" i="32"/>
  <c r="S27" i="32"/>
  <c r="S26" i="32"/>
  <c r="S25" i="32"/>
  <c r="S24" i="32"/>
  <c r="S23" i="32"/>
  <c r="S22" i="32"/>
  <c r="S21" i="32"/>
  <c r="S20" i="32"/>
  <c r="M13" i="32"/>
  <c r="M51" i="32" s="1"/>
  <c r="K57" i="32"/>
  <c r="N105" i="32"/>
  <c r="N69" i="32"/>
  <c r="K68" i="32"/>
  <c r="U66" i="32"/>
  <c r="P59" i="32"/>
  <c r="J57" i="32"/>
  <c r="U51" i="32"/>
  <c r="P15" i="32"/>
  <c r="K13" i="32"/>
  <c r="K51" i="32" s="1"/>
  <c r="M105" i="32"/>
  <c r="P70" i="32"/>
  <c r="J68" i="32"/>
  <c r="O59" i="32"/>
  <c r="P40" i="32"/>
  <c r="P39" i="32"/>
  <c r="P38" i="32"/>
  <c r="P37" i="32"/>
  <c r="P36" i="32"/>
  <c r="P35" i="32"/>
  <c r="P34" i="32"/>
  <c r="P33" i="32"/>
  <c r="P32" i="32"/>
  <c r="P31" i="32"/>
  <c r="P30" i="32"/>
  <c r="P29" i="32"/>
  <c r="P28" i="32"/>
  <c r="P27" i="32"/>
  <c r="P26" i="32"/>
  <c r="P25" i="32"/>
  <c r="P24" i="32"/>
  <c r="P23" i="32"/>
  <c r="P22" i="32"/>
  <c r="P21" i="32"/>
  <c r="O15" i="32"/>
  <c r="J13" i="32"/>
  <c r="J51" i="32" s="1"/>
  <c r="O22" i="32"/>
  <c r="O21" i="32"/>
  <c r="O20" i="32"/>
  <c r="N15" i="32"/>
  <c r="K105" i="32"/>
  <c r="K69" i="32"/>
  <c r="N34" i="32"/>
  <c r="N33" i="32"/>
  <c r="N32" i="32"/>
  <c r="N31" i="32"/>
  <c r="H31" i="32" s="1"/>
  <c r="F31" i="32" s="1"/>
  <c r="N30" i="32"/>
  <c r="N29" i="32"/>
  <c r="N28" i="32"/>
  <c r="N27" i="32"/>
  <c r="N26" i="32"/>
  <c r="N25" i="32"/>
  <c r="N24" i="32"/>
  <c r="N23" i="32"/>
  <c r="N22" i="32"/>
  <c r="N21" i="32"/>
  <c r="N20" i="32"/>
  <c r="J105" i="32"/>
  <c r="J69" i="32"/>
  <c r="K59" i="32"/>
  <c r="K15" i="32"/>
  <c r="K70" i="32"/>
  <c r="H70" i="32" s="1"/>
  <c r="U68" i="32"/>
  <c r="O66" i="32"/>
  <c r="J59" i="32"/>
  <c r="K40" i="32"/>
  <c r="H40" i="32" s="1"/>
  <c r="F40" i="32" s="1"/>
  <c r="K39" i="32"/>
  <c r="K38" i="32"/>
  <c r="K37" i="32"/>
  <c r="K36" i="32"/>
  <c r="K35" i="32"/>
  <c r="K34" i="32"/>
  <c r="K33" i="32"/>
  <c r="K32" i="32"/>
  <c r="K31" i="32"/>
  <c r="K30" i="32"/>
  <c r="H30" i="32" s="1"/>
  <c r="F30" i="32" s="1"/>
  <c r="K29" i="32"/>
  <c r="H29" i="32" s="1"/>
  <c r="F29" i="32" s="1"/>
  <c r="K28" i="32"/>
  <c r="K27" i="32"/>
  <c r="K26" i="32"/>
  <c r="K25" i="32"/>
  <c r="K24" i="32"/>
  <c r="K23" i="32"/>
  <c r="K22" i="32"/>
  <c r="K21" i="32"/>
  <c r="Q104" i="31"/>
  <c r="Q107" i="31" s="1"/>
  <c r="Q109" i="31" s="1"/>
  <c r="Q111" i="31" s="1"/>
  <c r="O104" i="31"/>
  <c r="C132" i="31"/>
  <c r="O107" i="31"/>
  <c r="O109" i="31" s="1"/>
  <c r="O111" i="31" s="1"/>
  <c r="K104" i="31"/>
  <c r="K107" i="31" s="1"/>
  <c r="K109" i="31" s="1"/>
  <c r="K111" i="31" s="1"/>
  <c r="H103" i="31"/>
  <c r="S104" i="31"/>
  <c r="P104" i="31"/>
  <c r="R104" i="31"/>
  <c r="R107" i="31" s="1"/>
  <c r="R109" i="31" s="1"/>
  <c r="R111" i="31" s="1"/>
  <c r="N104" i="31"/>
  <c r="M46" i="31"/>
  <c r="O105" i="31"/>
  <c r="H20" i="31"/>
  <c r="N105" i="31"/>
  <c r="N107" i="31" s="1"/>
  <c r="N109" i="31" s="1"/>
  <c r="N111" i="31" s="1"/>
  <c r="W16" i="31"/>
  <c r="G51" i="31" s="1"/>
  <c r="W15" i="31"/>
  <c r="P14" i="31"/>
  <c r="H27" i="31"/>
  <c r="O14" i="31"/>
  <c r="J105" i="31"/>
  <c r="T103" i="31"/>
  <c r="M14" i="31"/>
  <c r="S44" i="31"/>
  <c r="H28" i="31"/>
  <c r="R44" i="31"/>
  <c r="H23" i="31"/>
  <c r="K14" i="31"/>
  <c r="P44" i="31"/>
  <c r="O44" i="31"/>
  <c r="H67" i="30"/>
  <c r="N107" i="30"/>
  <c r="M107" i="30"/>
  <c r="M109" i="30" s="1"/>
  <c r="M111" i="30" s="1"/>
  <c r="N104" i="30"/>
  <c r="H91" i="30"/>
  <c r="C133" i="30" s="1"/>
  <c r="L71" i="30"/>
  <c r="R57" i="30"/>
  <c r="J44" i="30"/>
  <c r="K71" i="30"/>
  <c r="R13" i="30"/>
  <c r="R51" i="30" s="1"/>
  <c r="Q13" i="30"/>
  <c r="Q51" i="30" s="1"/>
  <c r="O57" i="30"/>
  <c r="R105" i="30"/>
  <c r="R69" i="30"/>
  <c r="O68" i="30"/>
  <c r="N57" i="30"/>
  <c r="W16" i="30"/>
  <c r="O13" i="30"/>
  <c r="O51" i="30" s="1"/>
  <c r="Q105" i="30"/>
  <c r="K103" i="30"/>
  <c r="H103" i="30" s="1"/>
  <c r="Q69" i="30"/>
  <c r="N68" i="30"/>
  <c r="K67" i="30"/>
  <c r="U44" i="30"/>
  <c r="N13" i="30"/>
  <c r="N51" i="30" s="1"/>
  <c r="J78" i="30"/>
  <c r="R59" i="30"/>
  <c r="L57" i="30"/>
  <c r="R15" i="30"/>
  <c r="O105" i="30"/>
  <c r="R70" i="30"/>
  <c r="O69" i="30"/>
  <c r="L68" i="30"/>
  <c r="H68" i="30" s="1"/>
  <c r="Q59" i="30"/>
  <c r="Q78" i="30" s="1"/>
  <c r="K57" i="30"/>
  <c r="K78" i="30" s="1"/>
  <c r="R40" i="30"/>
  <c r="R39" i="30"/>
  <c r="R38" i="30"/>
  <c r="R37" i="30"/>
  <c r="R36" i="30"/>
  <c r="R35" i="30"/>
  <c r="R34" i="30"/>
  <c r="R33" i="30"/>
  <c r="R32" i="30"/>
  <c r="R31" i="30"/>
  <c r="R30" i="30"/>
  <c r="R29" i="30"/>
  <c r="R28" i="30"/>
  <c r="R27" i="30"/>
  <c r="R26" i="30"/>
  <c r="R25" i="30"/>
  <c r="R24" i="30"/>
  <c r="R23" i="30"/>
  <c r="R22" i="30"/>
  <c r="R21" i="30"/>
  <c r="R20" i="30"/>
  <c r="L13" i="30"/>
  <c r="L51" i="30" s="1"/>
  <c r="K68" i="30"/>
  <c r="K13" i="30"/>
  <c r="K51" i="30" s="1"/>
  <c r="O15" i="30"/>
  <c r="R71" i="30"/>
  <c r="O70" i="30"/>
  <c r="L69" i="30"/>
  <c r="N59" i="30"/>
  <c r="O40" i="30"/>
  <c r="O39" i="30"/>
  <c r="O38" i="30"/>
  <c r="O37" i="30"/>
  <c r="O36" i="30"/>
  <c r="O35" i="30"/>
  <c r="O34" i="30"/>
  <c r="O33" i="30"/>
  <c r="O32" i="30"/>
  <c r="O31" i="30"/>
  <c r="O30" i="30"/>
  <c r="O29" i="30"/>
  <c r="H29" i="30" s="1"/>
  <c r="F29" i="30" s="1"/>
  <c r="O28" i="30"/>
  <c r="O27" i="30"/>
  <c r="O26" i="30"/>
  <c r="O25" i="30"/>
  <c r="O24" i="30"/>
  <c r="O23" i="30"/>
  <c r="O22" i="30"/>
  <c r="O21" i="30"/>
  <c r="O20" i="30"/>
  <c r="N15" i="30"/>
  <c r="K105" i="30"/>
  <c r="H105" i="30" s="1"/>
  <c r="C137" i="30" s="1"/>
  <c r="K69" i="30"/>
  <c r="O71" i="30"/>
  <c r="L70" i="30"/>
  <c r="K59" i="30"/>
  <c r="L40" i="30"/>
  <c r="L39" i="30"/>
  <c r="L38" i="30"/>
  <c r="L37" i="30"/>
  <c r="L36" i="30"/>
  <c r="L35" i="30"/>
  <c r="L34" i="30"/>
  <c r="L33" i="30"/>
  <c r="L32" i="30"/>
  <c r="L31" i="30"/>
  <c r="L30" i="30"/>
  <c r="L29" i="30"/>
  <c r="L28" i="30"/>
  <c r="L27" i="30"/>
  <c r="L26" i="30"/>
  <c r="L25" i="30"/>
  <c r="L24" i="30"/>
  <c r="L23" i="30"/>
  <c r="L22" i="30"/>
  <c r="L21" i="30"/>
  <c r="L44" i="30" s="1"/>
  <c r="K15" i="30"/>
  <c r="K70" i="30"/>
  <c r="H70" i="30" s="1"/>
  <c r="K40" i="30"/>
  <c r="H40" i="30" s="1"/>
  <c r="F40" i="30" s="1"/>
  <c r="K39" i="30"/>
  <c r="K38" i="30"/>
  <c r="K37" i="30"/>
  <c r="K36" i="30"/>
  <c r="K35" i="30"/>
  <c r="K34" i="30"/>
  <c r="K33" i="30"/>
  <c r="K32" i="30"/>
  <c r="K31" i="30"/>
  <c r="K30" i="30"/>
  <c r="K29" i="30"/>
  <c r="K28" i="30"/>
  <c r="K27" i="30"/>
  <c r="K26" i="30"/>
  <c r="K25" i="30"/>
  <c r="H25" i="30" s="1"/>
  <c r="F25" i="30" s="1"/>
  <c r="K24" i="30"/>
  <c r="K23" i="30"/>
  <c r="K22" i="30"/>
  <c r="K21" i="30"/>
  <c r="G23" i="34" l="1"/>
  <c r="G29" i="34" s="1"/>
  <c r="P13" i="34"/>
  <c r="P15" i="35"/>
  <c r="P20" i="35"/>
  <c r="G18" i="35"/>
  <c r="G35" i="35"/>
  <c r="G24" i="35"/>
  <c r="W15" i="32"/>
  <c r="G25" i="35"/>
  <c r="O78" i="32"/>
  <c r="R78" i="32"/>
  <c r="H67" i="32"/>
  <c r="H57" i="32"/>
  <c r="P78" i="32"/>
  <c r="U78" i="32"/>
  <c r="T109" i="32"/>
  <c r="T111" i="32" s="1"/>
  <c r="S21" i="35"/>
  <c r="H35" i="32"/>
  <c r="F35" i="32" s="1"/>
  <c r="H32" i="32"/>
  <c r="F32" i="32" s="1"/>
  <c r="S43" i="35"/>
  <c r="H21" i="32"/>
  <c r="F21" i="32" s="1"/>
  <c r="H24" i="32"/>
  <c r="F24" i="32" s="1"/>
  <c r="H34" i="32"/>
  <c r="F34" i="32" s="1"/>
  <c r="K44" i="32"/>
  <c r="H38" i="32"/>
  <c r="F38" i="32" s="1"/>
  <c r="H25" i="32"/>
  <c r="F25" i="32" s="1"/>
  <c r="H36" i="32"/>
  <c r="F36" i="32" s="1"/>
  <c r="S46" i="35"/>
  <c r="S48" i="35" s="1"/>
  <c r="I46" i="35"/>
  <c r="H37" i="32"/>
  <c r="F37" i="32" s="1"/>
  <c r="F46" i="35"/>
  <c r="H39" i="32"/>
  <c r="F39" i="32" s="1"/>
  <c r="P46" i="32"/>
  <c r="N43" i="32"/>
  <c r="H23" i="32"/>
  <c r="F23" i="32" s="1"/>
  <c r="H26" i="32"/>
  <c r="F26" i="32" s="1"/>
  <c r="H27" i="32"/>
  <c r="F27" i="32" s="1"/>
  <c r="H69" i="30"/>
  <c r="S78" i="30"/>
  <c r="S109" i="30"/>
  <c r="S111" i="30" s="1"/>
  <c r="R78" i="30"/>
  <c r="H57" i="30"/>
  <c r="G20" i="34"/>
  <c r="G27" i="34"/>
  <c r="G25" i="34"/>
  <c r="G32" i="34"/>
  <c r="J14" i="34"/>
  <c r="U109" i="30"/>
  <c r="U111" i="30" s="1"/>
  <c r="T46" i="30"/>
  <c r="T104" i="30" s="1"/>
  <c r="T107" i="30" s="1"/>
  <c r="T109" i="30" s="1"/>
  <c r="T111" i="30" s="1"/>
  <c r="T44" i="30"/>
  <c r="S43" i="30"/>
  <c r="H71" i="30"/>
  <c r="H39" i="30"/>
  <c r="F39" i="30" s="1"/>
  <c r="H34" i="30"/>
  <c r="F34" i="30" s="1"/>
  <c r="M11" i="34"/>
  <c r="M26" i="34"/>
  <c r="M10" i="34"/>
  <c r="M25" i="34"/>
  <c r="M9" i="34"/>
  <c r="M24" i="34"/>
  <c r="M8" i="34"/>
  <c r="M12" i="34"/>
  <c r="M23" i="34"/>
  <c r="M7" i="34"/>
  <c r="M22" i="34"/>
  <c r="M6" i="34"/>
  <c r="M21" i="34"/>
  <c r="M5" i="34"/>
  <c r="M20" i="34"/>
  <c r="M19" i="34"/>
  <c r="M18" i="34"/>
  <c r="M17" i="34"/>
  <c r="M16" i="34"/>
  <c r="M15" i="34"/>
  <c r="M14" i="34"/>
  <c r="M13" i="34"/>
  <c r="Q107" i="30"/>
  <c r="H35" i="30"/>
  <c r="F35" i="30" s="1"/>
  <c r="W15" i="30"/>
  <c r="W17" i="30" s="1"/>
  <c r="Q47" i="34"/>
  <c r="G15" i="34"/>
  <c r="H24" i="30"/>
  <c r="F24" i="30" s="1"/>
  <c r="S44" i="30"/>
  <c r="G14" i="34"/>
  <c r="G11" i="34"/>
  <c r="H27" i="30"/>
  <c r="F27" i="30" s="1"/>
  <c r="H30" i="30"/>
  <c r="F30" i="30" s="1"/>
  <c r="H31" i="30"/>
  <c r="F31" i="30" s="1"/>
  <c r="Q7" i="34"/>
  <c r="J104" i="30"/>
  <c r="S21" i="34"/>
  <c r="S29" i="34"/>
  <c r="I7" i="34"/>
  <c r="H26" i="30"/>
  <c r="F26" i="30" s="1"/>
  <c r="H36" i="30"/>
  <c r="F36" i="30" s="1"/>
  <c r="K44" i="30"/>
  <c r="L46" i="30"/>
  <c r="H21" i="30"/>
  <c r="F21" i="30" s="1"/>
  <c r="H37" i="30"/>
  <c r="F37" i="30" s="1"/>
  <c r="S7" i="34"/>
  <c r="H38" i="30"/>
  <c r="F38" i="30" s="1"/>
  <c r="H23" i="30"/>
  <c r="F23" i="30" s="1"/>
  <c r="H33" i="30"/>
  <c r="F33" i="30" s="1"/>
  <c r="P41" i="35"/>
  <c r="P32" i="35"/>
  <c r="G19" i="35"/>
  <c r="P40" i="35"/>
  <c r="G40" i="34"/>
  <c r="G43" i="34" s="1"/>
  <c r="E43" i="34"/>
  <c r="E7" i="35"/>
  <c r="G7" i="35" s="1"/>
  <c r="H7" i="35"/>
  <c r="J7" i="35" s="1"/>
  <c r="R7" i="35"/>
  <c r="P7" i="35"/>
  <c r="G27" i="35"/>
  <c r="P24" i="35"/>
  <c r="W15" i="33"/>
  <c r="BC29" i="37"/>
  <c r="BC32" i="37" s="1"/>
  <c r="H103" i="33"/>
  <c r="E45" i="35"/>
  <c r="E48" i="35" s="1"/>
  <c r="H45" i="35"/>
  <c r="H30" i="33"/>
  <c r="J44" i="33"/>
  <c r="H44" i="33" s="1"/>
  <c r="H13" i="35"/>
  <c r="H17" i="35"/>
  <c r="J17" i="35" s="1"/>
  <c r="H31" i="35"/>
  <c r="H41" i="35"/>
  <c r="J41" i="35" s="1"/>
  <c r="H23" i="35"/>
  <c r="H26" i="35"/>
  <c r="J26" i="35" s="1"/>
  <c r="H42" i="35"/>
  <c r="J42" i="35" s="1"/>
  <c r="H18" i="35"/>
  <c r="J18" i="35" s="1"/>
  <c r="H36" i="35"/>
  <c r="J36" i="35" s="1"/>
  <c r="H32" i="35"/>
  <c r="J32" i="35" s="1"/>
  <c r="H15" i="35"/>
  <c r="J15" i="35" s="1"/>
  <c r="H19" i="35"/>
  <c r="J19" i="35" s="1"/>
  <c r="H9" i="35"/>
  <c r="H27" i="35"/>
  <c r="J27" i="35" s="1"/>
  <c r="H40" i="35"/>
  <c r="H24" i="35"/>
  <c r="J24" i="35" s="1"/>
  <c r="H28" i="35"/>
  <c r="J28" i="35" s="1"/>
  <c r="H16" i="35"/>
  <c r="J16" i="35" s="1"/>
  <c r="H35" i="35"/>
  <c r="H11" i="35"/>
  <c r="H20" i="35"/>
  <c r="J20" i="35" s="1"/>
  <c r="H25" i="35"/>
  <c r="J25" i="35" s="1"/>
  <c r="R45" i="35"/>
  <c r="H25" i="33"/>
  <c r="K46" i="33"/>
  <c r="H43" i="33"/>
  <c r="H46" i="33"/>
  <c r="U107" i="33"/>
  <c r="U109" i="33" s="1"/>
  <c r="U111" i="33" s="1"/>
  <c r="P47" i="35"/>
  <c r="P14" i="35"/>
  <c r="L46" i="33"/>
  <c r="L104" i="33" s="1"/>
  <c r="L107" i="33" s="1"/>
  <c r="L109" i="33" s="1"/>
  <c r="L111" i="33" s="1"/>
  <c r="G32" i="35"/>
  <c r="H47" i="35"/>
  <c r="J47" i="35" s="1"/>
  <c r="L107" i="31"/>
  <c r="L109" i="31" s="1"/>
  <c r="T107" i="31"/>
  <c r="T109" i="31" s="1"/>
  <c r="T111" i="31" s="1"/>
  <c r="J44" i="31"/>
  <c r="P41" i="34"/>
  <c r="J43" i="31"/>
  <c r="H43" i="31" s="1"/>
  <c r="L111" i="31"/>
  <c r="H11" i="34"/>
  <c r="H32" i="34"/>
  <c r="J32" i="34" s="1"/>
  <c r="H42" i="34"/>
  <c r="J42" i="34" s="1"/>
  <c r="H24" i="34"/>
  <c r="H28" i="34"/>
  <c r="J28" i="34" s="1"/>
  <c r="H13" i="34"/>
  <c r="H20" i="34"/>
  <c r="J20" i="34" s="1"/>
  <c r="H25" i="34"/>
  <c r="J25" i="34" s="1"/>
  <c r="H17" i="34"/>
  <c r="J17" i="34" s="1"/>
  <c r="H40" i="34"/>
  <c r="H35" i="34"/>
  <c r="H18" i="34"/>
  <c r="J18" i="34" s="1"/>
  <c r="H26" i="34"/>
  <c r="J26" i="34" s="1"/>
  <c r="H23" i="34"/>
  <c r="H31" i="34"/>
  <c r="H41" i="34"/>
  <c r="H15" i="34"/>
  <c r="H19" i="34"/>
  <c r="J19" i="34" s="1"/>
  <c r="H27" i="34"/>
  <c r="J27" i="34" s="1"/>
  <c r="H36" i="34"/>
  <c r="J36" i="34" s="1"/>
  <c r="W14" i="31"/>
  <c r="J15" i="34"/>
  <c r="J47" i="34"/>
  <c r="J24" i="34"/>
  <c r="H9" i="34"/>
  <c r="H16" i="34"/>
  <c r="J16" i="34" s="1"/>
  <c r="G35" i="34"/>
  <c r="E37" i="34"/>
  <c r="E50" i="34" s="1"/>
  <c r="E52" i="34" s="1"/>
  <c r="J11" i="34"/>
  <c r="P107" i="31"/>
  <c r="P109" i="31" s="1"/>
  <c r="P111" i="31" s="1"/>
  <c r="H47" i="34"/>
  <c r="R47" i="34"/>
  <c r="E47" i="34"/>
  <c r="G47" i="34" s="1"/>
  <c r="G101" i="31"/>
  <c r="J46" i="31"/>
  <c r="S107" i="31"/>
  <c r="S109" i="31" s="1"/>
  <c r="S111" i="31" s="1"/>
  <c r="J41" i="34"/>
  <c r="P45" i="34"/>
  <c r="F29" i="35"/>
  <c r="G23" i="35"/>
  <c r="G29" i="35" s="1"/>
  <c r="Q16" i="35"/>
  <c r="Q25" i="35"/>
  <c r="Q35" i="35"/>
  <c r="Q42" i="35"/>
  <c r="Q13" i="35"/>
  <c r="Q31" i="35"/>
  <c r="Q18" i="35"/>
  <c r="Q27" i="35"/>
  <c r="Q45" i="35"/>
  <c r="Q17" i="35"/>
  <c r="Q26" i="35"/>
  <c r="Q36" i="35"/>
  <c r="Q14" i="35"/>
  <c r="Q23" i="35"/>
  <c r="Q32" i="35"/>
  <c r="Q40" i="35"/>
  <c r="Q24" i="35"/>
  <c r="F43" i="35"/>
  <c r="G40" i="35"/>
  <c r="G43" i="35" s="1"/>
  <c r="Q20" i="35"/>
  <c r="E33" i="35"/>
  <c r="G31" i="35"/>
  <c r="G33" i="35" s="1"/>
  <c r="Q46" i="35"/>
  <c r="J9" i="35"/>
  <c r="Q11" i="35"/>
  <c r="F48" i="35"/>
  <c r="G14" i="35"/>
  <c r="Q19" i="35"/>
  <c r="G9" i="35"/>
  <c r="Q28" i="35"/>
  <c r="Q15" i="35"/>
  <c r="P16" i="35"/>
  <c r="P25" i="35"/>
  <c r="P35" i="35"/>
  <c r="P42" i="35"/>
  <c r="P43" i="35" s="1"/>
  <c r="P13" i="35"/>
  <c r="P31" i="35"/>
  <c r="P33" i="35" s="1"/>
  <c r="P9" i="35"/>
  <c r="P18" i="35"/>
  <c r="P27" i="35"/>
  <c r="P45" i="35"/>
  <c r="P28" i="35"/>
  <c r="P36" i="35"/>
  <c r="P17" i="35"/>
  <c r="P46" i="35"/>
  <c r="P26" i="35"/>
  <c r="P19" i="35"/>
  <c r="Q9" i="35"/>
  <c r="S29" i="35"/>
  <c r="G13" i="35"/>
  <c r="G21" i="35" s="1"/>
  <c r="E21" i="35"/>
  <c r="Q41" i="35"/>
  <c r="Q47" i="35"/>
  <c r="R21" i="35"/>
  <c r="Q19" i="34"/>
  <c r="Q28" i="34"/>
  <c r="Q46" i="34"/>
  <c r="Q16" i="34"/>
  <c r="Q25" i="34"/>
  <c r="Q35" i="34"/>
  <c r="Q42" i="34"/>
  <c r="Q13" i="34"/>
  <c r="Q31" i="34"/>
  <c r="I48" i="34"/>
  <c r="I50" i="34" s="1"/>
  <c r="I52" i="34" s="1"/>
  <c r="J45" i="34"/>
  <c r="J48" i="34" s="1"/>
  <c r="Q45" i="34"/>
  <c r="Q41" i="34"/>
  <c r="Q17" i="34"/>
  <c r="P40" i="34"/>
  <c r="Q24" i="34"/>
  <c r="R21" i="34"/>
  <c r="P15" i="34"/>
  <c r="P32" i="34"/>
  <c r="P11" i="34"/>
  <c r="P18" i="34"/>
  <c r="Q11" i="34"/>
  <c r="Q26" i="34"/>
  <c r="Q27" i="34"/>
  <c r="Q9" i="34"/>
  <c r="Q36" i="34"/>
  <c r="G13" i="34"/>
  <c r="G21" i="34" s="1"/>
  <c r="F21" i="34"/>
  <c r="F50" i="34" s="1"/>
  <c r="P27" i="34"/>
  <c r="P24" i="34"/>
  <c r="Q14" i="34"/>
  <c r="J9" i="34"/>
  <c r="Q23" i="34"/>
  <c r="P16" i="34"/>
  <c r="P25" i="34"/>
  <c r="P35" i="34"/>
  <c r="P42" i="34"/>
  <c r="P20" i="34"/>
  <c r="P47" i="34"/>
  <c r="P17" i="34"/>
  <c r="P26" i="34"/>
  <c r="P36" i="34"/>
  <c r="P19" i="34"/>
  <c r="P9" i="34"/>
  <c r="P28" i="34"/>
  <c r="Q32" i="34"/>
  <c r="P23" i="34"/>
  <c r="P31" i="34"/>
  <c r="Q18" i="34"/>
  <c r="Q40" i="34"/>
  <c r="E128" i="33"/>
  <c r="G46" i="33"/>
  <c r="P107" i="33"/>
  <c r="P109" i="33" s="1"/>
  <c r="P111" i="33" s="1"/>
  <c r="N104" i="33"/>
  <c r="N107" i="33" s="1"/>
  <c r="N109" i="33" s="1"/>
  <c r="N111" i="33" s="1"/>
  <c r="J104" i="33"/>
  <c r="Q107" i="33"/>
  <c r="Q109" i="33" s="1"/>
  <c r="Q111" i="33" s="1"/>
  <c r="M104" i="33"/>
  <c r="M107" i="33" s="1"/>
  <c r="M109" i="33" s="1"/>
  <c r="M111" i="33" s="1"/>
  <c r="J107" i="33"/>
  <c r="J109" i="33" s="1"/>
  <c r="I13" i="33"/>
  <c r="W51" i="32"/>
  <c r="H51" i="32"/>
  <c r="P104" i="32"/>
  <c r="P107" i="32" s="1"/>
  <c r="P109" i="32" s="1"/>
  <c r="P111" i="32" s="1"/>
  <c r="L109" i="32"/>
  <c r="L111" i="32" s="1"/>
  <c r="H28" i="32"/>
  <c r="F28" i="32" s="1"/>
  <c r="S43" i="32"/>
  <c r="C133" i="32"/>
  <c r="P44" i="32"/>
  <c r="K78" i="32"/>
  <c r="H68" i="32"/>
  <c r="R109" i="32"/>
  <c r="R111" i="32" s="1"/>
  <c r="H69" i="32"/>
  <c r="H103" i="32"/>
  <c r="N78" i="32"/>
  <c r="H105" i="32"/>
  <c r="C137" i="32" s="1"/>
  <c r="P43" i="32"/>
  <c r="U43" i="32"/>
  <c r="J107" i="32"/>
  <c r="H22" i="32"/>
  <c r="F22" i="32" s="1"/>
  <c r="K46" i="32"/>
  <c r="M109" i="32"/>
  <c r="M111" i="32" s="1"/>
  <c r="H56" i="32"/>
  <c r="J78" i="32"/>
  <c r="O46" i="32"/>
  <c r="O44" i="32"/>
  <c r="S46" i="32"/>
  <c r="S44" i="32"/>
  <c r="N46" i="32"/>
  <c r="N44" i="32"/>
  <c r="H59" i="32"/>
  <c r="I4" i="32"/>
  <c r="I7" i="32"/>
  <c r="I10" i="32"/>
  <c r="G101" i="32"/>
  <c r="B127" i="32"/>
  <c r="W17" i="32"/>
  <c r="W14" i="32"/>
  <c r="K43" i="32"/>
  <c r="U46" i="32"/>
  <c r="U44" i="32"/>
  <c r="H66" i="32"/>
  <c r="H20" i="32"/>
  <c r="M104" i="31"/>
  <c r="M107" i="31" s="1"/>
  <c r="M109" i="31" s="1"/>
  <c r="M111" i="31" s="1"/>
  <c r="H44" i="31"/>
  <c r="G78" i="31"/>
  <c r="H105" i="31"/>
  <c r="C137" i="31" s="1"/>
  <c r="B127" i="31"/>
  <c r="I4" i="31"/>
  <c r="I7" i="31"/>
  <c r="I10" i="31"/>
  <c r="H46" i="31"/>
  <c r="F137" i="30"/>
  <c r="L104" i="30"/>
  <c r="L107" i="30" s="1"/>
  <c r="H51" i="30"/>
  <c r="W51" i="30"/>
  <c r="R43" i="30"/>
  <c r="I4" i="30"/>
  <c r="I7" i="30"/>
  <c r="I10" i="30"/>
  <c r="B127" i="30"/>
  <c r="W14" i="30"/>
  <c r="O78" i="30"/>
  <c r="G101" i="30"/>
  <c r="Q109" i="30"/>
  <c r="Q111" i="30" s="1"/>
  <c r="H32" i="30"/>
  <c r="F32" i="30" s="1"/>
  <c r="K43" i="30"/>
  <c r="O43" i="30"/>
  <c r="L78" i="30"/>
  <c r="R46" i="30"/>
  <c r="R44" i="30"/>
  <c r="H28" i="30"/>
  <c r="F28" i="30" s="1"/>
  <c r="H22" i="30"/>
  <c r="F22" i="30" s="1"/>
  <c r="N78" i="30"/>
  <c r="N109" i="30" s="1"/>
  <c r="N111" i="30" s="1"/>
  <c r="H59" i="30"/>
  <c r="L43" i="30"/>
  <c r="K46" i="30"/>
  <c r="O46" i="30"/>
  <c r="O44" i="30"/>
  <c r="H44" i="30" s="1"/>
  <c r="H20" i="30"/>
  <c r="S11" i="35" l="1"/>
  <c r="F11" i="35"/>
  <c r="G11" i="35" s="1"/>
  <c r="I11" i="35"/>
  <c r="I52" i="35" s="1"/>
  <c r="I54" i="35" s="1"/>
  <c r="S50" i="35"/>
  <c r="H44" i="32"/>
  <c r="F50" i="35"/>
  <c r="G50" i="35" s="1"/>
  <c r="Q29" i="35"/>
  <c r="H78" i="30"/>
  <c r="I13" i="30"/>
  <c r="W78" i="30"/>
  <c r="Q33" i="34"/>
  <c r="F46" i="34"/>
  <c r="S46" i="34"/>
  <c r="S48" i="34" s="1"/>
  <c r="S50" i="34" s="1"/>
  <c r="S52" i="34" s="1"/>
  <c r="S54" i="34" s="1"/>
  <c r="S55" i="34" s="1"/>
  <c r="J107" i="30"/>
  <c r="J109" i="30" s="1"/>
  <c r="I46" i="34"/>
  <c r="H43" i="30"/>
  <c r="Q37" i="34"/>
  <c r="G45" i="35"/>
  <c r="G48" i="35" s="1"/>
  <c r="E50" i="35"/>
  <c r="E52" i="35" s="1"/>
  <c r="E54" i="35" s="1"/>
  <c r="E55" i="35" s="1"/>
  <c r="P21" i="34"/>
  <c r="P43" i="34"/>
  <c r="H43" i="35"/>
  <c r="J40" i="35"/>
  <c r="J43" i="35" s="1"/>
  <c r="H48" i="35"/>
  <c r="J45" i="35"/>
  <c r="J48" i="35" s="1"/>
  <c r="P48" i="35"/>
  <c r="P29" i="35"/>
  <c r="K104" i="33"/>
  <c r="K107" i="33" s="1"/>
  <c r="K109" i="33" s="1"/>
  <c r="K111" i="33"/>
  <c r="W109" i="33"/>
  <c r="P21" i="35"/>
  <c r="P50" i="35" s="1"/>
  <c r="P52" i="35" s="1"/>
  <c r="P54" i="35" s="1"/>
  <c r="P55" i="35" s="1"/>
  <c r="H46" i="35"/>
  <c r="J46" i="35" s="1"/>
  <c r="R46" i="35"/>
  <c r="R48" i="35" s="1"/>
  <c r="R50" i="35" s="1"/>
  <c r="R52" i="35" s="1"/>
  <c r="R54" i="35" s="1"/>
  <c r="R55" i="35" s="1"/>
  <c r="E46" i="35"/>
  <c r="G46" i="35" s="1"/>
  <c r="J23" i="35"/>
  <c r="J29" i="35" s="1"/>
  <c r="H29" i="35"/>
  <c r="W46" i="33"/>
  <c r="H21" i="35"/>
  <c r="J13" i="35"/>
  <c r="J21" i="35" s="1"/>
  <c r="H37" i="35"/>
  <c r="J35" i="35"/>
  <c r="J31" i="35"/>
  <c r="J33" i="35" s="1"/>
  <c r="H33" i="35"/>
  <c r="E7" i="34"/>
  <c r="H7" i="34"/>
  <c r="J7" i="34" s="1"/>
  <c r="R7" i="34"/>
  <c r="J104" i="31"/>
  <c r="P7" i="34"/>
  <c r="W46" i="31"/>
  <c r="H33" i="34"/>
  <c r="J31" i="34"/>
  <c r="J33" i="34" s="1"/>
  <c r="H29" i="34"/>
  <c r="J23" i="34"/>
  <c r="J29" i="34" s="1"/>
  <c r="H37" i="34"/>
  <c r="J35" i="34"/>
  <c r="H43" i="34"/>
  <c r="J40" i="34"/>
  <c r="J43" i="34" s="1"/>
  <c r="H21" i="34"/>
  <c r="H50" i="34" s="1"/>
  <c r="J50" i="34" s="1"/>
  <c r="J13" i="34"/>
  <c r="J21" i="34" s="1"/>
  <c r="P37" i="35"/>
  <c r="Q48" i="35"/>
  <c r="Q33" i="35"/>
  <c r="Q21" i="35"/>
  <c r="Q37" i="35"/>
  <c r="Q43" i="35"/>
  <c r="Q48" i="34"/>
  <c r="G50" i="34"/>
  <c r="F52" i="34"/>
  <c r="Q43" i="34"/>
  <c r="P33" i="34"/>
  <c r="P29" i="34"/>
  <c r="Q29" i="34"/>
  <c r="I54" i="34"/>
  <c r="P37" i="34"/>
  <c r="Q21" i="34"/>
  <c r="H104" i="33"/>
  <c r="G128" i="33"/>
  <c r="G139" i="33" s="1"/>
  <c r="J111" i="33"/>
  <c r="W111" i="33" s="1"/>
  <c r="N104" i="32"/>
  <c r="N107" i="32" s="1"/>
  <c r="N109" i="32" s="1"/>
  <c r="N111" i="32" s="1"/>
  <c r="O104" i="32"/>
  <c r="O107" i="32" s="1"/>
  <c r="O109" i="32" s="1"/>
  <c r="O111" i="32" s="1"/>
  <c r="H46" i="32"/>
  <c r="F20" i="32"/>
  <c r="H78" i="32"/>
  <c r="F133" i="32"/>
  <c r="W78" i="32"/>
  <c r="I13" i="32"/>
  <c r="W41" i="32"/>
  <c r="W20" i="32"/>
  <c r="W43" i="32" s="1"/>
  <c r="W21" i="32"/>
  <c r="W22" i="32"/>
  <c r="W23" i="32"/>
  <c r="W24" i="32"/>
  <c r="W25" i="32"/>
  <c r="W26" i="32"/>
  <c r="W27" i="32"/>
  <c r="W28" i="32"/>
  <c r="W29" i="32"/>
  <c r="W30" i="32"/>
  <c r="W31" i="32"/>
  <c r="W32" i="32"/>
  <c r="W33" i="32"/>
  <c r="W34" i="32"/>
  <c r="W35" i="32"/>
  <c r="W36" i="32"/>
  <c r="W37" i="32"/>
  <c r="W38" i="32"/>
  <c r="W39" i="32"/>
  <c r="W40" i="32"/>
  <c r="U104" i="32"/>
  <c r="U107" i="32" s="1"/>
  <c r="U109" i="32" s="1"/>
  <c r="U111" i="32" s="1"/>
  <c r="K104" i="32"/>
  <c r="W46" i="32"/>
  <c r="H43" i="32"/>
  <c r="F136" i="32"/>
  <c r="F135" i="32"/>
  <c r="F134" i="32"/>
  <c r="F137" i="32"/>
  <c r="J109" i="32"/>
  <c r="G51" i="32"/>
  <c r="C131" i="32"/>
  <c r="S104" i="32"/>
  <c r="S107" i="32" s="1"/>
  <c r="S109" i="32" s="1"/>
  <c r="S111" i="32" s="1"/>
  <c r="F137" i="31"/>
  <c r="E128" i="31"/>
  <c r="G46" i="31"/>
  <c r="H104" i="31"/>
  <c r="F136" i="31"/>
  <c r="F135" i="31"/>
  <c r="F133" i="31"/>
  <c r="F131" i="31"/>
  <c r="G138" i="31" s="1"/>
  <c r="F134" i="31"/>
  <c r="I13" i="31"/>
  <c r="F132" i="31"/>
  <c r="G78" i="30"/>
  <c r="C132" i="30"/>
  <c r="F132" i="30" s="1"/>
  <c r="W41" i="30"/>
  <c r="W20" i="30"/>
  <c r="W21" i="30"/>
  <c r="W22" i="30"/>
  <c r="W23" i="30"/>
  <c r="W24" i="30"/>
  <c r="W25" i="30"/>
  <c r="W26" i="30"/>
  <c r="W27" i="30"/>
  <c r="W28" i="30"/>
  <c r="W29" i="30"/>
  <c r="W30" i="30"/>
  <c r="W31" i="30"/>
  <c r="W32" i="30"/>
  <c r="W33" i="30"/>
  <c r="W34" i="30"/>
  <c r="W35" i="30"/>
  <c r="W36" i="30"/>
  <c r="W37" i="30"/>
  <c r="W38" i="30"/>
  <c r="W39" i="30"/>
  <c r="W40" i="30"/>
  <c r="R104" i="30"/>
  <c r="R107" i="30" s="1"/>
  <c r="R109" i="30" s="1"/>
  <c r="R111" i="30" s="1"/>
  <c r="F135" i="30"/>
  <c r="F136" i="30"/>
  <c r="F134" i="30"/>
  <c r="O104" i="30"/>
  <c r="O107" i="30" s="1"/>
  <c r="O109" i="30" s="1"/>
  <c r="O111" i="30" s="1"/>
  <c r="K104" i="30"/>
  <c r="W46" i="30"/>
  <c r="J111" i="30"/>
  <c r="G51" i="30"/>
  <c r="C131" i="30"/>
  <c r="L109" i="30"/>
  <c r="L111" i="30" s="1"/>
  <c r="H46" i="30"/>
  <c r="F20" i="30"/>
  <c r="F133" i="30"/>
  <c r="S52" i="35" l="1"/>
  <c r="S54" i="35" s="1"/>
  <c r="S55" i="35" s="1"/>
  <c r="J11" i="35"/>
  <c r="F52" i="35"/>
  <c r="Q50" i="35"/>
  <c r="Q52" i="35" s="1"/>
  <c r="Q54" i="35" s="1"/>
  <c r="Q55" i="35" s="1"/>
  <c r="H50" i="35"/>
  <c r="H52" i="34"/>
  <c r="E46" i="34"/>
  <c r="G46" i="34" s="1"/>
  <c r="R46" i="34"/>
  <c r="R48" i="34" s="1"/>
  <c r="R50" i="34" s="1"/>
  <c r="R52" i="34" s="1"/>
  <c r="R54" i="34" s="1"/>
  <c r="R55" i="34" s="1"/>
  <c r="H46" i="34"/>
  <c r="J46" i="34" s="1"/>
  <c r="P46" i="34"/>
  <c r="P48" i="34" s="1"/>
  <c r="P50" i="34" s="1"/>
  <c r="P52" i="34" s="1"/>
  <c r="P54" i="34" s="1"/>
  <c r="P55" i="34" s="1"/>
  <c r="J107" i="31"/>
  <c r="J109" i="31" s="1"/>
  <c r="G7" i="34"/>
  <c r="E54" i="34"/>
  <c r="E55" i="34" s="1"/>
  <c r="G52" i="35"/>
  <c r="F54" i="35"/>
  <c r="I55" i="35"/>
  <c r="Q50" i="34"/>
  <c r="Q52" i="34" s="1"/>
  <c r="Q54" i="34" s="1"/>
  <c r="Q55" i="34" s="1"/>
  <c r="I55" i="34"/>
  <c r="G52" i="34"/>
  <c r="F54" i="34"/>
  <c r="C138" i="33"/>
  <c r="H107" i="33"/>
  <c r="C132" i="32"/>
  <c r="F132" i="32" s="1"/>
  <c r="G78" i="32"/>
  <c r="H104" i="32"/>
  <c r="K107" i="32"/>
  <c r="K109" i="32" s="1"/>
  <c r="K111" i="32" s="1"/>
  <c r="G46" i="32"/>
  <c r="E128" i="32"/>
  <c r="F131" i="32"/>
  <c r="G138" i="32" s="1"/>
  <c r="J111" i="32"/>
  <c r="H107" i="31"/>
  <c r="C138" i="31"/>
  <c r="G128" i="31"/>
  <c r="G139" i="31" s="1"/>
  <c r="G46" i="30"/>
  <c r="E128" i="30"/>
  <c r="F131" i="30"/>
  <c r="W43" i="30"/>
  <c r="H104" i="30"/>
  <c r="K107" i="30"/>
  <c r="K109" i="30" s="1"/>
  <c r="W109" i="32" l="1"/>
  <c r="W111" i="32"/>
  <c r="H52" i="35"/>
  <c r="J50" i="35"/>
  <c r="J111" i="31"/>
  <c r="W111" i="31" s="1"/>
  <c r="W109" i="31"/>
  <c r="H54" i="34"/>
  <c r="J52" i="34"/>
  <c r="F55" i="35"/>
  <c r="G54" i="35"/>
  <c r="G55" i="35" s="1"/>
  <c r="F55" i="34"/>
  <c r="G54" i="34"/>
  <c r="G55" i="34" s="1"/>
  <c r="F138" i="33"/>
  <c r="E138" i="33"/>
  <c r="E139" i="33" s="1"/>
  <c r="G107" i="33"/>
  <c r="H109" i="33"/>
  <c r="H111" i="33" s="1"/>
  <c r="G128" i="32"/>
  <c r="G139" i="32" s="1"/>
  <c r="H107" i="32"/>
  <c r="C138" i="32"/>
  <c r="F138" i="31"/>
  <c r="E138" i="31"/>
  <c r="E139" i="31" s="1"/>
  <c r="G107" i="31"/>
  <c r="H109" i="31"/>
  <c r="H111" i="31" s="1"/>
  <c r="K111" i="30"/>
  <c r="W111" i="30" s="1"/>
  <c r="W109" i="30"/>
  <c r="C138" i="30"/>
  <c r="H107" i="30"/>
  <c r="G128" i="30"/>
  <c r="H54" i="35" l="1"/>
  <c r="J52" i="35"/>
  <c r="H55" i="34"/>
  <c r="J54" i="34"/>
  <c r="J55" i="34" s="1"/>
  <c r="F138" i="32"/>
  <c r="E138" i="32"/>
  <c r="E139" i="32" s="1"/>
  <c r="G107" i="32"/>
  <c r="H109" i="32"/>
  <c r="H111" i="32" s="1"/>
  <c r="G107" i="30"/>
  <c r="H109" i="30"/>
  <c r="H111" i="30" s="1"/>
  <c r="F138" i="30"/>
  <c r="G138" i="30" s="1"/>
  <c r="G139" i="30" s="1"/>
  <c r="E138" i="30"/>
  <c r="E139" i="30" s="1"/>
  <c r="H55" i="35" l="1"/>
  <c r="J54" i="35"/>
  <c r="J55" i="35" s="1"/>
  <c r="G4" i="29"/>
  <c r="K4" i="29"/>
  <c r="O4" i="29"/>
  <c r="AZ4" i="29"/>
  <c r="BA4" i="29"/>
  <c r="BC4" i="29"/>
  <c r="G5" i="29"/>
  <c r="K5" i="29"/>
  <c r="O5" i="29"/>
  <c r="AZ5" i="29"/>
  <c r="BA5" i="29"/>
  <c r="BC5" i="29"/>
  <c r="G6" i="29"/>
  <c r="BC6" i="29" s="1"/>
  <c r="K6" i="29"/>
  <c r="K29" i="29" s="1"/>
  <c r="O6" i="29"/>
  <c r="O27" i="29" s="1"/>
  <c r="AZ6" i="29"/>
  <c r="BA6" i="29"/>
  <c r="G7" i="29"/>
  <c r="K7" i="29"/>
  <c r="BC7" i="29" s="1"/>
  <c r="O7" i="29"/>
  <c r="AZ7" i="29"/>
  <c r="BA7" i="29"/>
  <c r="G8" i="29"/>
  <c r="K8" i="29"/>
  <c r="K24" i="25" s="1"/>
  <c r="O8" i="29"/>
  <c r="L24" i="25" s="1"/>
  <c r="AZ8" i="29"/>
  <c r="AZ29" i="29" s="1"/>
  <c r="AZ32" i="29" s="1"/>
  <c r="BA8" i="29"/>
  <c r="BC8" i="29"/>
  <c r="G9" i="29"/>
  <c r="J25" i="25" s="1"/>
  <c r="K9" i="29"/>
  <c r="O9" i="29"/>
  <c r="AZ9" i="29"/>
  <c r="BA9" i="29"/>
  <c r="G10" i="29"/>
  <c r="K10" i="29"/>
  <c r="O10" i="29"/>
  <c r="AZ10" i="29"/>
  <c r="BA10" i="29"/>
  <c r="BC10" i="29"/>
  <c r="G11" i="29"/>
  <c r="BC11" i="29" s="1"/>
  <c r="K11" i="29"/>
  <c r="K27" i="25" s="1"/>
  <c r="O11" i="29"/>
  <c r="L27" i="25" s="1"/>
  <c r="AZ11" i="29"/>
  <c r="BA11" i="29"/>
  <c r="G12" i="29"/>
  <c r="K12" i="29"/>
  <c r="O12" i="29"/>
  <c r="AZ12" i="29"/>
  <c r="BA12" i="29"/>
  <c r="BC12" i="29"/>
  <c r="G13" i="29"/>
  <c r="K13" i="29"/>
  <c r="O13" i="29"/>
  <c r="AZ13" i="29"/>
  <c r="AZ31" i="29" s="1"/>
  <c r="BA13" i="29"/>
  <c r="BC13" i="29"/>
  <c r="G14" i="29"/>
  <c r="BC14" i="29" s="1"/>
  <c r="K14" i="29"/>
  <c r="O14" i="29"/>
  <c r="O31" i="29" s="1"/>
  <c r="AZ14" i="29"/>
  <c r="BA14" i="29"/>
  <c r="G15" i="29"/>
  <c r="K15" i="29"/>
  <c r="BC15" i="29" s="1"/>
  <c r="O15" i="29"/>
  <c r="AZ15" i="29"/>
  <c r="BA15" i="29"/>
  <c r="G16" i="29"/>
  <c r="K16" i="29"/>
  <c r="K32" i="25" s="1"/>
  <c r="O16" i="29"/>
  <c r="L32" i="25" s="1"/>
  <c r="AZ16" i="29"/>
  <c r="BA16" i="29"/>
  <c r="BC16" i="29"/>
  <c r="G17" i="29"/>
  <c r="J33" i="25" s="1"/>
  <c r="H33" i="25" s="1"/>
  <c r="K17" i="29"/>
  <c r="O17" i="29"/>
  <c r="AZ17" i="29"/>
  <c r="BA17" i="29"/>
  <c r="G18" i="29"/>
  <c r="K18" i="29"/>
  <c r="O18" i="29"/>
  <c r="AZ18" i="29"/>
  <c r="BA18" i="29"/>
  <c r="BC18" i="29"/>
  <c r="G19" i="29"/>
  <c r="BC19" i="29" s="1"/>
  <c r="K19" i="29"/>
  <c r="K35" i="25" s="1"/>
  <c r="O19" i="29"/>
  <c r="L35" i="25" s="1"/>
  <c r="AZ19" i="29"/>
  <c r="BA19" i="29"/>
  <c r="G20" i="29"/>
  <c r="K20" i="29"/>
  <c r="O20" i="29"/>
  <c r="AZ20" i="29"/>
  <c r="BA20" i="29"/>
  <c r="BC20" i="29"/>
  <c r="G21" i="29"/>
  <c r="K21" i="29"/>
  <c r="O21" i="29"/>
  <c r="AZ21" i="29"/>
  <c r="BA21" i="29"/>
  <c r="BC21" i="29"/>
  <c r="G22" i="29"/>
  <c r="BC22" i="29" s="1"/>
  <c r="K22" i="29"/>
  <c r="O22" i="29"/>
  <c r="AZ22" i="29"/>
  <c r="BA22" i="29"/>
  <c r="G23" i="29"/>
  <c r="K23" i="29"/>
  <c r="O23" i="29"/>
  <c r="AZ23" i="29"/>
  <c r="BA23" i="29"/>
  <c r="BC23" i="29"/>
  <c r="G24" i="29"/>
  <c r="K24" i="29"/>
  <c r="K40" i="25" s="1"/>
  <c r="O24" i="29"/>
  <c r="L40" i="25" s="1"/>
  <c r="AZ24" i="29"/>
  <c r="BA24" i="29"/>
  <c r="G25" i="29"/>
  <c r="J41" i="25" s="1"/>
  <c r="K25" i="29"/>
  <c r="O25" i="29"/>
  <c r="AZ25" i="29"/>
  <c r="BA25" i="29"/>
  <c r="AZ26" i="29"/>
  <c r="BA26" i="29"/>
  <c r="BC26" i="29"/>
  <c r="D27" i="29"/>
  <c r="E27" i="29"/>
  <c r="H27" i="29"/>
  <c r="K16" i="25" s="1"/>
  <c r="I27" i="29"/>
  <c r="BA28" i="29" s="1"/>
  <c r="K27" i="29"/>
  <c r="L27" i="29"/>
  <c r="L16" i="25" s="1"/>
  <c r="L103" i="25" s="1"/>
  <c r="M27" i="29"/>
  <c r="P27" i="29"/>
  <c r="Q27" i="29"/>
  <c r="S27" i="29"/>
  <c r="T27" i="29"/>
  <c r="U27" i="29"/>
  <c r="W27" i="29"/>
  <c r="X27" i="29"/>
  <c r="Y27" i="29"/>
  <c r="AA27" i="29"/>
  <c r="AB27" i="29"/>
  <c r="AC27" i="29"/>
  <c r="AE27" i="29"/>
  <c r="AF27" i="29"/>
  <c r="Q16" i="25" s="1"/>
  <c r="AG27" i="29"/>
  <c r="AI27" i="29"/>
  <c r="AJ27" i="29"/>
  <c r="AK27" i="29"/>
  <c r="AM27" i="29"/>
  <c r="AN27" i="29"/>
  <c r="AO27" i="29"/>
  <c r="AQ27" i="29"/>
  <c r="AR27" i="29"/>
  <c r="AS27" i="29"/>
  <c r="AU27" i="29"/>
  <c r="AV27" i="29"/>
  <c r="AW27" i="29"/>
  <c r="AY27" i="29"/>
  <c r="BA27" i="29"/>
  <c r="D29" i="29"/>
  <c r="H29" i="29"/>
  <c r="L29" i="29"/>
  <c r="P29" i="29"/>
  <c r="S29" i="29"/>
  <c r="T29" i="29"/>
  <c r="W29" i="29"/>
  <c r="X29" i="29"/>
  <c r="X32" i="29" s="1"/>
  <c r="AA29" i="29"/>
  <c r="AA32" i="29" s="1"/>
  <c r="AB29" i="29"/>
  <c r="AB32" i="29" s="1"/>
  <c r="AE29" i="29"/>
  <c r="AE32" i="29" s="1"/>
  <c r="AF29" i="29"/>
  <c r="AI29" i="29"/>
  <c r="AJ29" i="29"/>
  <c r="AM29" i="29"/>
  <c r="AN29" i="29"/>
  <c r="AQ29" i="29"/>
  <c r="AR29" i="29"/>
  <c r="AU29" i="29"/>
  <c r="AV29" i="29"/>
  <c r="AY29" i="29"/>
  <c r="D31" i="29"/>
  <c r="D32" i="29" s="1"/>
  <c r="H31" i="29"/>
  <c r="H32" i="29" s="1"/>
  <c r="L31" i="29"/>
  <c r="P31" i="29"/>
  <c r="S31" i="29"/>
  <c r="T31" i="29"/>
  <c r="W31" i="29"/>
  <c r="X31" i="29"/>
  <c r="AA31" i="29"/>
  <c r="AB31" i="29"/>
  <c r="AE31" i="29"/>
  <c r="AF31" i="29"/>
  <c r="AF32" i="29" s="1"/>
  <c r="AI31" i="29"/>
  <c r="AI32" i="29" s="1"/>
  <c r="AJ31" i="29"/>
  <c r="AJ32" i="29" s="1"/>
  <c r="AM31" i="29"/>
  <c r="AM32" i="29" s="1"/>
  <c r="AN31" i="29"/>
  <c r="AN32" i="29" s="1"/>
  <c r="AQ31" i="29"/>
  <c r="AQ32" i="29" s="1"/>
  <c r="AR31" i="29"/>
  <c r="AU31" i="29"/>
  <c r="AV31" i="29"/>
  <c r="AY31" i="29"/>
  <c r="L32" i="29"/>
  <c r="P32" i="29"/>
  <c r="S32" i="29"/>
  <c r="T32" i="29"/>
  <c r="W32" i="29"/>
  <c r="AR32" i="29"/>
  <c r="AU32" i="29"/>
  <c r="AV32" i="29"/>
  <c r="AY32" i="29"/>
  <c r="G4" i="28"/>
  <c r="J20" i="23" s="1"/>
  <c r="K4" i="28"/>
  <c r="O4" i="28"/>
  <c r="O29" i="28" s="1"/>
  <c r="AZ4" i="28"/>
  <c r="BA4" i="28"/>
  <c r="G5" i="28"/>
  <c r="J21" i="23" s="1"/>
  <c r="K5" i="28"/>
  <c r="O5" i="28"/>
  <c r="AZ5" i="28"/>
  <c r="BA5" i="28"/>
  <c r="G6" i="28"/>
  <c r="K6" i="28"/>
  <c r="O6" i="28"/>
  <c r="AZ6" i="28"/>
  <c r="AZ29" i="28" s="1"/>
  <c r="BA6" i="28"/>
  <c r="G7" i="28"/>
  <c r="BC7" i="28" s="1"/>
  <c r="K7" i="28"/>
  <c r="O7" i="28"/>
  <c r="AZ7" i="28"/>
  <c r="BA7" i="28"/>
  <c r="G8" i="28"/>
  <c r="BC8" i="28" s="1"/>
  <c r="K8" i="28"/>
  <c r="O8" i="28"/>
  <c r="AZ8" i="28"/>
  <c r="BA8" i="28"/>
  <c r="G9" i="28"/>
  <c r="K9" i="28"/>
  <c r="O9" i="28"/>
  <c r="AZ9" i="28"/>
  <c r="BA9" i="28"/>
  <c r="G10" i="28"/>
  <c r="K10" i="28"/>
  <c r="K26" i="23" s="1"/>
  <c r="O10" i="28"/>
  <c r="AZ10" i="28"/>
  <c r="BA10" i="28"/>
  <c r="G11" i="28"/>
  <c r="K11" i="28"/>
  <c r="K27" i="23" s="1"/>
  <c r="O11" i="28"/>
  <c r="AZ11" i="28"/>
  <c r="BA11" i="28"/>
  <c r="G12" i="28"/>
  <c r="K12" i="28"/>
  <c r="O12" i="28"/>
  <c r="AZ12" i="28"/>
  <c r="BA12" i="28"/>
  <c r="G13" i="28"/>
  <c r="J29" i="23" s="1"/>
  <c r="K13" i="28"/>
  <c r="O13" i="28"/>
  <c r="AZ13" i="28"/>
  <c r="BA13" i="28"/>
  <c r="G14" i="28"/>
  <c r="K14" i="28"/>
  <c r="O14" i="28"/>
  <c r="AZ14" i="28"/>
  <c r="BA14" i="28"/>
  <c r="G15" i="28"/>
  <c r="K15" i="28"/>
  <c r="K31" i="28" s="1"/>
  <c r="O15" i="28"/>
  <c r="L31" i="23" s="1"/>
  <c r="AZ15" i="28"/>
  <c r="BA15" i="28"/>
  <c r="G16" i="28"/>
  <c r="K16" i="28"/>
  <c r="O16" i="28"/>
  <c r="AZ16" i="28"/>
  <c r="BA16" i="28"/>
  <c r="G17" i="28"/>
  <c r="BC17" i="28" s="1"/>
  <c r="K17" i="28"/>
  <c r="O17" i="28"/>
  <c r="AZ17" i="28"/>
  <c r="BA17" i="28"/>
  <c r="G18" i="28"/>
  <c r="K18" i="28"/>
  <c r="O18" i="28"/>
  <c r="L34" i="23" s="1"/>
  <c r="AZ18" i="28"/>
  <c r="BA18" i="28"/>
  <c r="G19" i="28"/>
  <c r="K19" i="28"/>
  <c r="O19" i="28"/>
  <c r="L35" i="23" s="1"/>
  <c r="AZ19" i="28"/>
  <c r="BA19" i="28"/>
  <c r="G20" i="28"/>
  <c r="K20" i="28"/>
  <c r="O20" i="28"/>
  <c r="AZ20" i="28"/>
  <c r="BA20" i="28"/>
  <c r="G21" i="28"/>
  <c r="K21" i="28"/>
  <c r="O21" i="28"/>
  <c r="AZ21" i="28"/>
  <c r="BA21" i="28"/>
  <c r="G22" i="28"/>
  <c r="K22" i="28"/>
  <c r="O22" i="28"/>
  <c r="AZ22" i="28"/>
  <c r="BA22" i="28"/>
  <c r="G23" i="28"/>
  <c r="BC23" i="28" s="1"/>
  <c r="K23" i="28"/>
  <c r="O23" i="28"/>
  <c r="AZ23" i="28"/>
  <c r="BA23" i="28"/>
  <c r="G24" i="28"/>
  <c r="BC24" i="28" s="1"/>
  <c r="K24" i="28"/>
  <c r="O24" i="28"/>
  <c r="AZ24" i="28"/>
  <c r="BA24" i="28"/>
  <c r="G25" i="28"/>
  <c r="K25" i="28"/>
  <c r="O25" i="28"/>
  <c r="AZ25" i="28"/>
  <c r="BA25" i="28"/>
  <c r="AZ26" i="28"/>
  <c r="BA26" i="28"/>
  <c r="BC26" i="28"/>
  <c r="D27" i="28"/>
  <c r="E27" i="28"/>
  <c r="H27" i="28"/>
  <c r="I27" i="28"/>
  <c r="L27" i="28"/>
  <c r="L16" i="23" s="1"/>
  <c r="M27" i="28"/>
  <c r="P27" i="28"/>
  <c r="Q27" i="28"/>
  <c r="S27" i="28"/>
  <c r="T27" i="28"/>
  <c r="U27" i="28"/>
  <c r="W27" i="28"/>
  <c r="X27" i="28"/>
  <c r="Y27" i="28"/>
  <c r="AA27" i="28"/>
  <c r="AB27" i="28"/>
  <c r="AC27" i="28"/>
  <c r="AE27" i="28"/>
  <c r="AF27" i="28"/>
  <c r="AG27" i="28"/>
  <c r="AI27" i="28"/>
  <c r="AJ27" i="28"/>
  <c r="AK27" i="28"/>
  <c r="AM27" i="28"/>
  <c r="AN27" i="28"/>
  <c r="AO27" i="28"/>
  <c r="AQ27" i="28"/>
  <c r="AR27" i="28"/>
  <c r="AS27" i="28"/>
  <c r="AU27" i="28"/>
  <c r="AV27" i="28"/>
  <c r="AW27" i="28"/>
  <c r="AY27" i="28"/>
  <c r="D29" i="28"/>
  <c r="H29" i="28"/>
  <c r="K29" i="28"/>
  <c r="L29" i="28"/>
  <c r="L32" i="28" s="1"/>
  <c r="P29" i="28"/>
  <c r="P32" i="28" s="1"/>
  <c r="S29" i="28"/>
  <c r="S32" i="28" s="1"/>
  <c r="T29" i="28"/>
  <c r="W29" i="28"/>
  <c r="W32" i="28" s="1"/>
  <c r="X29" i="28"/>
  <c r="AA29" i="28"/>
  <c r="AB29" i="28"/>
  <c r="AB32" i="28" s="1"/>
  <c r="AE29" i="28"/>
  <c r="AF29" i="28"/>
  <c r="AI29" i="28"/>
  <c r="AJ29" i="28"/>
  <c r="AJ32" i="28" s="1"/>
  <c r="AM29" i="28"/>
  <c r="AM32" i="28" s="1"/>
  <c r="AN29" i="28"/>
  <c r="AQ29" i="28"/>
  <c r="AQ32" i="28" s="1"/>
  <c r="AR29" i="28"/>
  <c r="AU29" i="28"/>
  <c r="AV29" i="28"/>
  <c r="AV32" i="28" s="1"/>
  <c r="AY29" i="28"/>
  <c r="AY32" i="28" s="1"/>
  <c r="D31" i="28"/>
  <c r="H31" i="28"/>
  <c r="L31" i="28"/>
  <c r="P31" i="28"/>
  <c r="S31" i="28"/>
  <c r="T31" i="28"/>
  <c r="W31" i="28"/>
  <c r="X31" i="28"/>
  <c r="AA31" i="28"/>
  <c r="AB31" i="28"/>
  <c r="AE31" i="28"/>
  <c r="AF31" i="28"/>
  <c r="AI31" i="28"/>
  <c r="AJ31" i="28"/>
  <c r="AM31" i="28"/>
  <c r="AN31" i="28"/>
  <c r="AN32" i="28" s="1"/>
  <c r="AQ31" i="28"/>
  <c r="AR31" i="28"/>
  <c r="AU31" i="28"/>
  <c r="AV31" i="28"/>
  <c r="AY31" i="28"/>
  <c r="T32" i="28"/>
  <c r="X32" i="28"/>
  <c r="AA32" i="28"/>
  <c r="AE32" i="28"/>
  <c r="AF32" i="28"/>
  <c r="AI32" i="28"/>
  <c r="AR32" i="28"/>
  <c r="AU32" i="28"/>
  <c r="A1" i="27"/>
  <c r="A2" i="27" s="1"/>
  <c r="Q2" i="27"/>
  <c r="R9" i="27" s="1"/>
  <c r="F5" i="27"/>
  <c r="F9" i="27" s="1"/>
  <c r="I5" i="27"/>
  <c r="I13" i="27" s="1"/>
  <c r="S9" i="27"/>
  <c r="R13" i="27"/>
  <c r="S13" i="27"/>
  <c r="R14" i="27"/>
  <c r="S14" i="27"/>
  <c r="I15" i="27"/>
  <c r="R15" i="27"/>
  <c r="S15" i="27"/>
  <c r="I16" i="27"/>
  <c r="R16" i="27"/>
  <c r="S16" i="27"/>
  <c r="I17" i="27"/>
  <c r="R17" i="27"/>
  <c r="S17" i="27"/>
  <c r="I18" i="27"/>
  <c r="R18" i="27"/>
  <c r="S18" i="27"/>
  <c r="I19" i="27"/>
  <c r="R19" i="27"/>
  <c r="S19" i="27"/>
  <c r="I20" i="27"/>
  <c r="R20" i="27"/>
  <c r="S20" i="27"/>
  <c r="I23" i="27"/>
  <c r="R23" i="27"/>
  <c r="S23" i="27"/>
  <c r="I24" i="27"/>
  <c r="R24" i="27"/>
  <c r="S24" i="27"/>
  <c r="F25" i="27"/>
  <c r="I25" i="27"/>
  <c r="R25" i="27"/>
  <c r="S25" i="27"/>
  <c r="I26" i="27"/>
  <c r="R26" i="27"/>
  <c r="S26" i="27"/>
  <c r="I27" i="27"/>
  <c r="R27" i="27"/>
  <c r="S27" i="27"/>
  <c r="F28" i="27"/>
  <c r="I28" i="27"/>
  <c r="R28" i="27"/>
  <c r="S28" i="27"/>
  <c r="I29" i="27"/>
  <c r="F31" i="27"/>
  <c r="F33" i="27" s="1"/>
  <c r="I31" i="27"/>
  <c r="R31" i="27"/>
  <c r="S31" i="27"/>
  <c r="F32" i="27"/>
  <c r="I32" i="27"/>
  <c r="R32" i="27"/>
  <c r="S32" i="27"/>
  <c r="I33" i="27"/>
  <c r="I35" i="27"/>
  <c r="R35" i="27"/>
  <c r="S35" i="27"/>
  <c r="I36" i="27"/>
  <c r="R36" i="27"/>
  <c r="S36" i="27"/>
  <c r="R37" i="27"/>
  <c r="I40" i="27"/>
  <c r="R40" i="27"/>
  <c r="S40" i="27"/>
  <c r="I41" i="27"/>
  <c r="R41" i="27"/>
  <c r="S41" i="27"/>
  <c r="F42" i="27"/>
  <c r="I42" i="27"/>
  <c r="R42" i="27"/>
  <c r="S42" i="27"/>
  <c r="I43" i="27"/>
  <c r="F45" i="27"/>
  <c r="I45" i="27"/>
  <c r="I48" i="27" s="1"/>
  <c r="S45" i="27"/>
  <c r="F47" i="27"/>
  <c r="I47" i="27"/>
  <c r="S47" i="27"/>
  <c r="A1" i="26"/>
  <c r="A2" i="26" s="1"/>
  <c r="Q2" i="26"/>
  <c r="F5" i="26"/>
  <c r="F36" i="26" s="1"/>
  <c r="R14" i="26"/>
  <c r="S16" i="26"/>
  <c r="R17" i="26"/>
  <c r="R23" i="26"/>
  <c r="R26" i="26"/>
  <c r="R32" i="26"/>
  <c r="S35" i="26"/>
  <c r="R36" i="26"/>
  <c r="R40" i="26"/>
  <c r="S42" i="26"/>
  <c r="C1" i="25"/>
  <c r="B2" i="25"/>
  <c r="B1" i="27" s="1"/>
  <c r="A1" i="29" s="1"/>
  <c r="I3" i="25"/>
  <c r="W13" i="25" s="1"/>
  <c r="J13" i="25"/>
  <c r="K13" i="25"/>
  <c r="L13" i="25"/>
  <c r="M13" i="25"/>
  <c r="N13" i="25"/>
  <c r="O13" i="25"/>
  <c r="P13" i="25"/>
  <c r="Q13" i="25"/>
  <c r="R13" i="25"/>
  <c r="S13" i="25"/>
  <c r="T13" i="25"/>
  <c r="U13" i="25"/>
  <c r="U14" i="25" s="1"/>
  <c r="J14" i="25"/>
  <c r="R14" i="25"/>
  <c r="S14" i="25"/>
  <c r="X14" i="25"/>
  <c r="X15" i="25"/>
  <c r="J16" i="25"/>
  <c r="J103" i="25" s="1"/>
  <c r="M16" i="25"/>
  <c r="M103" i="25" s="1"/>
  <c r="N16" i="25"/>
  <c r="N14" i="25" s="1"/>
  <c r="O16" i="25"/>
  <c r="P16" i="25"/>
  <c r="R16" i="25"/>
  <c r="R105" i="25" s="1"/>
  <c r="S16" i="25"/>
  <c r="T16" i="25"/>
  <c r="U16" i="25"/>
  <c r="U103" i="25" s="1"/>
  <c r="X16" i="25"/>
  <c r="J20" i="25"/>
  <c r="K20" i="25"/>
  <c r="L20" i="25"/>
  <c r="M20" i="25"/>
  <c r="N20" i="25"/>
  <c r="O20" i="25"/>
  <c r="P20" i="25"/>
  <c r="Q20" i="25"/>
  <c r="Q44" i="25" s="1"/>
  <c r="R20" i="25"/>
  <c r="R44" i="25" s="1"/>
  <c r="S20" i="25"/>
  <c r="S44" i="25" s="1"/>
  <c r="T20" i="25"/>
  <c r="U20" i="25"/>
  <c r="J21" i="25"/>
  <c r="K21" i="25"/>
  <c r="L21" i="25"/>
  <c r="M21" i="25"/>
  <c r="N21" i="25"/>
  <c r="O21" i="25"/>
  <c r="P21" i="25"/>
  <c r="Q21" i="25"/>
  <c r="R21" i="25"/>
  <c r="S21" i="25"/>
  <c r="T21" i="25"/>
  <c r="U21" i="25"/>
  <c r="K22" i="25"/>
  <c r="L22" i="25"/>
  <c r="L46" i="25" s="1"/>
  <c r="L104" i="25" s="1"/>
  <c r="M22" i="25"/>
  <c r="N22" i="25"/>
  <c r="O22" i="25"/>
  <c r="P22" i="25"/>
  <c r="Q22" i="25"/>
  <c r="R22" i="25"/>
  <c r="S22" i="25"/>
  <c r="T22" i="25"/>
  <c r="U22" i="25"/>
  <c r="J23" i="25"/>
  <c r="K23" i="25"/>
  <c r="L23" i="25"/>
  <c r="M23" i="25"/>
  <c r="N23" i="25"/>
  <c r="O23" i="25"/>
  <c r="O44" i="25" s="1"/>
  <c r="P23" i="25"/>
  <c r="Q23" i="25"/>
  <c r="Q46" i="25" s="1"/>
  <c r="Q104" i="25" s="1"/>
  <c r="R23" i="25"/>
  <c r="S23" i="25"/>
  <c r="T23" i="25"/>
  <c r="U23" i="25"/>
  <c r="J24" i="25"/>
  <c r="M24" i="25"/>
  <c r="N24" i="25"/>
  <c r="O24" i="25"/>
  <c r="P24" i="25"/>
  <c r="Q24" i="25"/>
  <c r="R24" i="25"/>
  <c r="S24" i="25"/>
  <c r="T24" i="25"/>
  <c r="U24" i="25"/>
  <c r="U46" i="25" s="1"/>
  <c r="U104" i="25" s="1"/>
  <c r="K25" i="25"/>
  <c r="L25" i="25"/>
  <c r="M25" i="25"/>
  <c r="N25" i="25"/>
  <c r="O25" i="25"/>
  <c r="P25" i="25"/>
  <c r="Q25" i="25"/>
  <c r="R25" i="25"/>
  <c r="S25" i="25"/>
  <c r="T25" i="25"/>
  <c r="U25" i="25"/>
  <c r="J26" i="25"/>
  <c r="K26" i="25"/>
  <c r="L26" i="25"/>
  <c r="M26" i="25"/>
  <c r="N26" i="25"/>
  <c r="O26" i="25"/>
  <c r="P26" i="25"/>
  <c r="Q26" i="25"/>
  <c r="R26" i="25"/>
  <c r="S26" i="25"/>
  <c r="T26" i="25"/>
  <c r="U26" i="25"/>
  <c r="M27" i="25"/>
  <c r="N27" i="25"/>
  <c r="O27" i="25"/>
  <c r="P27" i="25"/>
  <c r="Q27" i="25"/>
  <c r="R27" i="25"/>
  <c r="S27" i="25"/>
  <c r="T27" i="25"/>
  <c r="U27" i="25"/>
  <c r="J28" i="25"/>
  <c r="K28" i="25"/>
  <c r="L28" i="25"/>
  <c r="M28" i="25"/>
  <c r="N28" i="25"/>
  <c r="O28" i="25"/>
  <c r="H28" i="25" s="1"/>
  <c r="P28" i="25"/>
  <c r="Q28" i="25"/>
  <c r="Q43" i="25" s="1"/>
  <c r="R28" i="25"/>
  <c r="S28" i="25"/>
  <c r="T28" i="25"/>
  <c r="U28" i="25"/>
  <c r="J29" i="25"/>
  <c r="K29" i="25"/>
  <c r="L29" i="25"/>
  <c r="M29" i="25"/>
  <c r="N29" i="25"/>
  <c r="O29" i="25"/>
  <c r="P29" i="25"/>
  <c r="Q29" i="25"/>
  <c r="R29" i="25"/>
  <c r="S29" i="25"/>
  <c r="T29" i="25"/>
  <c r="U29" i="25"/>
  <c r="K30" i="25"/>
  <c r="L30" i="25"/>
  <c r="M30" i="25"/>
  <c r="N30" i="25"/>
  <c r="O30" i="25"/>
  <c r="P30" i="25"/>
  <c r="Q30" i="25"/>
  <c r="R30" i="25"/>
  <c r="S30" i="25"/>
  <c r="T30" i="25"/>
  <c r="U30" i="25"/>
  <c r="J31" i="25"/>
  <c r="K31" i="25"/>
  <c r="L31" i="25"/>
  <c r="M31" i="25"/>
  <c r="N31" i="25"/>
  <c r="H31" i="25" s="1"/>
  <c r="O31" i="25"/>
  <c r="P31" i="25"/>
  <c r="Q31" i="25"/>
  <c r="R31" i="25"/>
  <c r="S31" i="25"/>
  <c r="T31" i="25"/>
  <c r="U31" i="25"/>
  <c r="J32" i="25"/>
  <c r="M32" i="25"/>
  <c r="N32" i="25"/>
  <c r="O32" i="25"/>
  <c r="P32" i="25"/>
  <c r="Q32" i="25"/>
  <c r="R32" i="25"/>
  <c r="S32" i="25"/>
  <c r="T32" i="25"/>
  <c r="U32" i="25"/>
  <c r="K33" i="25"/>
  <c r="L33" i="25"/>
  <c r="M33" i="25"/>
  <c r="N33" i="25"/>
  <c r="O33" i="25"/>
  <c r="P33" i="25"/>
  <c r="Q33" i="25"/>
  <c r="R33" i="25"/>
  <c r="S33" i="25"/>
  <c r="T33" i="25"/>
  <c r="U33" i="25"/>
  <c r="J34" i="25"/>
  <c r="H34" i="25" s="1"/>
  <c r="K34" i="25"/>
  <c r="L34" i="25"/>
  <c r="M34" i="25"/>
  <c r="N34" i="25"/>
  <c r="O34" i="25"/>
  <c r="P34" i="25"/>
  <c r="Q34" i="25"/>
  <c r="R34" i="25"/>
  <c r="S34" i="25"/>
  <c r="T34" i="25"/>
  <c r="U34" i="25"/>
  <c r="M35" i="25"/>
  <c r="N35" i="25"/>
  <c r="O35" i="25"/>
  <c r="P35" i="25"/>
  <c r="Q35" i="25"/>
  <c r="R35" i="25"/>
  <c r="S35" i="25"/>
  <c r="T35" i="25"/>
  <c r="U35" i="25"/>
  <c r="J36" i="25"/>
  <c r="K36" i="25"/>
  <c r="L36" i="25"/>
  <c r="M36" i="25"/>
  <c r="N36" i="25"/>
  <c r="O36" i="25"/>
  <c r="P36" i="25"/>
  <c r="Q36" i="25"/>
  <c r="R36" i="25"/>
  <c r="S36" i="25"/>
  <c r="T36" i="25"/>
  <c r="U36" i="25"/>
  <c r="J37" i="25"/>
  <c r="K37" i="25"/>
  <c r="L37" i="25"/>
  <c r="M37" i="25"/>
  <c r="N37" i="25"/>
  <c r="O37" i="25"/>
  <c r="P37" i="25"/>
  <c r="Q37" i="25"/>
  <c r="R37" i="25"/>
  <c r="S37" i="25"/>
  <c r="T37" i="25"/>
  <c r="U37" i="25"/>
  <c r="J38" i="25"/>
  <c r="K38" i="25"/>
  <c r="L38" i="25"/>
  <c r="M38" i="25"/>
  <c r="N38" i="25"/>
  <c r="O38" i="25"/>
  <c r="P38" i="25"/>
  <c r="Q38" i="25"/>
  <c r="R38" i="25"/>
  <c r="S38" i="25"/>
  <c r="T38" i="25"/>
  <c r="U38" i="25"/>
  <c r="J39" i="25"/>
  <c r="K39" i="25"/>
  <c r="L39" i="25"/>
  <c r="M39" i="25"/>
  <c r="N39" i="25"/>
  <c r="O39" i="25"/>
  <c r="P39" i="25"/>
  <c r="Q39" i="25"/>
  <c r="R39" i="25"/>
  <c r="S39" i="25"/>
  <c r="T39" i="25"/>
  <c r="U39" i="25"/>
  <c r="J40" i="25"/>
  <c r="M40" i="25"/>
  <c r="N40" i="25"/>
  <c r="O40" i="25"/>
  <c r="P40" i="25"/>
  <c r="Q40" i="25"/>
  <c r="R40" i="25"/>
  <c r="S40" i="25"/>
  <c r="T40" i="25"/>
  <c r="U40" i="25"/>
  <c r="K41" i="25"/>
  <c r="L41" i="25"/>
  <c r="M41" i="25"/>
  <c r="N41" i="25"/>
  <c r="O41" i="25"/>
  <c r="P41" i="25"/>
  <c r="Q41" i="25"/>
  <c r="R41" i="25"/>
  <c r="S41" i="25"/>
  <c r="T41" i="25"/>
  <c r="U41" i="25"/>
  <c r="C42" i="25"/>
  <c r="C43" i="25"/>
  <c r="C44" i="25"/>
  <c r="T46" i="25"/>
  <c r="T104" i="25" s="1"/>
  <c r="H51" i="25"/>
  <c r="W51" i="25"/>
  <c r="H56" i="25"/>
  <c r="H78" i="25" s="1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W78" i="25"/>
  <c r="H82" i="25"/>
  <c r="C131" i="25" s="1"/>
  <c r="H83" i="25"/>
  <c r="H84" i="25"/>
  <c r="H85" i="25"/>
  <c r="H86" i="25"/>
  <c r="H87" i="25"/>
  <c r="H88" i="25"/>
  <c r="H89" i="25"/>
  <c r="H90" i="25"/>
  <c r="J91" i="25"/>
  <c r="K91" i="25"/>
  <c r="L91" i="25"/>
  <c r="M91" i="25"/>
  <c r="N91" i="25"/>
  <c r="O91" i="25"/>
  <c r="P91" i="25"/>
  <c r="Q91" i="25"/>
  <c r="R91" i="25"/>
  <c r="S91" i="25"/>
  <c r="T91" i="25"/>
  <c r="U91" i="25"/>
  <c r="H92" i="25"/>
  <c r="H93" i="25"/>
  <c r="J94" i="25"/>
  <c r="H94" i="25" s="1"/>
  <c r="K94" i="25"/>
  <c r="L94" i="25"/>
  <c r="M94" i="25"/>
  <c r="N94" i="25"/>
  <c r="O94" i="25"/>
  <c r="P94" i="25"/>
  <c r="Q94" i="25"/>
  <c r="R94" i="25"/>
  <c r="S94" i="25"/>
  <c r="T94" i="25"/>
  <c r="U94" i="25"/>
  <c r="J95" i="25"/>
  <c r="K95" i="25"/>
  <c r="L95" i="25"/>
  <c r="M95" i="25"/>
  <c r="H95" i="25" s="1"/>
  <c r="C134" i="25" s="1"/>
  <c r="N95" i="25"/>
  <c r="O95" i="25"/>
  <c r="P95" i="25"/>
  <c r="Q95" i="25"/>
  <c r="R95" i="25"/>
  <c r="S95" i="25"/>
  <c r="T95" i="25"/>
  <c r="U95" i="25"/>
  <c r="H96" i="25"/>
  <c r="H97" i="25"/>
  <c r="H98" i="25"/>
  <c r="H99" i="25"/>
  <c r="C136" i="25" s="1"/>
  <c r="H100" i="25"/>
  <c r="H101" i="25"/>
  <c r="H102" i="25"/>
  <c r="N103" i="25"/>
  <c r="S103" i="25"/>
  <c r="T103" i="25"/>
  <c r="J105" i="25"/>
  <c r="N105" i="25"/>
  <c r="O105" i="25"/>
  <c r="S105" i="25"/>
  <c r="T105" i="25"/>
  <c r="U105" i="25"/>
  <c r="G115" i="25"/>
  <c r="G119" i="25"/>
  <c r="G120" i="25"/>
  <c r="C135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J173" i="25"/>
  <c r="K173" i="25"/>
  <c r="L173" i="25"/>
  <c r="M173" i="25"/>
  <c r="N173" i="25"/>
  <c r="O173" i="25"/>
  <c r="P173" i="25"/>
  <c r="Q173" i="25"/>
  <c r="R173" i="25"/>
  <c r="S173" i="25"/>
  <c r="T173" i="25"/>
  <c r="U173" i="25"/>
  <c r="I3" i="24"/>
  <c r="J13" i="24"/>
  <c r="J51" i="24" s="1"/>
  <c r="L13" i="24"/>
  <c r="T13" i="24"/>
  <c r="T51" i="24" s="1"/>
  <c r="U13" i="24"/>
  <c r="W13" i="24"/>
  <c r="J14" i="24"/>
  <c r="K14" i="24"/>
  <c r="L14" i="24"/>
  <c r="M14" i="24"/>
  <c r="N14" i="24"/>
  <c r="O14" i="24"/>
  <c r="P14" i="24"/>
  <c r="Q14" i="24"/>
  <c r="R14" i="24"/>
  <c r="S14" i="24"/>
  <c r="T14" i="24"/>
  <c r="U14" i="24"/>
  <c r="X14" i="24"/>
  <c r="J15" i="24"/>
  <c r="L15" i="24"/>
  <c r="O15" i="24"/>
  <c r="U15" i="24"/>
  <c r="X15" i="24"/>
  <c r="J16" i="24"/>
  <c r="K16" i="24"/>
  <c r="K20" i="24" s="1"/>
  <c r="L16" i="24"/>
  <c r="L67" i="24" s="1"/>
  <c r="M16" i="24"/>
  <c r="M15" i="24" s="1"/>
  <c r="N16" i="24"/>
  <c r="N71" i="24" s="1"/>
  <c r="O16" i="24"/>
  <c r="P16" i="24"/>
  <c r="P15" i="24" s="1"/>
  <c r="Q16" i="24"/>
  <c r="Q56" i="24" s="1"/>
  <c r="R16" i="24"/>
  <c r="R67" i="24" s="1"/>
  <c r="S16" i="24"/>
  <c r="S15" i="24" s="1"/>
  <c r="T16" i="24"/>
  <c r="T57" i="24" s="1"/>
  <c r="U16" i="24"/>
  <c r="X16" i="24"/>
  <c r="J20" i="24"/>
  <c r="L20" i="24"/>
  <c r="M20" i="24"/>
  <c r="M44" i="24" s="1"/>
  <c r="O20" i="24"/>
  <c r="P20" i="24"/>
  <c r="S20" i="24"/>
  <c r="U20" i="24"/>
  <c r="X20" i="24"/>
  <c r="J21" i="24"/>
  <c r="L21" i="24"/>
  <c r="M21" i="24"/>
  <c r="O21" i="24"/>
  <c r="P21" i="24"/>
  <c r="S21" i="24"/>
  <c r="U21" i="24"/>
  <c r="X21" i="24"/>
  <c r="J22" i="24"/>
  <c r="L22" i="24"/>
  <c r="M22" i="24"/>
  <c r="O22" i="24"/>
  <c r="P22" i="24"/>
  <c r="Q22" i="24"/>
  <c r="S22" i="24"/>
  <c r="U22" i="24"/>
  <c r="X22" i="24"/>
  <c r="J23" i="24"/>
  <c r="L23" i="24"/>
  <c r="M23" i="24"/>
  <c r="O23" i="24"/>
  <c r="P23" i="24"/>
  <c r="Q23" i="24"/>
  <c r="S23" i="24"/>
  <c r="U23" i="24"/>
  <c r="U44" i="24" s="1"/>
  <c r="X23" i="24"/>
  <c r="J24" i="24"/>
  <c r="L24" i="24"/>
  <c r="M24" i="24"/>
  <c r="O24" i="24"/>
  <c r="P24" i="24"/>
  <c r="Q24" i="24"/>
  <c r="S24" i="24"/>
  <c r="U24" i="24"/>
  <c r="X24" i="24"/>
  <c r="J25" i="24"/>
  <c r="L25" i="24"/>
  <c r="M25" i="24"/>
  <c r="O25" i="24"/>
  <c r="P25" i="24"/>
  <c r="Q25" i="24"/>
  <c r="S25" i="24"/>
  <c r="S44" i="24" s="1"/>
  <c r="U25" i="24"/>
  <c r="U46" i="24" s="1"/>
  <c r="U104" i="24" s="1"/>
  <c r="X25" i="24"/>
  <c r="J26" i="24"/>
  <c r="L26" i="24"/>
  <c r="M26" i="24"/>
  <c r="O26" i="24"/>
  <c r="P26" i="24"/>
  <c r="Q26" i="24"/>
  <c r="S26" i="24"/>
  <c r="U26" i="24"/>
  <c r="X26" i="24"/>
  <c r="J27" i="24"/>
  <c r="L27" i="24"/>
  <c r="M27" i="24"/>
  <c r="O27" i="24"/>
  <c r="O44" i="24" s="1"/>
  <c r="P27" i="24"/>
  <c r="P46" i="24" s="1"/>
  <c r="P104" i="24" s="1"/>
  <c r="Q27" i="24"/>
  <c r="S27" i="24"/>
  <c r="U27" i="24"/>
  <c r="X27" i="24"/>
  <c r="J28" i="24"/>
  <c r="L28" i="24"/>
  <c r="M28" i="24"/>
  <c r="O28" i="24"/>
  <c r="P28" i="24"/>
  <c r="Q28" i="24"/>
  <c r="S28" i="24"/>
  <c r="U28" i="24"/>
  <c r="X28" i="24"/>
  <c r="J29" i="24"/>
  <c r="L29" i="24"/>
  <c r="M29" i="24"/>
  <c r="M43" i="24" s="1"/>
  <c r="O29" i="24"/>
  <c r="O43" i="24" s="1"/>
  <c r="P29" i="24"/>
  <c r="Q29" i="24"/>
  <c r="R29" i="24"/>
  <c r="S29" i="24"/>
  <c r="U29" i="24"/>
  <c r="X29" i="24"/>
  <c r="J30" i="24"/>
  <c r="L30" i="24"/>
  <c r="M30" i="24"/>
  <c r="N30" i="24"/>
  <c r="O30" i="24"/>
  <c r="P30" i="24"/>
  <c r="Q30" i="24"/>
  <c r="R30" i="24"/>
  <c r="S30" i="24"/>
  <c r="S46" i="24" s="1"/>
  <c r="S104" i="24" s="1"/>
  <c r="U30" i="24"/>
  <c r="U43" i="24" s="1"/>
  <c r="X30" i="24"/>
  <c r="J31" i="24"/>
  <c r="L31" i="24"/>
  <c r="M31" i="24"/>
  <c r="N31" i="24"/>
  <c r="O31" i="24"/>
  <c r="P31" i="24"/>
  <c r="Q31" i="24"/>
  <c r="R31" i="24"/>
  <c r="S31" i="24"/>
  <c r="U31" i="24"/>
  <c r="X31" i="24"/>
  <c r="J32" i="24"/>
  <c r="L32" i="24"/>
  <c r="M32" i="24"/>
  <c r="N32" i="24"/>
  <c r="O32" i="24"/>
  <c r="P32" i="24"/>
  <c r="Q32" i="24"/>
  <c r="R32" i="24"/>
  <c r="S32" i="24"/>
  <c r="U32" i="24"/>
  <c r="X32" i="24"/>
  <c r="J33" i="24"/>
  <c r="L33" i="24"/>
  <c r="M33" i="24"/>
  <c r="N33" i="24"/>
  <c r="O33" i="24"/>
  <c r="P33" i="24"/>
  <c r="Q33" i="24"/>
  <c r="Q43" i="24" s="1"/>
  <c r="R33" i="24"/>
  <c r="S33" i="24"/>
  <c r="U33" i="24"/>
  <c r="X33" i="24"/>
  <c r="J34" i="24"/>
  <c r="L34" i="24"/>
  <c r="M34" i="24"/>
  <c r="N34" i="24"/>
  <c r="O34" i="24"/>
  <c r="P34" i="24"/>
  <c r="Q34" i="24"/>
  <c r="R34" i="24"/>
  <c r="S34" i="24"/>
  <c r="U34" i="24"/>
  <c r="X34" i="24"/>
  <c r="J35" i="24"/>
  <c r="L35" i="24"/>
  <c r="M35" i="24"/>
  <c r="N35" i="24"/>
  <c r="O35" i="24"/>
  <c r="P35" i="24"/>
  <c r="Q35" i="24"/>
  <c r="R35" i="24"/>
  <c r="S35" i="24"/>
  <c r="U35" i="24"/>
  <c r="X35" i="24"/>
  <c r="J36" i="24"/>
  <c r="L36" i="24"/>
  <c r="M36" i="24"/>
  <c r="N36" i="24"/>
  <c r="O36" i="24"/>
  <c r="P36" i="24"/>
  <c r="P43" i="24" s="1"/>
  <c r="Q36" i="24"/>
  <c r="R36" i="24"/>
  <c r="S36" i="24"/>
  <c r="U36" i="24"/>
  <c r="X36" i="24"/>
  <c r="J37" i="24"/>
  <c r="L37" i="24"/>
  <c r="M37" i="24"/>
  <c r="N37" i="24"/>
  <c r="O37" i="24"/>
  <c r="P37" i="24"/>
  <c r="Q37" i="24"/>
  <c r="R37" i="24"/>
  <c r="S37" i="24"/>
  <c r="U37" i="24"/>
  <c r="X37" i="24"/>
  <c r="J38" i="24"/>
  <c r="L38" i="24"/>
  <c r="M38" i="24"/>
  <c r="N38" i="24"/>
  <c r="O38" i="24"/>
  <c r="P38" i="24"/>
  <c r="Q38" i="24"/>
  <c r="R38" i="24"/>
  <c r="S38" i="24"/>
  <c r="U38" i="24"/>
  <c r="X38" i="24"/>
  <c r="J39" i="24"/>
  <c r="L39" i="24"/>
  <c r="M39" i="24"/>
  <c r="N39" i="24"/>
  <c r="O39" i="24"/>
  <c r="P39" i="24"/>
  <c r="Q39" i="24"/>
  <c r="R39" i="24"/>
  <c r="S39" i="24"/>
  <c r="U39" i="24"/>
  <c r="X39" i="24"/>
  <c r="J40" i="24"/>
  <c r="L40" i="24"/>
  <c r="M40" i="24"/>
  <c r="N40" i="24"/>
  <c r="O40" i="24"/>
  <c r="P40" i="24"/>
  <c r="Q40" i="24"/>
  <c r="R40" i="24"/>
  <c r="S40" i="24"/>
  <c r="U40" i="24"/>
  <c r="X40" i="24"/>
  <c r="J41" i="24"/>
  <c r="K41" i="24"/>
  <c r="H41" i="24" s="1"/>
  <c r="L41" i="24"/>
  <c r="M41" i="24"/>
  <c r="N41" i="24"/>
  <c r="O41" i="24"/>
  <c r="P41" i="24"/>
  <c r="Q41" i="24"/>
  <c r="R41" i="24"/>
  <c r="S41" i="24"/>
  <c r="T41" i="24"/>
  <c r="U41" i="24"/>
  <c r="X41" i="24"/>
  <c r="C42" i="24"/>
  <c r="C43" i="24"/>
  <c r="J43" i="24"/>
  <c r="L43" i="24"/>
  <c r="C44" i="24"/>
  <c r="L51" i="24"/>
  <c r="U51" i="24"/>
  <c r="J56" i="24"/>
  <c r="L56" i="24"/>
  <c r="M56" i="24"/>
  <c r="N56" i="24"/>
  <c r="P56" i="24"/>
  <c r="R56" i="24"/>
  <c r="S56" i="24"/>
  <c r="T56" i="24"/>
  <c r="U56" i="24"/>
  <c r="J57" i="24"/>
  <c r="L57" i="24"/>
  <c r="P57" i="24"/>
  <c r="Q57" i="24"/>
  <c r="S57" i="24"/>
  <c r="U57" i="24"/>
  <c r="J58" i="24"/>
  <c r="K58" i="24"/>
  <c r="L58" i="24"/>
  <c r="M58" i="24"/>
  <c r="N58" i="24"/>
  <c r="O58" i="24"/>
  <c r="P58" i="24"/>
  <c r="Q58" i="24"/>
  <c r="R58" i="24"/>
  <c r="S58" i="24"/>
  <c r="T58" i="24"/>
  <c r="U58" i="24"/>
  <c r="J59" i="24"/>
  <c r="L59" i="24"/>
  <c r="M59" i="24"/>
  <c r="N59" i="24"/>
  <c r="O59" i="24"/>
  <c r="P59" i="24"/>
  <c r="Q59" i="24"/>
  <c r="R59" i="24"/>
  <c r="U59" i="24"/>
  <c r="J60" i="24"/>
  <c r="K60" i="24"/>
  <c r="L60" i="24"/>
  <c r="M60" i="24"/>
  <c r="N60" i="24"/>
  <c r="O60" i="24"/>
  <c r="P60" i="24"/>
  <c r="Q60" i="24"/>
  <c r="R60" i="24"/>
  <c r="S60" i="24"/>
  <c r="T60" i="24"/>
  <c r="U60" i="24"/>
  <c r="J61" i="24"/>
  <c r="K61" i="24"/>
  <c r="L61" i="24"/>
  <c r="M61" i="24"/>
  <c r="N61" i="24"/>
  <c r="O61" i="24"/>
  <c r="P61" i="24"/>
  <c r="Q61" i="24"/>
  <c r="R61" i="24"/>
  <c r="S61" i="24"/>
  <c r="T61" i="24"/>
  <c r="U61" i="24"/>
  <c r="J62" i="24"/>
  <c r="K62" i="24"/>
  <c r="L62" i="24"/>
  <c r="M62" i="24"/>
  <c r="N62" i="24"/>
  <c r="O62" i="24"/>
  <c r="P62" i="24"/>
  <c r="Q62" i="24"/>
  <c r="R62" i="24"/>
  <c r="S62" i="24"/>
  <c r="T62" i="24"/>
  <c r="U62" i="24"/>
  <c r="J63" i="24"/>
  <c r="K63" i="24"/>
  <c r="L63" i="24"/>
  <c r="M63" i="24"/>
  <c r="N63" i="24"/>
  <c r="O63" i="24"/>
  <c r="P63" i="24"/>
  <c r="Q63" i="24"/>
  <c r="R63" i="24"/>
  <c r="S63" i="24"/>
  <c r="T63" i="24"/>
  <c r="U63" i="24"/>
  <c r="J64" i="24"/>
  <c r="K64" i="24"/>
  <c r="L64" i="24"/>
  <c r="M64" i="24"/>
  <c r="N64" i="24"/>
  <c r="O64" i="24"/>
  <c r="P64" i="24"/>
  <c r="Q64" i="24"/>
  <c r="R64" i="24"/>
  <c r="S64" i="24"/>
  <c r="T64" i="24"/>
  <c r="U64" i="24"/>
  <c r="J65" i="24"/>
  <c r="K65" i="24"/>
  <c r="L65" i="24"/>
  <c r="M65" i="24"/>
  <c r="N65" i="24"/>
  <c r="O65" i="24"/>
  <c r="P65" i="24"/>
  <c r="Q65" i="24"/>
  <c r="R65" i="24"/>
  <c r="S65" i="24"/>
  <c r="T65" i="24"/>
  <c r="U65" i="24"/>
  <c r="J66" i="24"/>
  <c r="L66" i="24"/>
  <c r="N66" i="24"/>
  <c r="P66" i="24"/>
  <c r="Q66" i="24"/>
  <c r="R66" i="24"/>
  <c r="S66" i="24"/>
  <c r="T66" i="24"/>
  <c r="U66" i="24"/>
  <c r="J67" i="24"/>
  <c r="N67" i="24"/>
  <c r="O67" i="24"/>
  <c r="Q67" i="24"/>
  <c r="S67" i="24"/>
  <c r="T67" i="24"/>
  <c r="U67" i="24"/>
  <c r="J68" i="24"/>
  <c r="L68" i="24"/>
  <c r="M68" i="24"/>
  <c r="Q68" i="24"/>
  <c r="R68" i="24"/>
  <c r="T68" i="24"/>
  <c r="U68" i="24"/>
  <c r="J69" i="24"/>
  <c r="L69" i="24"/>
  <c r="M69" i="24"/>
  <c r="N69" i="24"/>
  <c r="O69" i="24"/>
  <c r="P69" i="24"/>
  <c r="T69" i="24"/>
  <c r="U69" i="24"/>
  <c r="J70" i="24"/>
  <c r="L70" i="24"/>
  <c r="M70" i="24"/>
  <c r="N70" i="24"/>
  <c r="O70" i="24"/>
  <c r="P70" i="24"/>
  <c r="Q70" i="24"/>
  <c r="R70" i="24"/>
  <c r="S70" i="24"/>
  <c r="U70" i="24"/>
  <c r="J71" i="24"/>
  <c r="M71" i="24"/>
  <c r="O71" i="24"/>
  <c r="P71" i="24"/>
  <c r="Q71" i="24"/>
  <c r="R71" i="24"/>
  <c r="S71" i="24"/>
  <c r="T71" i="24"/>
  <c r="U71" i="24"/>
  <c r="J72" i="24"/>
  <c r="K72" i="24"/>
  <c r="L72" i="24"/>
  <c r="M72" i="24"/>
  <c r="N72" i="24"/>
  <c r="O72" i="24"/>
  <c r="P72" i="24"/>
  <c r="Q72" i="24"/>
  <c r="R72" i="24"/>
  <c r="S72" i="24"/>
  <c r="T72" i="24"/>
  <c r="U72" i="24"/>
  <c r="J73" i="24"/>
  <c r="K73" i="24"/>
  <c r="L73" i="24"/>
  <c r="M73" i="24"/>
  <c r="N73" i="24"/>
  <c r="O73" i="24"/>
  <c r="P73" i="24"/>
  <c r="Q73" i="24"/>
  <c r="R73" i="24"/>
  <c r="S73" i="24"/>
  <c r="T73" i="24"/>
  <c r="U73" i="24"/>
  <c r="J74" i="24"/>
  <c r="K74" i="24"/>
  <c r="L74" i="24"/>
  <c r="M74" i="24"/>
  <c r="N74" i="24"/>
  <c r="O74" i="24"/>
  <c r="P74" i="24"/>
  <c r="Q74" i="24"/>
  <c r="R74" i="24"/>
  <c r="S74" i="24"/>
  <c r="T74" i="24"/>
  <c r="U74" i="24"/>
  <c r="H75" i="24"/>
  <c r="J75" i="24"/>
  <c r="K75" i="24"/>
  <c r="L75" i="24"/>
  <c r="M75" i="24"/>
  <c r="N75" i="24"/>
  <c r="O75" i="24"/>
  <c r="P75" i="24"/>
  <c r="Q75" i="24"/>
  <c r="R75" i="24"/>
  <c r="S75" i="24"/>
  <c r="T75" i="24"/>
  <c r="U75" i="24"/>
  <c r="J76" i="24"/>
  <c r="H76" i="24" s="1"/>
  <c r="K76" i="24"/>
  <c r="L76" i="24"/>
  <c r="M76" i="24"/>
  <c r="N76" i="24"/>
  <c r="O76" i="24"/>
  <c r="P76" i="24"/>
  <c r="Q76" i="24"/>
  <c r="R76" i="24"/>
  <c r="S76" i="24"/>
  <c r="T76" i="24"/>
  <c r="U76" i="24"/>
  <c r="J77" i="24"/>
  <c r="H77" i="24" s="1"/>
  <c r="K77" i="24"/>
  <c r="L77" i="24"/>
  <c r="M77" i="24"/>
  <c r="N77" i="24"/>
  <c r="O77" i="24"/>
  <c r="P77" i="24"/>
  <c r="Q77" i="24"/>
  <c r="R77" i="24"/>
  <c r="S77" i="24"/>
  <c r="T77" i="24"/>
  <c r="U77" i="24"/>
  <c r="H82" i="24"/>
  <c r="H83" i="24"/>
  <c r="H84" i="24"/>
  <c r="H85" i="24"/>
  <c r="H86" i="24"/>
  <c r="H87" i="24"/>
  <c r="H88" i="24"/>
  <c r="H89" i="24"/>
  <c r="H90" i="24"/>
  <c r="J91" i="24"/>
  <c r="K91" i="24"/>
  <c r="L91" i="24"/>
  <c r="M91" i="24"/>
  <c r="N91" i="24"/>
  <c r="O91" i="24"/>
  <c r="P91" i="24"/>
  <c r="Q91" i="24"/>
  <c r="R91" i="24"/>
  <c r="S91" i="24"/>
  <c r="T91" i="24"/>
  <c r="U91" i="24"/>
  <c r="J92" i="24"/>
  <c r="H92" i="24" s="1"/>
  <c r="K92" i="24"/>
  <c r="L92" i="24"/>
  <c r="M92" i="24"/>
  <c r="N92" i="24"/>
  <c r="O92" i="24"/>
  <c r="P92" i="24"/>
  <c r="Q92" i="24"/>
  <c r="R92" i="24"/>
  <c r="S92" i="24"/>
  <c r="T92" i="24"/>
  <c r="U92" i="24"/>
  <c r="J93" i="24"/>
  <c r="K93" i="24"/>
  <c r="L93" i="24"/>
  <c r="M93" i="24"/>
  <c r="N93" i="24"/>
  <c r="O93" i="24"/>
  <c r="P93" i="24"/>
  <c r="Q93" i="24"/>
  <c r="R93" i="24"/>
  <c r="S93" i="24"/>
  <c r="T93" i="24"/>
  <c r="U93" i="24"/>
  <c r="J94" i="24"/>
  <c r="K94" i="24"/>
  <c r="L94" i="24"/>
  <c r="M94" i="24"/>
  <c r="N94" i="24"/>
  <c r="O94" i="24"/>
  <c r="P94" i="24"/>
  <c r="Q94" i="24"/>
  <c r="R94" i="24"/>
  <c r="S94" i="24"/>
  <c r="T94" i="24"/>
  <c r="U94" i="24"/>
  <c r="J95" i="24"/>
  <c r="K95" i="24"/>
  <c r="L95" i="24"/>
  <c r="H95" i="24" s="1"/>
  <c r="M95" i="24"/>
  <c r="N95" i="24"/>
  <c r="O95" i="24"/>
  <c r="P95" i="24"/>
  <c r="Q95" i="24"/>
  <c r="R95" i="24"/>
  <c r="S95" i="24"/>
  <c r="T95" i="24"/>
  <c r="U95" i="24"/>
  <c r="H96" i="24"/>
  <c r="H97" i="24"/>
  <c r="H98" i="24"/>
  <c r="C135" i="24" s="1"/>
  <c r="H99" i="24"/>
  <c r="H100" i="24"/>
  <c r="H101" i="24"/>
  <c r="H102" i="24"/>
  <c r="J103" i="24"/>
  <c r="N103" i="24"/>
  <c r="O103" i="24"/>
  <c r="Q103" i="24"/>
  <c r="S103" i="24"/>
  <c r="T103" i="24"/>
  <c r="U103" i="24"/>
  <c r="J105" i="24"/>
  <c r="L105" i="24"/>
  <c r="M105" i="24"/>
  <c r="N105" i="24"/>
  <c r="O105" i="24"/>
  <c r="P105" i="24"/>
  <c r="T105" i="24"/>
  <c r="U105" i="24"/>
  <c r="G114" i="24"/>
  <c r="H114" i="24"/>
  <c r="H115" i="24"/>
  <c r="G115" i="24" s="1"/>
  <c r="H116" i="24"/>
  <c r="G116" i="24" s="1"/>
  <c r="H117" i="24"/>
  <c r="G117" i="24" s="1"/>
  <c r="H118" i="24"/>
  <c r="G118" i="24" s="1"/>
  <c r="G119" i="24"/>
  <c r="H119" i="24"/>
  <c r="H120" i="24"/>
  <c r="G120" i="24" s="1"/>
  <c r="G121" i="24"/>
  <c r="H121" i="24"/>
  <c r="G122" i="24"/>
  <c r="H122" i="24"/>
  <c r="C1" i="23"/>
  <c r="B2" i="23"/>
  <c r="B1" i="26" s="1"/>
  <c r="A1" i="28" s="1"/>
  <c r="I3" i="23"/>
  <c r="W13" i="23" s="1"/>
  <c r="J13" i="23"/>
  <c r="K13" i="23"/>
  <c r="L13" i="23"/>
  <c r="M13" i="23"/>
  <c r="N13" i="23"/>
  <c r="O13" i="23"/>
  <c r="O14" i="23" s="1"/>
  <c r="P13" i="23"/>
  <c r="Q13" i="23"/>
  <c r="R13" i="23"/>
  <c r="S13" i="23"/>
  <c r="T13" i="23"/>
  <c r="T14" i="23" s="1"/>
  <c r="U13" i="23"/>
  <c r="X14" i="23"/>
  <c r="X15" i="23"/>
  <c r="K16" i="23"/>
  <c r="K105" i="23" s="1"/>
  <c r="M16" i="23"/>
  <c r="N16" i="23"/>
  <c r="O16" i="23"/>
  <c r="P16" i="23"/>
  <c r="Q16" i="23"/>
  <c r="R16" i="23"/>
  <c r="R103" i="23" s="1"/>
  <c r="S16" i="23"/>
  <c r="S14" i="23" s="1"/>
  <c r="T16" i="23"/>
  <c r="T105" i="23" s="1"/>
  <c r="U16" i="23"/>
  <c r="U14" i="23" s="1"/>
  <c r="X16" i="23"/>
  <c r="K20" i="23"/>
  <c r="L20" i="23"/>
  <c r="M20" i="23"/>
  <c r="N20" i="23"/>
  <c r="N44" i="23" s="1"/>
  <c r="O20" i="23"/>
  <c r="P20" i="23"/>
  <c r="Q20" i="23"/>
  <c r="Q44" i="23" s="1"/>
  <c r="R20" i="23"/>
  <c r="S20" i="23"/>
  <c r="T20" i="23"/>
  <c r="U20" i="23"/>
  <c r="K21" i="23"/>
  <c r="L21" i="23"/>
  <c r="M21" i="23"/>
  <c r="N21" i="23"/>
  <c r="O21" i="23"/>
  <c r="P21" i="23"/>
  <c r="Q21" i="23"/>
  <c r="R21" i="23"/>
  <c r="S21" i="23"/>
  <c r="T21" i="23"/>
  <c r="T44" i="23" s="1"/>
  <c r="U21" i="23"/>
  <c r="J22" i="23"/>
  <c r="K22" i="23"/>
  <c r="M22" i="23"/>
  <c r="N22" i="23"/>
  <c r="O22" i="23"/>
  <c r="P22" i="23"/>
  <c r="Q22" i="23"/>
  <c r="R22" i="23"/>
  <c r="S22" i="23"/>
  <c r="S46" i="23" s="1"/>
  <c r="T22" i="23"/>
  <c r="U22" i="23"/>
  <c r="J23" i="23"/>
  <c r="K23" i="23"/>
  <c r="L23" i="23"/>
  <c r="M23" i="23"/>
  <c r="N23" i="23"/>
  <c r="O23" i="23"/>
  <c r="P23" i="23"/>
  <c r="Q23" i="23"/>
  <c r="R23" i="23"/>
  <c r="S23" i="23"/>
  <c r="T23" i="23"/>
  <c r="U23" i="23"/>
  <c r="K24" i="23"/>
  <c r="L24" i="23"/>
  <c r="M24" i="23"/>
  <c r="N24" i="23"/>
  <c r="O24" i="23"/>
  <c r="P24" i="23"/>
  <c r="Q24" i="23"/>
  <c r="R24" i="23"/>
  <c r="S24" i="23"/>
  <c r="T24" i="23"/>
  <c r="U24" i="23"/>
  <c r="K25" i="23"/>
  <c r="L25" i="23"/>
  <c r="M25" i="23"/>
  <c r="N25" i="23"/>
  <c r="O25" i="23"/>
  <c r="P25" i="23"/>
  <c r="Q25" i="23"/>
  <c r="R25" i="23"/>
  <c r="S25" i="23"/>
  <c r="T25" i="23"/>
  <c r="U25" i="23"/>
  <c r="L26" i="23"/>
  <c r="M26" i="23"/>
  <c r="N26" i="23"/>
  <c r="O26" i="23"/>
  <c r="P26" i="23"/>
  <c r="Q26" i="23"/>
  <c r="R26" i="23"/>
  <c r="S26" i="23"/>
  <c r="T26" i="23"/>
  <c r="U26" i="23"/>
  <c r="J27" i="23"/>
  <c r="L27" i="23"/>
  <c r="M27" i="23"/>
  <c r="N27" i="23"/>
  <c r="O27" i="23"/>
  <c r="P27" i="23"/>
  <c r="Q27" i="23"/>
  <c r="R27" i="23"/>
  <c r="S27" i="23"/>
  <c r="T27" i="23"/>
  <c r="U27" i="23"/>
  <c r="J28" i="23"/>
  <c r="K28" i="23"/>
  <c r="L28" i="23"/>
  <c r="M28" i="23"/>
  <c r="N28" i="23"/>
  <c r="O28" i="23"/>
  <c r="P28" i="23"/>
  <c r="Q28" i="23"/>
  <c r="R28" i="23"/>
  <c r="S28" i="23"/>
  <c r="T28" i="23"/>
  <c r="U28" i="23"/>
  <c r="K29" i="23"/>
  <c r="L29" i="23"/>
  <c r="M29" i="23"/>
  <c r="N29" i="23"/>
  <c r="O29" i="23"/>
  <c r="P29" i="23"/>
  <c r="Q29" i="23"/>
  <c r="R29" i="23"/>
  <c r="S29" i="23"/>
  <c r="T29" i="23"/>
  <c r="U29" i="23"/>
  <c r="J30" i="23"/>
  <c r="K30" i="23"/>
  <c r="M30" i="23"/>
  <c r="N30" i="23"/>
  <c r="O30" i="23"/>
  <c r="P30" i="23"/>
  <c r="Q30" i="23"/>
  <c r="R30" i="23"/>
  <c r="S30" i="23"/>
  <c r="T30" i="23"/>
  <c r="U30" i="23"/>
  <c r="J31" i="23"/>
  <c r="K31" i="23"/>
  <c r="M31" i="23"/>
  <c r="N31" i="23"/>
  <c r="O31" i="23"/>
  <c r="P31" i="23"/>
  <c r="Q31" i="23"/>
  <c r="R31" i="23"/>
  <c r="S31" i="23"/>
  <c r="T31" i="23"/>
  <c r="U31" i="23"/>
  <c r="J32" i="23"/>
  <c r="K32" i="23"/>
  <c r="L32" i="23"/>
  <c r="M32" i="23"/>
  <c r="N32" i="23"/>
  <c r="O32" i="23"/>
  <c r="P32" i="23"/>
  <c r="Q32" i="23"/>
  <c r="R32" i="23"/>
  <c r="S32" i="23"/>
  <c r="T32" i="23"/>
  <c r="U32" i="23"/>
  <c r="K33" i="23"/>
  <c r="L33" i="23"/>
  <c r="M33" i="23"/>
  <c r="N33" i="23"/>
  <c r="O33" i="23"/>
  <c r="P33" i="23"/>
  <c r="Q33" i="23"/>
  <c r="R33" i="23"/>
  <c r="S33" i="23"/>
  <c r="T33" i="23"/>
  <c r="U33" i="23"/>
  <c r="J34" i="23"/>
  <c r="K34" i="23"/>
  <c r="M34" i="23"/>
  <c r="N34" i="23"/>
  <c r="O34" i="23"/>
  <c r="P34" i="23"/>
  <c r="Q34" i="23"/>
  <c r="R34" i="23"/>
  <c r="S34" i="23"/>
  <c r="T34" i="23"/>
  <c r="U34" i="23"/>
  <c r="J35" i="23"/>
  <c r="K35" i="23"/>
  <c r="M35" i="23"/>
  <c r="N35" i="23"/>
  <c r="O35" i="23"/>
  <c r="P35" i="23"/>
  <c r="Q35" i="23"/>
  <c r="R35" i="23"/>
  <c r="S35" i="23"/>
  <c r="T35" i="23"/>
  <c r="U35" i="23"/>
  <c r="J36" i="23"/>
  <c r="K36" i="23"/>
  <c r="L36" i="23"/>
  <c r="M36" i="23"/>
  <c r="N36" i="23"/>
  <c r="O36" i="23"/>
  <c r="P36" i="23"/>
  <c r="Q36" i="23"/>
  <c r="R36" i="23"/>
  <c r="S36" i="23"/>
  <c r="T36" i="23"/>
  <c r="U36" i="23"/>
  <c r="J37" i="23"/>
  <c r="K37" i="23"/>
  <c r="L37" i="23"/>
  <c r="M37" i="23"/>
  <c r="N37" i="23"/>
  <c r="O37" i="23"/>
  <c r="P37" i="23"/>
  <c r="Q37" i="23"/>
  <c r="R37" i="23"/>
  <c r="S37" i="23"/>
  <c r="T37" i="23"/>
  <c r="U37" i="23"/>
  <c r="J38" i="23"/>
  <c r="K38" i="23"/>
  <c r="M38" i="23"/>
  <c r="N38" i="23"/>
  <c r="O38" i="23"/>
  <c r="P38" i="23"/>
  <c r="Q38" i="23"/>
  <c r="R38" i="23"/>
  <c r="S38" i="23"/>
  <c r="T38" i="23"/>
  <c r="U38" i="23"/>
  <c r="J39" i="23"/>
  <c r="K39" i="23"/>
  <c r="L39" i="23"/>
  <c r="M39" i="23"/>
  <c r="N39" i="23"/>
  <c r="O39" i="23"/>
  <c r="P39" i="23"/>
  <c r="Q39" i="23"/>
  <c r="R39" i="23"/>
  <c r="S39" i="23"/>
  <c r="T39" i="23"/>
  <c r="U39" i="23"/>
  <c r="J40" i="23"/>
  <c r="K40" i="23"/>
  <c r="L40" i="23"/>
  <c r="M40" i="23"/>
  <c r="N40" i="23"/>
  <c r="O40" i="23"/>
  <c r="P40" i="23"/>
  <c r="Q40" i="23"/>
  <c r="R40" i="23"/>
  <c r="S40" i="23"/>
  <c r="T40" i="23"/>
  <c r="U40" i="23"/>
  <c r="K41" i="23"/>
  <c r="L41" i="23"/>
  <c r="M41" i="23"/>
  <c r="N41" i="23"/>
  <c r="O41" i="23"/>
  <c r="P41" i="23"/>
  <c r="Q41" i="23"/>
  <c r="R41" i="23"/>
  <c r="S41" i="23"/>
  <c r="T41" i="23"/>
  <c r="U41" i="23"/>
  <c r="C42" i="23"/>
  <c r="C43" i="23"/>
  <c r="C44" i="23"/>
  <c r="N46" i="23"/>
  <c r="N104" i="23" s="1"/>
  <c r="H51" i="23"/>
  <c r="W51" i="23"/>
  <c r="H56" i="23"/>
  <c r="H58" i="23"/>
  <c r="H78" i="23" s="1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W78" i="23"/>
  <c r="H82" i="23"/>
  <c r="H83" i="23"/>
  <c r="H84" i="23"/>
  <c r="H85" i="23"/>
  <c r="H86" i="23"/>
  <c r="H87" i="23"/>
  <c r="H88" i="23"/>
  <c r="H89" i="23"/>
  <c r="H90" i="23"/>
  <c r="J91" i="23"/>
  <c r="K91" i="23"/>
  <c r="L91" i="23"/>
  <c r="M91" i="23"/>
  <c r="N91" i="23"/>
  <c r="O91" i="23"/>
  <c r="P91" i="23"/>
  <c r="Q91" i="23"/>
  <c r="R91" i="23"/>
  <c r="S91" i="23"/>
  <c r="T91" i="23"/>
  <c r="U91" i="23"/>
  <c r="H92" i="23"/>
  <c r="H93" i="23"/>
  <c r="J94" i="23"/>
  <c r="K94" i="23"/>
  <c r="L94" i="23"/>
  <c r="M94" i="23"/>
  <c r="N94" i="23"/>
  <c r="O94" i="23"/>
  <c r="P94" i="23"/>
  <c r="Q94" i="23"/>
  <c r="R94" i="23"/>
  <c r="H94" i="23" s="1"/>
  <c r="S94" i="23"/>
  <c r="T94" i="23"/>
  <c r="U94" i="23"/>
  <c r="J95" i="23"/>
  <c r="K95" i="23"/>
  <c r="L95" i="23"/>
  <c r="M95" i="23"/>
  <c r="N95" i="23"/>
  <c r="O95" i="23"/>
  <c r="P95" i="23"/>
  <c r="Q95" i="23"/>
  <c r="R95" i="23"/>
  <c r="S95" i="23"/>
  <c r="T95" i="23"/>
  <c r="U95" i="23"/>
  <c r="H96" i="23"/>
  <c r="H97" i="23"/>
  <c r="C135" i="23" s="1"/>
  <c r="H98" i="23"/>
  <c r="H99" i="23"/>
  <c r="C136" i="23" s="1"/>
  <c r="H100" i="23"/>
  <c r="H101" i="23"/>
  <c r="H102" i="23"/>
  <c r="K103" i="23"/>
  <c r="P103" i="23"/>
  <c r="Q103" i="23"/>
  <c r="S103" i="23"/>
  <c r="T103" i="23"/>
  <c r="U103" i="23"/>
  <c r="M105" i="23"/>
  <c r="P105" i="23"/>
  <c r="Q105" i="23"/>
  <c r="S105" i="23"/>
  <c r="G115" i="23"/>
  <c r="G119" i="23"/>
  <c r="G120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J173" i="23"/>
  <c r="K173" i="23"/>
  <c r="L173" i="23"/>
  <c r="M173" i="23"/>
  <c r="N173" i="23"/>
  <c r="O173" i="23"/>
  <c r="P173" i="23"/>
  <c r="Q173" i="23"/>
  <c r="R173" i="23"/>
  <c r="S173" i="23"/>
  <c r="T173" i="23"/>
  <c r="U173" i="23"/>
  <c r="I3" i="22"/>
  <c r="W13" i="22" s="1"/>
  <c r="U13" i="22"/>
  <c r="J14" i="22"/>
  <c r="K14" i="22"/>
  <c r="L14" i="22"/>
  <c r="M14" i="22"/>
  <c r="N14" i="22"/>
  <c r="O14" i="22"/>
  <c r="P14" i="22"/>
  <c r="Q14" i="22"/>
  <c r="R14" i="22"/>
  <c r="S14" i="22"/>
  <c r="T14" i="22"/>
  <c r="U14" i="22"/>
  <c r="X14" i="22"/>
  <c r="K15" i="22"/>
  <c r="U15" i="22"/>
  <c r="X15" i="22"/>
  <c r="J16" i="22"/>
  <c r="J13" i="22" s="1"/>
  <c r="J51" i="22" s="1"/>
  <c r="K16" i="22"/>
  <c r="K13" i="22" s="1"/>
  <c r="K51" i="22" s="1"/>
  <c r="L16" i="22"/>
  <c r="L15" i="22" s="1"/>
  <c r="M16" i="22"/>
  <c r="M20" i="22" s="1"/>
  <c r="N16" i="22"/>
  <c r="N13" i="22" s="1"/>
  <c r="N51" i="22" s="1"/>
  <c r="O16" i="22"/>
  <c r="O15" i="22" s="1"/>
  <c r="P16" i="22"/>
  <c r="P20" i="22" s="1"/>
  <c r="Q16" i="22"/>
  <c r="Q15" i="22" s="1"/>
  <c r="R16" i="22"/>
  <c r="R15" i="22" s="1"/>
  <c r="S16" i="22"/>
  <c r="S15" i="22" s="1"/>
  <c r="T16" i="22"/>
  <c r="T15" i="22" s="1"/>
  <c r="U16" i="22"/>
  <c r="X16" i="22"/>
  <c r="J20" i="22"/>
  <c r="K20" i="22"/>
  <c r="L20" i="22"/>
  <c r="R20" i="22"/>
  <c r="S20" i="22"/>
  <c r="T20" i="22"/>
  <c r="U20" i="22"/>
  <c r="X20" i="22"/>
  <c r="J21" i="22"/>
  <c r="K21" i="22"/>
  <c r="L21" i="22"/>
  <c r="S21" i="22"/>
  <c r="T21" i="22"/>
  <c r="U21" i="22"/>
  <c r="X21" i="22"/>
  <c r="J22" i="22"/>
  <c r="K22" i="22"/>
  <c r="L22" i="22"/>
  <c r="N22" i="22"/>
  <c r="Q22" i="22"/>
  <c r="S22" i="22"/>
  <c r="T22" i="22"/>
  <c r="U22" i="22"/>
  <c r="X22" i="22"/>
  <c r="J23" i="22"/>
  <c r="K23" i="22"/>
  <c r="L23" i="22"/>
  <c r="Q23" i="22"/>
  <c r="R23" i="22"/>
  <c r="S23" i="22"/>
  <c r="T23" i="22"/>
  <c r="U23" i="22"/>
  <c r="X23" i="22"/>
  <c r="J24" i="22"/>
  <c r="K24" i="22"/>
  <c r="L24" i="22"/>
  <c r="Q24" i="22"/>
  <c r="S24" i="22"/>
  <c r="T24" i="22"/>
  <c r="U24" i="22"/>
  <c r="X24" i="22"/>
  <c r="J25" i="22"/>
  <c r="K25" i="22"/>
  <c r="L25" i="22"/>
  <c r="Q25" i="22"/>
  <c r="S25" i="22"/>
  <c r="T25" i="22"/>
  <c r="U25" i="22"/>
  <c r="X25" i="22"/>
  <c r="J26" i="22"/>
  <c r="K26" i="22"/>
  <c r="L26" i="22"/>
  <c r="Q26" i="22"/>
  <c r="R26" i="22"/>
  <c r="S26" i="22"/>
  <c r="S44" i="22" s="1"/>
  <c r="T26" i="22"/>
  <c r="U26" i="22"/>
  <c r="X26" i="22"/>
  <c r="J27" i="22"/>
  <c r="K27" i="22"/>
  <c r="L27" i="22"/>
  <c r="Q27" i="22"/>
  <c r="S27" i="22"/>
  <c r="T27" i="22"/>
  <c r="U27" i="22"/>
  <c r="X27" i="22"/>
  <c r="J28" i="22"/>
  <c r="K28" i="22"/>
  <c r="L28" i="22"/>
  <c r="Q28" i="22"/>
  <c r="S28" i="22"/>
  <c r="T28" i="22"/>
  <c r="U28" i="22"/>
  <c r="X28" i="22"/>
  <c r="J29" i="22"/>
  <c r="K29" i="22"/>
  <c r="L29" i="22"/>
  <c r="Q29" i="22"/>
  <c r="R29" i="22"/>
  <c r="S29" i="22"/>
  <c r="T29" i="22"/>
  <c r="U29" i="22"/>
  <c r="X29" i="22"/>
  <c r="J30" i="22"/>
  <c r="K30" i="22"/>
  <c r="L30" i="22"/>
  <c r="Q30" i="22"/>
  <c r="S30" i="22"/>
  <c r="T30" i="22"/>
  <c r="U30" i="22"/>
  <c r="X30" i="22"/>
  <c r="J31" i="22"/>
  <c r="K31" i="22"/>
  <c r="L31" i="22"/>
  <c r="Q31" i="22"/>
  <c r="S31" i="22"/>
  <c r="T31" i="22"/>
  <c r="U31" i="22"/>
  <c r="X31" i="22"/>
  <c r="J32" i="22"/>
  <c r="K32" i="22"/>
  <c r="L32" i="22"/>
  <c r="N32" i="22"/>
  <c r="O32" i="22"/>
  <c r="Q32" i="22"/>
  <c r="S32" i="22"/>
  <c r="T32" i="22"/>
  <c r="U32" i="22"/>
  <c r="X32" i="22"/>
  <c r="J33" i="22"/>
  <c r="K33" i="22"/>
  <c r="L33" i="22"/>
  <c r="Q33" i="22"/>
  <c r="S33" i="22"/>
  <c r="T33" i="22"/>
  <c r="U33" i="22"/>
  <c r="X33" i="22"/>
  <c r="J34" i="22"/>
  <c r="K34" i="22"/>
  <c r="L34" i="22"/>
  <c r="Q34" i="22"/>
  <c r="S34" i="22"/>
  <c r="T34" i="22"/>
  <c r="U34" i="22"/>
  <c r="X34" i="22"/>
  <c r="J35" i="22"/>
  <c r="K35" i="22"/>
  <c r="L35" i="22"/>
  <c r="N35" i="22"/>
  <c r="O35" i="22"/>
  <c r="Q35" i="22"/>
  <c r="R35" i="22"/>
  <c r="S35" i="22"/>
  <c r="T35" i="22"/>
  <c r="U35" i="22"/>
  <c r="X35" i="22"/>
  <c r="J36" i="22"/>
  <c r="K36" i="22"/>
  <c r="L36" i="22"/>
  <c r="Q36" i="22"/>
  <c r="R36" i="22"/>
  <c r="S36" i="22"/>
  <c r="T36" i="22"/>
  <c r="U36" i="22"/>
  <c r="X36" i="22"/>
  <c r="J37" i="22"/>
  <c r="K37" i="22"/>
  <c r="L37" i="22"/>
  <c r="Q37" i="22"/>
  <c r="S37" i="22"/>
  <c r="T37" i="22"/>
  <c r="U37" i="22"/>
  <c r="X37" i="22"/>
  <c r="J38" i="22"/>
  <c r="K38" i="22"/>
  <c r="L38" i="22"/>
  <c r="N38" i="22"/>
  <c r="Q38" i="22"/>
  <c r="S38" i="22"/>
  <c r="T38" i="22"/>
  <c r="U38" i="22"/>
  <c r="X38" i="22"/>
  <c r="J39" i="22"/>
  <c r="K39" i="22"/>
  <c r="L39" i="22"/>
  <c r="Q39" i="22"/>
  <c r="R39" i="22"/>
  <c r="S39" i="22"/>
  <c r="T39" i="22"/>
  <c r="U39" i="22"/>
  <c r="X39" i="22"/>
  <c r="J40" i="22"/>
  <c r="K40" i="22"/>
  <c r="L40" i="22"/>
  <c r="Q40" i="22"/>
  <c r="S40" i="22"/>
  <c r="T40" i="22"/>
  <c r="U40" i="22"/>
  <c r="X40" i="22"/>
  <c r="J41" i="22"/>
  <c r="K41" i="22"/>
  <c r="L41" i="22"/>
  <c r="Q41" i="22"/>
  <c r="S41" i="22"/>
  <c r="T41" i="22"/>
  <c r="U41" i="22"/>
  <c r="X41" i="22"/>
  <c r="C42" i="22"/>
  <c r="C43" i="22"/>
  <c r="C44" i="22"/>
  <c r="U51" i="22"/>
  <c r="J56" i="22"/>
  <c r="K56" i="22"/>
  <c r="L56" i="22"/>
  <c r="Q56" i="22"/>
  <c r="R56" i="22"/>
  <c r="S56" i="22"/>
  <c r="T56" i="22"/>
  <c r="U56" i="22"/>
  <c r="J57" i="22"/>
  <c r="K57" i="22"/>
  <c r="L57" i="22"/>
  <c r="M57" i="22"/>
  <c r="N57" i="22"/>
  <c r="Q57" i="22"/>
  <c r="R57" i="22"/>
  <c r="S57" i="22"/>
  <c r="T57" i="22"/>
  <c r="U57" i="22"/>
  <c r="J58" i="22"/>
  <c r="K58" i="22"/>
  <c r="L58" i="22"/>
  <c r="M58" i="22"/>
  <c r="N58" i="22"/>
  <c r="O58" i="22"/>
  <c r="P58" i="22"/>
  <c r="Q58" i="22"/>
  <c r="R58" i="22"/>
  <c r="S58" i="22"/>
  <c r="T58" i="22"/>
  <c r="U58" i="22"/>
  <c r="J59" i="22"/>
  <c r="K59" i="22"/>
  <c r="L59" i="22"/>
  <c r="Q59" i="22"/>
  <c r="R59" i="22"/>
  <c r="S59" i="22"/>
  <c r="T59" i="22"/>
  <c r="U59" i="22"/>
  <c r="J60" i="22"/>
  <c r="K60" i="22"/>
  <c r="L60" i="22"/>
  <c r="M60" i="22"/>
  <c r="N60" i="22"/>
  <c r="O60" i="22"/>
  <c r="P60" i="22"/>
  <c r="Q60" i="22"/>
  <c r="R60" i="22"/>
  <c r="S60" i="22"/>
  <c r="T60" i="22"/>
  <c r="U60" i="22"/>
  <c r="J61" i="22"/>
  <c r="K61" i="22"/>
  <c r="L61" i="22"/>
  <c r="M61" i="22"/>
  <c r="N61" i="22"/>
  <c r="O61" i="22"/>
  <c r="P61" i="22"/>
  <c r="Q61" i="22"/>
  <c r="R61" i="22"/>
  <c r="S61" i="22"/>
  <c r="T61" i="22"/>
  <c r="U61" i="22"/>
  <c r="J62" i="22"/>
  <c r="K62" i="22"/>
  <c r="L62" i="22"/>
  <c r="M62" i="22"/>
  <c r="N62" i="22"/>
  <c r="O62" i="22"/>
  <c r="P62" i="22"/>
  <c r="Q62" i="22"/>
  <c r="R62" i="22"/>
  <c r="S62" i="22"/>
  <c r="T62" i="22"/>
  <c r="U62" i="22"/>
  <c r="J63" i="22"/>
  <c r="K63" i="22"/>
  <c r="L63" i="22"/>
  <c r="M63" i="22"/>
  <c r="N63" i="22"/>
  <c r="O63" i="22"/>
  <c r="P63" i="22"/>
  <c r="Q63" i="22"/>
  <c r="R63" i="22"/>
  <c r="S63" i="22"/>
  <c r="T63" i="22"/>
  <c r="U63" i="22"/>
  <c r="J64" i="22"/>
  <c r="K64" i="22"/>
  <c r="L64" i="22"/>
  <c r="M64" i="22"/>
  <c r="N64" i="22"/>
  <c r="O64" i="22"/>
  <c r="P64" i="22"/>
  <c r="Q64" i="22"/>
  <c r="R64" i="22"/>
  <c r="S64" i="22"/>
  <c r="T64" i="22"/>
  <c r="U64" i="22"/>
  <c r="J65" i="22"/>
  <c r="K65" i="22"/>
  <c r="L65" i="22"/>
  <c r="M65" i="22"/>
  <c r="N65" i="22"/>
  <c r="O65" i="22"/>
  <c r="P65" i="22"/>
  <c r="Q65" i="22"/>
  <c r="R65" i="22"/>
  <c r="S65" i="22"/>
  <c r="T65" i="22"/>
  <c r="U65" i="22"/>
  <c r="J66" i="22"/>
  <c r="K66" i="22"/>
  <c r="L66" i="22"/>
  <c r="Q66" i="22"/>
  <c r="R66" i="22"/>
  <c r="S66" i="22"/>
  <c r="T66" i="22"/>
  <c r="U66" i="22"/>
  <c r="J67" i="22"/>
  <c r="K67" i="22"/>
  <c r="L67" i="22"/>
  <c r="M67" i="22"/>
  <c r="Q67" i="22"/>
  <c r="R67" i="22"/>
  <c r="S67" i="22"/>
  <c r="T67" i="22"/>
  <c r="U67" i="22"/>
  <c r="J68" i="22"/>
  <c r="K68" i="22"/>
  <c r="L68" i="22"/>
  <c r="Q68" i="22"/>
  <c r="R68" i="22"/>
  <c r="S68" i="22"/>
  <c r="T68" i="22"/>
  <c r="U68" i="22"/>
  <c r="J69" i="22"/>
  <c r="K69" i="22"/>
  <c r="L69" i="22"/>
  <c r="M69" i="22"/>
  <c r="Q69" i="22"/>
  <c r="R69" i="22"/>
  <c r="S69" i="22"/>
  <c r="T69" i="22"/>
  <c r="U69" i="22"/>
  <c r="J70" i="22"/>
  <c r="K70" i="22"/>
  <c r="L70" i="22"/>
  <c r="M70" i="22"/>
  <c r="Q70" i="22"/>
  <c r="R70" i="22"/>
  <c r="S70" i="22"/>
  <c r="T70" i="22"/>
  <c r="U70" i="22"/>
  <c r="J71" i="22"/>
  <c r="K71" i="22"/>
  <c r="L71" i="22"/>
  <c r="M71" i="22"/>
  <c r="Q71" i="22"/>
  <c r="R71" i="22"/>
  <c r="S71" i="22"/>
  <c r="T71" i="22"/>
  <c r="U71" i="22"/>
  <c r="J72" i="22"/>
  <c r="K72" i="22"/>
  <c r="L72" i="22"/>
  <c r="M72" i="22"/>
  <c r="N72" i="22"/>
  <c r="O72" i="22"/>
  <c r="P72" i="22"/>
  <c r="Q72" i="22"/>
  <c r="R72" i="22"/>
  <c r="S72" i="22"/>
  <c r="T72" i="22"/>
  <c r="U72" i="22"/>
  <c r="J73" i="22"/>
  <c r="K73" i="22"/>
  <c r="L73" i="22"/>
  <c r="M73" i="22"/>
  <c r="N73" i="22"/>
  <c r="O73" i="22"/>
  <c r="P73" i="22"/>
  <c r="Q73" i="22"/>
  <c r="R73" i="22"/>
  <c r="S73" i="22"/>
  <c r="T73" i="22"/>
  <c r="U73" i="22"/>
  <c r="J74" i="22"/>
  <c r="K74" i="22"/>
  <c r="L74" i="22"/>
  <c r="M74" i="22"/>
  <c r="N74" i="22"/>
  <c r="O74" i="22"/>
  <c r="P74" i="22"/>
  <c r="Q74" i="22"/>
  <c r="R74" i="22"/>
  <c r="S74" i="22"/>
  <c r="T74" i="22"/>
  <c r="U74" i="22"/>
  <c r="J75" i="22"/>
  <c r="K75" i="22"/>
  <c r="L75" i="22"/>
  <c r="M75" i="22"/>
  <c r="N75" i="22"/>
  <c r="O75" i="22"/>
  <c r="P75" i="22"/>
  <c r="Q75" i="22"/>
  <c r="R75" i="22"/>
  <c r="S75" i="22"/>
  <c r="T75" i="22"/>
  <c r="U75" i="22"/>
  <c r="J76" i="22"/>
  <c r="K76" i="22"/>
  <c r="L76" i="22"/>
  <c r="M76" i="22"/>
  <c r="N76" i="22"/>
  <c r="O76" i="22"/>
  <c r="P76" i="22"/>
  <c r="Q76" i="22"/>
  <c r="R76" i="22"/>
  <c r="S76" i="22"/>
  <c r="T76" i="22"/>
  <c r="U76" i="22"/>
  <c r="J77" i="22"/>
  <c r="K77" i="22"/>
  <c r="L77" i="22"/>
  <c r="M77" i="22"/>
  <c r="N77" i="22"/>
  <c r="O77" i="22"/>
  <c r="P77" i="22"/>
  <c r="Q77" i="22"/>
  <c r="R77" i="22"/>
  <c r="S77" i="22"/>
  <c r="T77" i="22"/>
  <c r="U77" i="22"/>
  <c r="H82" i="22"/>
  <c r="H83" i="22"/>
  <c r="H84" i="22"/>
  <c r="H85" i="22"/>
  <c r="H86" i="22"/>
  <c r="H87" i="22"/>
  <c r="H88" i="22"/>
  <c r="H89" i="22"/>
  <c r="H90" i="22"/>
  <c r="J91" i="22"/>
  <c r="K91" i="22"/>
  <c r="L91" i="22"/>
  <c r="M91" i="22"/>
  <c r="N91" i="22"/>
  <c r="O91" i="22"/>
  <c r="P91" i="22"/>
  <c r="Q91" i="22"/>
  <c r="R91" i="22"/>
  <c r="S91" i="22"/>
  <c r="T91" i="22"/>
  <c r="U91" i="22"/>
  <c r="J92" i="22"/>
  <c r="S25" i="26" s="1"/>
  <c r="K92" i="22"/>
  <c r="L92" i="22"/>
  <c r="M92" i="22"/>
  <c r="N92" i="22"/>
  <c r="O92" i="22"/>
  <c r="P92" i="22"/>
  <c r="Q92" i="22"/>
  <c r="R92" i="22"/>
  <c r="S92" i="22"/>
  <c r="T92" i="22"/>
  <c r="U92" i="22"/>
  <c r="J93" i="22"/>
  <c r="K93" i="22"/>
  <c r="L93" i="22"/>
  <c r="M93" i="22"/>
  <c r="N93" i="22"/>
  <c r="O93" i="22"/>
  <c r="P93" i="22"/>
  <c r="Q93" i="22"/>
  <c r="R93" i="22"/>
  <c r="S93" i="22"/>
  <c r="T93" i="22"/>
  <c r="U93" i="22"/>
  <c r="J94" i="22"/>
  <c r="K94" i="22"/>
  <c r="L94" i="22"/>
  <c r="M94" i="22"/>
  <c r="N94" i="22"/>
  <c r="O94" i="22"/>
  <c r="P94" i="22"/>
  <c r="Q94" i="22"/>
  <c r="R94" i="22"/>
  <c r="S94" i="22"/>
  <c r="T94" i="22"/>
  <c r="U94" i="22"/>
  <c r="J95" i="22"/>
  <c r="K95" i="22"/>
  <c r="L95" i="22"/>
  <c r="M95" i="22"/>
  <c r="N95" i="22"/>
  <c r="O95" i="22"/>
  <c r="P95" i="22"/>
  <c r="Q95" i="22"/>
  <c r="R95" i="22"/>
  <c r="S95" i="22"/>
  <c r="T95" i="22"/>
  <c r="U95" i="22"/>
  <c r="H96" i="22"/>
  <c r="C134" i="22" s="1"/>
  <c r="H97" i="22"/>
  <c r="H98" i="22"/>
  <c r="C135" i="22" s="1"/>
  <c r="H99" i="22"/>
  <c r="H100" i="22"/>
  <c r="H101" i="22"/>
  <c r="H102" i="22"/>
  <c r="J103" i="22"/>
  <c r="K103" i="22"/>
  <c r="L103" i="22"/>
  <c r="M103" i="22"/>
  <c r="Q103" i="22"/>
  <c r="R103" i="22"/>
  <c r="S103" i="22"/>
  <c r="T103" i="22"/>
  <c r="U103" i="22"/>
  <c r="J105" i="22"/>
  <c r="F47" i="26" s="1"/>
  <c r="K105" i="22"/>
  <c r="L105" i="22"/>
  <c r="M105" i="22"/>
  <c r="Q105" i="22"/>
  <c r="R105" i="22"/>
  <c r="S105" i="22"/>
  <c r="T105" i="22"/>
  <c r="U105" i="22"/>
  <c r="H114" i="22"/>
  <c r="G114" i="22" s="1"/>
  <c r="H115" i="22"/>
  <c r="G115" i="22" s="1"/>
  <c r="H116" i="22"/>
  <c r="G116" i="22" s="1"/>
  <c r="H117" i="22"/>
  <c r="G117" i="22" s="1"/>
  <c r="H118" i="22"/>
  <c r="G118" i="22" s="1"/>
  <c r="H119" i="22"/>
  <c r="G119" i="22" s="1"/>
  <c r="H120" i="22"/>
  <c r="G120" i="22" s="1"/>
  <c r="H121" i="22"/>
  <c r="G121" i="22" s="1"/>
  <c r="H122" i="22"/>
  <c r="G122" i="22" s="1"/>
  <c r="C136" i="22"/>
  <c r="G107" i="19"/>
  <c r="G51" i="19"/>
  <c r="G46" i="19"/>
  <c r="F13" i="27" l="1"/>
  <c r="F21" i="27" s="1"/>
  <c r="F24" i="27"/>
  <c r="F35" i="27"/>
  <c r="F37" i="27" s="1"/>
  <c r="F23" i="27"/>
  <c r="F29" i="27" s="1"/>
  <c r="F27" i="27"/>
  <c r="F16" i="27"/>
  <c r="F41" i="27"/>
  <c r="F20" i="27"/>
  <c r="F40" i="27"/>
  <c r="F43" i="27" s="1"/>
  <c r="F19" i="27"/>
  <c r="H65" i="24"/>
  <c r="H73" i="24"/>
  <c r="H61" i="24"/>
  <c r="H63" i="24"/>
  <c r="H72" i="24"/>
  <c r="U78" i="24"/>
  <c r="H74" i="24"/>
  <c r="H64" i="24"/>
  <c r="J78" i="24"/>
  <c r="H58" i="24"/>
  <c r="H62" i="24"/>
  <c r="C134" i="24"/>
  <c r="H93" i="24"/>
  <c r="H94" i="24"/>
  <c r="S33" i="27"/>
  <c r="S37" i="27"/>
  <c r="M46" i="24"/>
  <c r="M104" i="24" s="1"/>
  <c r="S43" i="27"/>
  <c r="U107" i="24"/>
  <c r="P44" i="24"/>
  <c r="J46" i="24"/>
  <c r="O46" i="24"/>
  <c r="S21" i="27"/>
  <c r="S43" i="24"/>
  <c r="L44" i="24"/>
  <c r="S29" i="27"/>
  <c r="H94" i="22"/>
  <c r="H95" i="22"/>
  <c r="H91" i="22"/>
  <c r="R78" i="22"/>
  <c r="H64" i="22"/>
  <c r="H60" i="22"/>
  <c r="H65" i="22"/>
  <c r="O29" i="22"/>
  <c r="H61" i="22"/>
  <c r="L43" i="22"/>
  <c r="T43" i="22"/>
  <c r="N29" i="22"/>
  <c r="U44" i="22"/>
  <c r="O26" i="22"/>
  <c r="P103" i="22"/>
  <c r="M66" i="22"/>
  <c r="O39" i="22"/>
  <c r="R33" i="22"/>
  <c r="K43" i="22"/>
  <c r="S43" i="22"/>
  <c r="N26" i="22"/>
  <c r="U46" i="22"/>
  <c r="U104" i="22" s="1"/>
  <c r="O23" i="22"/>
  <c r="Q20" i="22"/>
  <c r="O70" i="22"/>
  <c r="O103" i="22"/>
  <c r="P71" i="22"/>
  <c r="P67" i="22"/>
  <c r="N39" i="22"/>
  <c r="O36" i="22"/>
  <c r="R30" i="22"/>
  <c r="N23" i="22"/>
  <c r="O20" i="22"/>
  <c r="O44" i="22" s="1"/>
  <c r="F20" i="26"/>
  <c r="N103" i="22"/>
  <c r="O71" i="22"/>
  <c r="O67" i="22"/>
  <c r="H62" i="22"/>
  <c r="P59" i="22"/>
  <c r="N36" i="22"/>
  <c r="O33" i="22"/>
  <c r="R27" i="22"/>
  <c r="N20" i="22"/>
  <c r="F17" i="26"/>
  <c r="H74" i="22"/>
  <c r="N71" i="22"/>
  <c r="N67" i="22"/>
  <c r="H67" i="22" s="1"/>
  <c r="O59" i="22"/>
  <c r="R40" i="22"/>
  <c r="N33" i="22"/>
  <c r="O30" i="22"/>
  <c r="R24" i="22"/>
  <c r="P66" i="22"/>
  <c r="T46" i="22"/>
  <c r="T104" i="22" s="1"/>
  <c r="H77" i="22"/>
  <c r="P105" i="22"/>
  <c r="N59" i="22"/>
  <c r="H58" i="22"/>
  <c r="R37" i="22"/>
  <c r="N30" i="22"/>
  <c r="O27" i="22"/>
  <c r="R21" i="22"/>
  <c r="R44" i="22" s="1"/>
  <c r="U78" i="22"/>
  <c r="O105" i="22"/>
  <c r="P68" i="22"/>
  <c r="M59" i="22"/>
  <c r="R41" i="22"/>
  <c r="O40" i="22"/>
  <c r="R34" i="22"/>
  <c r="N27" i="22"/>
  <c r="O24" i="22"/>
  <c r="Q21" i="22"/>
  <c r="N15" i="22"/>
  <c r="F26" i="26"/>
  <c r="F15" i="26"/>
  <c r="P70" i="22"/>
  <c r="K46" i="22"/>
  <c r="N105" i="22"/>
  <c r="H105" i="22" s="1"/>
  <c r="C137" i="22" s="1"/>
  <c r="H103" i="22"/>
  <c r="O68" i="22"/>
  <c r="O56" i="22"/>
  <c r="N40" i="22"/>
  <c r="O37" i="22"/>
  <c r="R31" i="22"/>
  <c r="N24" i="22"/>
  <c r="O21" i="22"/>
  <c r="F41" i="26"/>
  <c r="U43" i="22"/>
  <c r="N66" i="22"/>
  <c r="H75" i="22"/>
  <c r="H71" i="22"/>
  <c r="N68" i="22"/>
  <c r="K78" i="22"/>
  <c r="N56" i="22"/>
  <c r="P41" i="22"/>
  <c r="N37" i="22"/>
  <c r="O34" i="22"/>
  <c r="R28" i="22"/>
  <c r="N21" i="22"/>
  <c r="J15" i="22"/>
  <c r="R13" i="22"/>
  <c r="R51" i="22" s="1"/>
  <c r="M68" i="22"/>
  <c r="H63" i="22"/>
  <c r="M56" i="22"/>
  <c r="O41" i="22"/>
  <c r="N34" i="22"/>
  <c r="O31" i="22"/>
  <c r="R25" i="22"/>
  <c r="Q13" i="22"/>
  <c r="Q51" i="22" s="1"/>
  <c r="S46" i="22"/>
  <c r="S104" i="22" s="1"/>
  <c r="S107" i="22" s="1"/>
  <c r="P69" i="22"/>
  <c r="H69" i="22" s="1"/>
  <c r="Q78" i="22"/>
  <c r="L78" i="22"/>
  <c r="N41" i="22"/>
  <c r="R38" i="22"/>
  <c r="N31" i="22"/>
  <c r="O28" i="22"/>
  <c r="O43" i="22" s="1"/>
  <c r="R22" i="22"/>
  <c r="P13" i="22"/>
  <c r="P51" i="22" s="1"/>
  <c r="F24" i="26"/>
  <c r="Q43" i="22"/>
  <c r="N70" i="22"/>
  <c r="H70" i="22" s="1"/>
  <c r="O69" i="22"/>
  <c r="T78" i="22"/>
  <c r="P57" i="22"/>
  <c r="M41" i="22"/>
  <c r="H41" i="22" s="1"/>
  <c r="N28" i="22"/>
  <c r="O25" i="22"/>
  <c r="J46" i="22"/>
  <c r="J104" i="22" s="1"/>
  <c r="I46" i="26" s="1"/>
  <c r="O66" i="22"/>
  <c r="H73" i="22"/>
  <c r="H76" i="22"/>
  <c r="H72" i="22"/>
  <c r="N69" i="22"/>
  <c r="S78" i="22"/>
  <c r="O57" i="22"/>
  <c r="H57" i="22" s="1"/>
  <c r="O38" i="22"/>
  <c r="R32" i="22"/>
  <c r="N25" i="22"/>
  <c r="O22" i="22"/>
  <c r="I5" i="26"/>
  <c r="I15" i="26" s="1"/>
  <c r="J43" i="22"/>
  <c r="F7" i="26"/>
  <c r="T44" i="22"/>
  <c r="U107" i="22"/>
  <c r="Q44" i="22"/>
  <c r="K44" i="22"/>
  <c r="L46" i="22"/>
  <c r="L104" i="22" s="1"/>
  <c r="L107" i="22" s="1"/>
  <c r="J107" i="22"/>
  <c r="J44" i="22"/>
  <c r="H20" i="22"/>
  <c r="F20" i="22" s="1"/>
  <c r="T107" i="22"/>
  <c r="L44" i="22"/>
  <c r="I7" i="26"/>
  <c r="M43" i="23"/>
  <c r="H40" i="23"/>
  <c r="H28" i="23"/>
  <c r="O27" i="28"/>
  <c r="BC19" i="28"/>
  <c r="H34" i="23"/>
  <c r="BC25" i="28"/>
  <c r="BC9" i="28"/>
  <c r="BA28" i="28"/>
  <c r="K32" i="28"/>
  <c r="BC12" i="28"/>
  <c r="BC15" i="28"/>
  <c r="BC18" i="28"/>
  <c r="K44" i="23"/>
  <c r="AZ31" i="28"/>
  <c r="AZ32" i="28" s="1"/>
  <c r="BC11" i="28"/>
  <c r="AZ28" i="28"/>
  <c r="K27" i="28"/>
  <c r="BC20" i="28"/>
  <c r="BC10" i="28"/>
  <c r="BC22" i="28"/>
  <c r="BC16" i="28"/>
  <c r="H32" i="28"/>
  <c r="D32" i="28"/>
  <c r="BC14" i="28"/>
  <c r="BC4" i="28"/>
  <c r="J26" i="23"/>
  <c r="BA27" i="28"/>
  <c r="AZ27" i="28"/>
  <c r="J16" i="23"/>
  <c r="BC13" i="28"/>
  <c r="J24" i="23"/>
  <c r="H24" i="23" s="1"/>
  <c r="BC21" i="28"/>
  <c r="BC5" i="28"/>
  <c r="M14" i="23"/>
  <c r="H95" i="23"/>
  <c r="C134" i="23" s="1"/>
  <c r="H91" i="23"/>
  <c r="C133" i="23" s="1"/>
  <c r="F17" i="27"/>
  <c r="F26" i="27"/>
  <c r="F15" i="27"/>
  <c r="F36" i="27"/>
  <c r="F14" i="27"/>
  <c r="F18" i="27"/>
  <c r="Q14" i="25"/>
  <c r="Q103" i="25"/>
  <c r="Q105" i="25"/>
  <c r="K105" i="25"/>
  <c r="K103" i="25"/>
  <c r="BC29" i="29"/>
  <c r="K46" i="25"/>
  <c r="K104" i="25" s="1"/>
  <c r="BC31" i="29"/>
  <c r="O103" i="25"/>
  <c r="O107" i="25" s="1"/>
  <c r="O109" i="25" s="1"/>
  <c r="O111" i="25" s="1"/>
  <c r="K107" i="25"/>
  <c r="K109" i="25" s="1"/>
  <c r="K111" i="25" s="1"/>
  <c r="N43" i="25"/>
  <c r="T43" i="25"/>
  <c r="K31" i="29"/>
  <c r="K32" i="29" s="1"/>
  <c r="AZ28" i="29"/>
  <c r="BC24" i="29"/>
  <c r="R46" i="25"/>
  <c r="R104" i="25" s="1"/>
  <c r="J22" i="25"/>
  <c r="J44" i="25" s="1"/>
  <c r="H44" i="25" s="1"/>
  <c r="R21" i="27"/>
  <c r="H39" i="25"/>
  <c r="J35" i="25"/>
  <c r="H35" i="25" s="1"/>
  <c r="O46" i="25"/>
  <c r="T14" i="25"/>
  <c r="T107" i="25"/>
  <c r="T109" i="25" s="1"/>
  <c r="H40" i="25"/>
  <c r="J27" i="25"/>
  <c r="H27" i="25" s="1"/>
  <c r="H23" i="25"/>
  <c r="N44" i="25"/>
  <c r="T111" i="25"/>
  <c r="J30" i="25"/>
  <c r="H30" i="25" s="1"/>
  <c r="R43" i="25"/>
  <c r="P46" i="25"/>
  <c r="G27" i="29"/>
  <c r="BC28" i="29" s="1"/>
  <c r="P43" i="25"/>
  <c r="H24" i="25"/>
  <c r="M44" i="25"/>
  <c r="R45" i="27"/>
  <c r="O29" i="29"/>
  <c r="O32" i="29" s="1"/>
  <c r="O43" i="25"/>
  <c r="S46" i="25"/>
  <c r="S104" i="25" s="1"/>
  <c r="S107" i="25" s="1"/>
  <c r="S109" i="25" s="1"/>
  <c r="S111" i="25" s="1"/>
  <c r="K43" i="25"/>
  <c r="H26" i="25"/>
  <c r="AZ27" i="29"/>
  <c r="P44" i="25"/>
  <c r="H36" i="25"/>
  <c r="H32" i="25"/>
  <c r="K44" i="25"/>
  <c r="P14" i="25"/>
  <c r="R47" i="27"/>
  <c r="R33" i="27"/>
  <c r="H5" i="27"/>
  <c r="H45" i="27" s="1"/>
  <c r="G31" i="29"/>
  <c r="O14" i="25"/>
  <c r="BC25" i="29"/>
  <c r="BC17" i="29"/>
  <c r="BC9" i="29"/>
  <c r="BC27" i="29" s="1"/>
  <c r="R29" i="27"/>
  <c r="L44" i="25"/>
  <c r="H41" i="25"/>
  <c r="L43" i="25"/>
  <c r="U44" i="25"/>
  <c r="R43" i="27"/>
  <c r="G29" i="29"/>
  <c r="R103" i="25"/>
  <c r="R107" i="25" s="1"/>
  <c r="R109" i="25" s="1"/>
  <c r="R111" i="25" s="1"/>
  <c r="H29" i="25"/>
  <c r="H25" i="25"/>
  <c r="M14" i="25"/>
  <c r="E5" i="27"/>
  <c r="E47" i="27" s="1"/>
  <c r="G47" i="27" s="1"/>
  <c r="S43" i="25"/>
  <c r="H37" i="25"/>
  <c r="T44" i="25"/>
  <c r="P103" i="25"/>
  <c r="H38" i="25"/>
  <c r="U43" i="25"/>
  <c r="H21" i="25"/>
  <c r="K14" i="25"/>
  <c r="L105" i="23"/>
  <c r="L103" i="23"/>
  <c r="J41" i="23"/>
  <c r="H41" i="23" s="1"/>
  <c r="H20" i="23"/>
  <c r="G31" i="28"/>
  <c r="U105" i="23"/>
  <c r="O103" i="23"/>
  <c r="K43" i="23"/>
  <c r="H37" i="23"/>
  <c r="J33" i="23"/>
  <c r="R46" i="23"/>
  <c r="J25" i="23"/>
  <c r="H25" i="23" s="1"/>
  <c r="P46" i="23"/>
  <c r="R105" i="23"/>
  <c r="U46" i="23"/>
  <c r="G27" i="28"/>
  <c r="BC28" i="28" s="1"/>
  <c r="L38" i="23"/>
  <c r="H38" i="23" s="1"/>
  <c r="L30" i="23"/>
  <c r="H30" i="23" s="1"/>
  <c r="T43" i="23"/>
  <c r="H21" i="23"/>
  <c r="O105" i="23"/>
  <c r="N43" i="23"/>
  <c r="R43" i="23"/>
  <c r="H26" i="23"/>
  <c r="H23" i="23"/>
  <c r="L22" i="23"/>
  <c r="H22" i="23" s="1"/>
  <c r="K46" i="23"/>
  <c r="U44" i="23"/>
  <c r="N105" i="23"/>
  <c r="Q43" i="23"/>
  <c r="Q46" i="23"/>
  <c r="Q104" i="23" s="1"/>
  <c r="Q107" i="23" s="1"/>
  <c r="Q109" i="23" s="1"/>
  <c r="Q111" i="23" s="1"/>
  <c r="T46" i="23"/>
  <c r="T104" i="23" s="1"/>
  <c r="T107" i="23" s="1"/>
  <c r="T109" i="23" s="1"/>
  <c r="T111" i="23" s="1"/>
  <c r="S43" i="23"/>
  <c r="H35" i="23"/>
  <c r="H27" i="23"/>
  <c r="G29" i="28"/>
  <c r="O46" i="23"/>
  <c r="O104" i="23" s="1"/>
  <c r="O107" i="23" s="1"/>
  <c r="O109" i="23" s="1"/>
  <c r="O111" i="23" s="1"/>
  <c r="P43" i="23"/>
  <c r="R14" i="23"/>
  <c r="O31" i="28"/>
  <c r="O32" i="28" s="1"/>
  <c r="BC6" i="28"/>
  <c r="H39" i="23"/>
  <c r="O44" i="23"/>
  <c r="O43" i="23"/>
  <c r="H32" i="23"/>
  <c r="M44" i="23"/>
  <c r="H31" i="23"/>
  <c r="P44" i="23"/>
  <c r="P14" i="23"/>
  <c r="I21" i="27"/>
  <c r="F48" i="27"/>
  <c r="F50" i="27" s="1"/>
  <c r="S5" i="27"/>
  <c r="I9" i="27"/>
  <c r="R5" i="27"/>
  <c r="H9" i="27"/>
  <c r="Q5" i="27"/>
  <c r="Q11" i="27" s="1"/>
  <c r="I14" i="27"/>
  <c r="R11" i="27"/>
  <c r="P5" i="27"/>
  <c r="H14" i="27"/>
  <c r="I7" i="27"/>
  <c r="I37" i="27"/>
  <c r="P1" i="27"/>
  <c r="S36" i="26"/>
  <c r="S37" i="26" s="1"/>
  <c r="F31" i="26"/>
  <c r="S26" i="26"/>
  <c r="S17" i="26"/>
  <c r="F13" i="26"/>
  <c r="S5" i="26"/>
  <c r="S47" i="26"/>
  <c r="F42" i="26"/>
  <c r="F35" i="26"/>
  <c r="F25" i="26"/>
  <c r="S20" i="26"/>
  <c r="F16" i="26"/>
  <c r="Q5" i="26"/>
  <c r="Q32" i="26" s="1"/>
  <c r="R20" i="26"/>
  <c r="R11" i="26"/>
  <c r="F46" i="26"/>
  <c r="S41" i="26"/>
  <c r="F28" i="26"/>
  <c r="S24" i="26"/>
  <c r="F19" i="26"/>
  <c r="S15" i="26"/>
  <c r="F9" i="26"/>
  <c r="R41" i="26"/>
  <c r="R24" i="26"/>
  <c r="R15" i="26"/>
  <c r="S45" i="26"/>
  <c r="F40" i="26"/>
  <c r="F32" i="26"/>
  <c r="S27" i="26"/>
  <c r="F23" i="26"/>
  <c r="S18" i="26"/>
  <c r="F14" i="26"/>
  <c r="S7" i="26"/>
  <c r="R27" i="26"/>
  <c r="R18" i="26"/>
  <c r="S31" i="26"/>
  <c r="S13" i="26"/>
  <c r="R31" i="26"/>
  <c r="R33" i="26" s="1"/>
  <c r="R13" i="26"/>
  <c r="R42" i="26"/>
  <c r="R35" i="26"/>
  <c r="R37" i="26" s="1"/>
  <c r="R25" i="26"/>
  <c r="R16" i="26"/>
  <c r="S46" i="26"/>
  <c r="S28" i="26"/>
  <c r="S19" i="26"/>
  <c r="S9" i="26"/>
  <c r="P1" i="26"/>
  <c r="R28" i="26"/>
  <c r="R19" i="26"/>
  <c r="R9" i="26"/>
  <c r="F45" i="26"/>
  <c r="S40" i="26"/>
  <c r="S32" i="26"/>
  <c r="F27" i="26"/>
  <c r="S23" i="26"/>
  <c r="F18" i="26"/>
  <c r="S14" i="26"/>
  <c r="U107" i="25"/>
  <c r="U109" i="25" s="1"/>
  <c r="U111" i="25" s="1"/>
  <c r="W14" i="25"/>
  <c r="P104" i="25"/>
  <c r="O104" i="25"/>
  <c r="C132" i="25"/>
  <c r="N46" i="25"/>
  <c r="P105" i="25"/>
  <c r="P107" i="25" s="1"/>
  <c r="P109" i="25" s="1"/>
  <c r="P111" i="25" s="1"/>
  <c r="M46" i="25"/>
  <c r="H20" i="25"/>
  <c r="H91" i="25"/>
  <c r="W16" i="25"/>
  <c r="G78" i="25" s="1"/>
  <c r="M105" i="25"/>
  <c r="L105" i="25"/>
  <c r="L107" i="25" s="1"/>
  <c r="L109" i="25" s="1"/>
  <c r="L111" i="25" s="1"/>
  <c r="L14" i="25"/>
  <c r="M43" i="25"/>
  <c r="H39" i="24"/>
  <c r="F39" i="24" s="1"/>
  <c r="O104" i="24"/>
  <c r="O107" i="24" s="1"/>
  <c r="S107" i="24"/>
  <c r="J109" i="24"/>
  <c r="J111" i="24" s="1"/>
  <c r="M107" i="24"/>
  <c r="L78" i="24"/>
  <c r="G101" i="24"/>
  <c r="J107" i="24"/>
  <c r="U109" i="24"/>
  <c r="U111" i="24" s="1"/>
  <c r="H70" i="24"/>
  <c r="J104" i="24"/>
  <c r="P103" i="24"/>
  <c r="P107" i="24" s="1"/>
  <c r="H91" i="24"/>
  <c r="L71" i="24"/>
  <c r="S68" i="24"/>
  <c r="P67" i="24"/>
  <c r="M66" i="24"/>
  <c r="R57" i="24"/>
  <c r="O56" i="24"/>
  <c r="L46" i="24"/>
  <c r="J44" i="24"/>
  <c r="S13" i="24"/>
  <c r="S51" i="24" s="1"/>
  <c r="K71" i="24"/>
  <c r="H71" i="24" s="1"/>
  <c r="R13" i="24"/>
  <c r="R51" i="24" s="1"/>
  <c r="K66" i="24"/>
  <c r="H66" i="24" s="1"/>
  <c r="Q13" i="24"/>
  <c r="Q51" i="24" s="1"/>
  <c r="H60" i="24"/>
  <c r="S105" i="24"/>
  <c r="M103" i="24"/>
  <c r="S69" i="24"/>
  <c r="P68" i="24"/>
  <c r="P78" i="24" s="1"/>
  <c r="M67" i="24"/>
  <c r="O57" i="24"/>
  <c r="P13" i="24"/>
  <c r="P51" i="24" s="1"/>
  <c r="R105" i="24"/>
  <c r="L103" i="24"/>
  <c r="R69" i="24"/>
  <c r="H69" i="24" s="1"/>
  <c r="O68" i="24"/>
  <c r="T59" i="24"/>
  <c r="N57" i="24"/>
  <c r="K56" i="24"/>
  <c r="W16" i="24"/>
  <c r="T15" i="24"/>
  <c r="O13" i="24"/>
  <c r="O51" i="24" s="1"/>
  <c r="Q105" i="24"/>
  <c r="K103" i="24"/>
  <c r="H103" i="24" s="1"/>
  <c r="T70" i="24"/>
  <c r="Q69" i="24"/>
  <c r="Q78" i="24" s="1"/>
  <c r="N68" i="24"/>
  <c r="K67" i="24"/>
  <c r="H67" i="24" s="1"/>
  <c r="S59" i="24"/>
  <c r="S78" i="24" s="1"/>
  <c r="M57" i="24"/>
  <c r="M78" i="24" s="1"/>
  <c r="T40" i="24"/>
  <c r="T39" i="24"/>
  <c r="T38" i="24"/>
  <c r="T37" i="24"/>
  <c r="T36" i="24"/>
  <c r="T35" i="24"/>
  <c r="T34" i="24"/>
  <c r="T33" i="24"/>
  <c r="T32" i="24"/>
  <c r="T31" i="24"/>
  <c r="T30" i="24"/>
  <c r="T29" i="24"/>
  <c r="T28" i="24"/>
  <c r="T43" i="24" s="1"/>
  <c r="T27" i="24"/>
  <c r="T26" i="24"/>
  <c r="T25" i="24"/>
  <c r="T24" i="24"/>
  <c r="T23" i="24"/>
  <c r="T22" i="24"/>
  <c r="T21" i="24"/>
  <c r="T20" i="24"/>
  <c r="N13" i="24"/>
  <c r="N51" i="24" s="1"/>
  <c r="R15" i="24"/>
  <c r="M13" i="24"/>
  <c r="M51" i="24" s="1"/>
  <c r="C136" i="24"/>
  <c r="K57" i="24"/>
  <c r="R28" i="24"/>
  <c r="R43" i="24" s="1"/>
  <c r="R27" i="24"/>
  <c r="R26" i="24"/>
  <c r="R25" i="24"/>
  <c r="H25" i="24" s="1"/>
  <c r="F25" i="24" s="1"/>
  <c r="R24" i="24"/>
  <c r="H24" i="24" s="1"/>
  <c r="F24" i="24" s="1"/>
  <c r="R23" i="24"/>
  <c r="R22" i="24"/>
  <c r="R21" i="24"/>
  <c r="R20" i="24"/>
  <c r="Q15" i="24"/>
  <c r="K68" i="24"/>
  <c r="Q21" i="24"/>
  <c r="Q20" i="24"/>
  <c r="H20" i="24" s="1"/>
  <c r="K13" i="24"/>
  <c r="K51" i="24" s="1"/>
  <c r="N15" i="24"/>
  <c r="K105" i="24"/>
  <c r="H105" i="24" s="1"/>
  <c r="C137" i="24" s="1"/>
  <c r="K69" i="24"/>
  <c r="N29" i="24"/>
  <c r="N28" i="24"/>
  <c r="N27" i="24"/>
  <c r="N26" i="24"/>
  <c r="N25" i="24"/>
  <c r="N24" i="24"/>
  <c r="N23" i="24"/>
  <c r="N22" i="24"/>
  <c r="N21" i="24"/>
  <c r="N20" i="24"/>
  <c r="K59" i="24"/>
  <c r="H59" i="24" s="1"/>
  <c r="K15" i="24"/>
  <c r="W15" i="24" s="1"/>
  <c r="R103" i="24"/>
  <c r="K70" i="24"/>
  <c r="O66" i="24"/>
  <c r="K40" i="24"/>
  <c r="H40" i="24" s="1"/>
  <c r="F40" i="24" s="1"/>
  <c r="K39" i="24"/>
  <c r="K38" i="24"/>
  <c r="H38" i="24" s="1"/>
  <c r="F38" i="24" s="1"/>
  <c r="K37" i="24"/>
  <c r="H37" i="24" s="1"/>
  <c r="F37" i="24" s="1"/>
  <c r="K36" i="24"/>
  <c r="H36" i="24" s="1"/>
  <c r="F36" i="24" s="1"/>
  <c r="K35" i="24"/>
  <c r="H35" i="24" s="1"/>
  <c r="F35" i="24" s="1"/>
  <c r="K34" i="24"/>
  <c r="H34" i="24" s="1"/>
  <c r="F34" i="24" s="1"/>
  <c r="K33" i="24"/>
  <c r="H33" i="24" s="1"/>
  <c r="F33" i="24" s="1"/>
  <c r="K32" i="24"/>
  <c r="K31" i="24"/>
  <c r="K30" i="24"/>
  <c r="K29" i="24"/>
  <c r="K28" i="24"/>
  <c r="K27" i="24"/>
  <c r="K26" i="24"/>
  <c r="K25" i="24"/>
  <c r="K24" i="24"/>
  <c r="K23" i="24"/>
  <c r="H23" i="24" s="1"/>
  <c r="F23" i="24" s="1"/>
  <c r="K22" i="24"/>
  <c r="K21" i="24"/>
  <c r="H21" i="24" s="1"/>
  <c r="F21" i="24" s="1"/>
  <c r="C131" i="23"/>
  <c r="S104" i="23"/>
  <c r="S107" i="23" s="1"/>
  <c r="S109" i="23" s="1"/>
  <c r="S111" i="23" s="1"/>
  <c r="P107" i="23"/>
  <c r="P109" i="23" s="1"/>
  <c r="P111" i="23" s="1"/>
  <c r="R104" i="23"/>
  <c r="P104" i="23"/>
  <c r="U104" i="23"/>
  <c r="U107" i="23" s="1"/>
  <c r="U109" i="23" s="1"/>
  <c r="U111" i="23" s="1"/>
  <c r="C132" i="23"/>
  <c r="K104" i="23"/>
  <c r="K107" i="23" s="1"/>
  <c r="K109" i="23" s="1"/>
  <c r="K111" i="23" s="1"/>
  <c r="M46" i="23"/>
  <c r="H36" i="23"/>
  <c r="W16" i="23"/>
  <c r="G51" i="23" s="1"/>
  <c r="Q14" i="23"/>
  <c r="U43" i="23"/>
  <c r="N103" i="23"/>
  <c r="N107" i="23" s="1"/>
  <c r="N109" i="23" s="1"/>
  <c r="N111" i="23" s="1"/>
  <c r="M103" i="23"/>
  <c r="N14" i="23"/>
  <c r="S44" i="23"/>
  <c r="L14" i="23"/>
  <c r="R107" i="23"/>
  <c r="R109" i="23" s="1"/>
  <c r="R111" i="23" s="1"/>
  <c r="R44" i="23"/>
  <c r="K14" i="23"/>
  <c r="H29" i="23"/>
  <c r="P56" i="22"/>
  <c r="T13" i="22"/>
  <c r="T51" i="22" s="1"/>
  <c r="S13" i="22"/>
  <c r="S51" i="22" s="1"/>
  <c r="W16" i="22"/>
  <c r="O13" i="22"/>
  <c r="O51" i="22" s="1"/>
  <c r="H93" i="22"/>
  <c r="J78" i="22"/>
  <c r="J109" i="22" s="1"/>
  <c r="J111" i="22" s="1"/>
  <c r="M13" i="22"/>
  <c r="M51" i="22" s="1"/>
  <c r="H51" i="22" s="1"/>
  <c r="L13" i="22"/>
  <c r="L51" i="22" s="1"/>
  <c r="K104" i="22"/>
  <c r="K107" i="22" s="1"/>
  <c r="K109" i="22" s="1"/>
  <c r="K111" i="22" s="1"/>
  <c r="P15" i="22"/>
  <c r="P40" i="22"/>
  <c r="H40" i="22" s="1"/>
  <c r="F40" i="22" s="1"/>
  <c r="P39" i="22"/>
  <c r="P38" i="22"/>
  <c r="P37" i="22"/>
  <c r="P36" i="22"/>
  <c r="P35" i="22"/>
  <c r="P34" i="22"/>
  <c r="P33" i="22"/>
  <c r="P32" i="22"/>
  <c r="P31" i="22"/>
  <c r="P30" i="22"/>
  <c r="P29" i="22"/>
  <c r="P28" i="22"/>
  <c r="P27" i="22"/>
  <c r="P26" i="22"/>
  <c r="P25" i="22"/>
  <c r="P24" i="22"/>
  <c r="H24" i="22" s="1"/>
  <c r="F24" i="22" s="1"/>
  <c r="P23" i="22"/>
  <c r="P22" i="22"/>
  <c r="P21" i="22"/>
  <c r="M15" i="22"/>
  <c r="M40" i="22"/>
  <c r="M39" i="22"/>
  <c r="H39" i="22" s="1"/>
  <c r="F39" i="22" s="1"/>
  <c r="M38" i="22"/>
  <c r="H38" i="22" s="1"/>
  <c r="F38" i="22" s="1"/>
  <c r="M37" i="22"/>
  <c r="M36" i="22"/>
  <c r="M35" i="22"/>
  <c r="M34" i="22"/>
  <c r="M33" i="22"/>
  <c r="H33" i="22" s="1"/>
  <c r="F33" i="22" s="1"/>
  <c r="M32" i="22"/>
  <c r="M31" i="22"/>
  <c r="M30" i="22"/>
  <c r="M29" i="22"/>
  <c r="M28" i="22"/>
  <c r="M27" i="22"/>
  <c r="M26" i="22"/>
  <c r="H26" i="22" s="1"/>
  <c r="F26" i="22" s="1"/>
  <c r="M25" i="22"/>
  <c r="M24" i="22"/>
  <c r="M23" i="22"/>
  <c r="M22" i="22"/>
  <c r="M21" i="22"/>
  <c r="H92" i="22"/>
  <c r="Q45" i="26" l="1"/>
  <c r="Q16" i="26"/>
  <c r="M11" i="27"/>
  <c r="M26" i="27"/>
  <c r="M10" i="27"/>
  <c r="M25" i="27"/>
  <c r="M9" i="27"/>
  <c r="M24" i="27"/>
  <c r="M8" i="27"/>
  <c r="M23" i="27"/>
  <c r="M7" i="27"/>
  <c r="M22" i="27"/>
  <c r="M6" i="27"/>
  <c r="M21" i="27"/>
  <c r="M5" i="27"/>
  <c r="M20" i="27"/>
  <c r="M19" i="27"/>
  <c r="M18" i="27"/>
  <c r="M17" i="27"/>
  <c r="M16" i="27"/>
  <c r="M15" i="27"/>
  <c r="M14" i="27"/>
  <c r="M13" i="27"/>
  <c r="M12" i="27"/>
  <c r="S11" i="27"/>
  <c r="I11" i="27"/>
  <c r="F11" i="27"/>
  <c r="R78" i="24"/>
  <c r="T78" i="24"/>
  <c r="H57" i="24"/>
  <c r="M109" i="24"/>
  <c r="M111" i="24" s="1"/>
  <c r="H29" i="24"/>
  <c r="F29" i="24" s="1"/>
  <c r="H26" i="24"/>
  <c r="F26" i="24" s="1"/>
  <c r="K46" i="24"/>
  <c r="F46" i="27"/>
  <c r="I46" i="27"/>
  <c r="S46" i="27"/>
  <c r="S48" i="27" s="1"/>
  <c r="S50" i="27" s="1"/>
  <c r="S52" i="27" s="1"/>
  <c r="S54" i="27" s="1"/>
  <c r="S55" i="27" s="1"/>
  <c r="H31" i="24"/>
  <c r="F31" i="24" s="1"/>
  <c r="S7" i="27"/>
  <c r="F7" i="27"/>
  <c r="H32" i="24"/>
  <c r="F32" i="24" s="1"/>
  <c r="H22" i="24"/>
  <c r="F22" i="24" s="1"/>
  <c r="K44" i="24"/>
  <c r="H27" i="24"/>
  <c r="F27" i="24" s="1"/>
  <c r="C133" i="22"/>
  <c r="U109" i="22"/>
  <c r="U111" i="22" s="1"/>
  <c r="S43" i="26"/>
  <c r="H59" i="22"/>
  <c r="H66" i="22"/>
  <c r="Q18" i="26"/>
  <c r="S48" i="26"/>
  <c r="S11" i="26"/>
  <c r="Q9" i="26"/>
  <c r="N78" i="22"/>
  <c r="Q27" i="26"/>
  <c r="Q19" i="26"/>
  <c r="Q35" i="26"/>
  <c r="Q42" i="26"/>
  <c r="I11" i="26"/>
  <c r="F11" i="26"/>
  <c r="M78" i="22"/>
  <c r="W78" i="22" s="1"/>
  <c r="R46" i="22"/>
  <c r="R104" i="22" s="1"/>
  <c r="R107" i="22" s="1"/>
  <c r="R109" i="22" s="1"/>
  <c r="R111" i="22" s="1"/>
  <c r="Q36" i="26"/>
  <c r="Q28" i="26"/>
  <c r="Q11" i="26"/>
  <c r="H36" i="22"/>
  <c r="F36" i="22" s="1"/>
  <c r="H31" i="22"/>
  <c r="F31" i="22" s="1"/>
  <c r="H21" i="22"/>
  <c r="S109" i="22"/>
  <c r="S111" i="22" s="1"/>
  <c r="Q20" i="26"/>
  <c r="M23" i="26"/>
  <c r="M7" i="26"/>
  <c r="M24" i="26"/>
  <c r="M22" i="26"/>
  <c r="M6" i="26"/>
  <c r="M21" i="26"/>
  <c r="M5" i="26"/>
  <c r="M20" i="26"/>
  <c r="M19" i="26"/>
  <c r="M12" i="26"/>
  <c r="M18" i="26"/>
  <c r="M17" i="26"/>
  <c r="M16" i="26"/>
  <c r="M15" i="26"/>
  <c r="M14" i="26"/>
  <c r="M13" i="26"/>
  <c r="M11" i="26"/>
  <c r="M25" i="26"/>
  <c r="M26" i="26"/>
  <c r="M10" i="26"/>
  <c r="M9" i="26"/>
  <c r="M8" i="26"/>
  <c r="H23" i="22"/>
  <c r="F23" i="22" s="1"/>
  <c r="Q46" i="26"/>
  <c r="Q15" i="26"/>
  <c r="Q46" i="22"/>
  <c r="Q104" i="22" s="1"/>
  <c r="Q107" i="22" s="1"/>
  <c r="Q109" i="22" s="1"/>
  <c r="Q111" i="22" s="1"/>
  <c r="H25" i="22"/>
  <c r="F25" i="22" s="1"/>
  <c r="W15" i="22"/>
  <c r="P78" i="22"/>
  <c r="Q23" i="26"/>
  <c r="N44" i="22"/>
  <c r="O46" i="22"/>
  <c r="O104" i="22" s="1"/>
  <c r="O107" i="22" s="1"/>
  <c r="N43" i="22"/>
  <c r="R43" i="22"/>
  <c r="Q24" i="26"/>
  <c r="H27" i="22"/>
  <c r="F27" i="22" s="1"/>
  <c r="N46" i="22"/>
  <c r="N104" i="22" s="1"/>
  <c r="N107" i="22" s="1"/>
  <c r="H30" i="22"/>
  <c r="F30" i="22" s="1"/>
  <c r="Q7" i="26"/>
  <c r="I23" i="26"/>
  <c r="I29" i="26" s="1"/>
  <c r="I35" i="26"/>
  <c r="I37" i="26" s="1"/>
  <c r="I9" i="26"/>
  <c r="I36" i="26"/>
  <c r="I13" i="26"/>
  <c r="I24" i="26"/>
  <c r="I40" i="26"/>
  <c r="I43" i="26" s="1"/>
  <c r="I14" i="26"/>
  <c r="I25" i="26"/>
  <c r="I20" i="26"/>
  <c r="I41" i="26"/>
  <c r="I16" i="26"/>
  <c r="I26" i="26"/>
  <c r="I42" i="26"/>
  <c r="I27" i="26"/>
  <c r="I45" i="26"/>
  <c r="I48" i="26" s="1"/>
  <c r="I17" i="26"/>
  <c r="I28" i="26"/>
  <c r="I31" i="26"/>
  <c r="I33" i="26" s="1"/>
  <c r="I47" i="26"/>
  <c r="I19" i="26"/>
  <c r="I18" i="26"/>
  <c r="I32" i="26"/>
  <c r="O78" i="22"/>
  <c r="H68" i="22"/>
  <c r="S33" i="26"/>
  <c r="S29" i="26"/>
  <c r="H34" i="22"/>
  <c r="F34" i="22" s="1"/>
  <c r="T109" i="22"/>
  <c r="T111" i="22" s="1"/>
  <c r="P46" i="22"/>
  <c r="H37" i="22"/>
  <c r="F37" i="22" s="1"/>
  <c r="M46" i="22"/>
  <c r="M104" i="22" s="1"/>
  <c r="M107" i="22" s="1"/>
  <c r="M109" i="22" s="1"/>
  <c r="M111" i="22" s="1"/>
  <c r="H29" i="22"/>
  <c r="F29" i="22" s="1"/>
  <c r="H35" i="22"/>
  <c r="F35" i="22" s="1"/>
  <c r="H32" i="22"/>
  <c r="F32" i="22" s="1"/>
  <c r="L43" i="23"/>
  <c r="BC31" i="28"/>
  <c r="G101" i="23"/>
  <c r="R5" i="26"/>
  <c r="J103" i="23"/>
  <c r="R45" i="26" s="1"/>
  <c r="H5" i="26"/>
  <c r="J105" i="23"/>
  <c r="R47" i="26" s="1"/>
  <c r="W15" i="23"/>
  <c r="J44" i="23"/>
  <c r="J43" i="23"/>
  <c r="H43" i="23" s="1"/>
  <c r="H105" i="23"/>
  <c r="C137" i="23" s="1"/>
  <c r="J14" i="23"/>
  <c r="E5" i="26"/>
  <c r="E45" i="26" s="1"/>
  <c r="G45" i="26" s="1"/>
  <c r="P5" i="26"/>
  <c r="P9" i="26" s="1"/>
  <c r="R21" i="26"/>
  <c r="H48" i="27"/>
  <c r="J45" i="27"/>
  <c r="J48" i="27" s="1"/>
  <c r="H103" i="25"/>
  <c r="J14" i="27"/>
  <c r="G32" i="29"/>
  <c r="E45" i="27"/>
  <c r="J46" i="25"/>
  <c r="BC32" i="29"/>
  <c r="J43" i="25"/>
  <c r="H43" i="25" s="1"/>
  <c r="G101" i="25"/>
  <c r="H47" i="27"/>
  <c r="J47" i="27" s="1"/>
  <c r="W46" i="25"/>
  <c r="E27" i="27"/>
  <c r="G27" i="27" s="1"/>
  <c r="E31" i="27"/>
  <c r="E13" i="27"/>
  <c r="E16" i="27"/>
  <c r="G16" i="27" s="1"/>
  <c r="E20" i="27"/>
  <c r="G20" i="27" s="1"/>
  <c r="E25" i="27"/>
  <c r="G25" i="27" s="1"/>
  <c r="G5" i="27"/>
  <c r="E19" i="27"/>
  <c r="G19" i="27" s="1"/>
  <c r="E36" i="27"/>
  <c r="G36" i="27" s="1"/>
  <c r="E41" i="27"/>
  <c r="G41" i="27" s="1"/>
  <c r="E15" i="27"/>
  <c r="G15" i="27" s="1"/>
  <c r="E23" i="27"/>
  <c r="E28" i="27"/>
  <c r="G28" i="27" s="1"/>
  <c r="E11" i="27"/>
  <c r="E32" i="27"/>
  <c r="G32" i="27" s="1"/>
  <c r="E14" i="27"/>
  <c r="G14" i="27" s="1"/>
  <c r="E17" i="27"/>
  <c r="G17" i="27" s="1"/>
  <c r="E26" i="27"/>
  <c r="G26" i="27" s="1"/>
  <c r="E42" i="27"/>
  <c r="G42" i="27" s="1"/>
  <c r="E9" i="27"/>
  <c r="G9" i="27" s="1"/>
  <c r="E18" i="27"/>
  <c r="G18" i="27" s="1"/>
  <c r="E35" i="27"/>
  <c r="E40" i="27"/>
  <c r="E24" i="27"/>
  <c r="G24" i="27" s="1"/>
  <c r="H7" i="27"/>
  <c r="J7" i="27" s="1"/>
  <c r="H18" i="27"/>
  <c r="J18" i="27" s="1"/>
  <c r="H35" i="27"/>
  <c r="H40" i="27"/>
  <c r="H27" i="27"/>
  <c r="J27" i="27" s="1"/>
  <c r="H31" i="27"/>
  <c r="H16" i="27"/>
  <c r="J16" i="27" s="1"/>
  <c r="H26" i="27"/>
  <c r="J26" i="27" s="1"/>
  <c r="H13" i="27"/>
  <c r="H25" i="27"/>
  <c r="J25" i="27" s="1"/>
  <c r="H19" i="27"/>
  <c r="J19" i="27" s="1"/>
  <c r="H41" i="27"/>
  <c r="J41" i="27" s="1"/>
  <c r="H23" i="27"/>
  <c r="H28" i="27"/>
  <c r="J28" i="27" s="1"/>
  <c r="H36" i="27"/>
  <c r="J36" i="27" s="1"/>
  <c r="H32" i="27"/>
  <c r="J32" i="27" s="1"/>
  <c r="H42" i="27"/>
  <c r="J42" i="27" s="1"/>
  <c r="H17" i="27"/>
  <c r="J17" i="27" s="1"/>
  <c r="H15" i="27"/>
  <c r="J15" i="27" s="1"/>
  <c r="H11" i="27"/>
  <c r="J11" i="27" s="1"/>
  <c r="H20" i="27"/>
  <c r="J20" i="27" s="1"/>
  <c r="H24" i="27"/>
  <c r="J24" i="27" s="1"/>
  <c r="W15" i="25"/>
  <c r="Q107" i="25"/>
  <c r="Q109" i="25" s="1"/>
  <c r="Q111" i="25" s="1"/>
  <c r="H22" i="25"/>
  <c r="H46" i="25" s="1"/>
  <c r="J5" i="27"/>
  <c r="H46" i="23"/>
  <c r="G46" i="23" s="1"/>
  <c r="W14" i="23"/>
  <c r="BC29" i="28"/>
  <c r="BC32" i="28" s="1"/>
  <c r="BC27" i="28"/>
  <c r="G78" i="23"/>
  <c r="H33" i="23"/>
  <c r="H103" i="23"/>
  <c r="J46" i="23"/>
  <c r="R43" i="26"/>
  <c r="R29" i="26"/>
  <c r="L46" i="23"/>
  <c r="L44" i="23"/>
  <c r="G32" i="28"/>
  <c r="F52" i="27"/>
  <c r="J9" i="27"/>
  <c r="P16" i="27"/>
  <c r="P25" i="27"/>
  <c r="P35" i="27"/>
  <c r="P42" i="27"/>
  <c r="P13" i="27"/>
  <c r="P31" i="27"/>
  <c r="P19" i="27"/>
  <c r="P28" i="27"/>
  <c r="P7" i="27"/>
  <c r="P18" i="27"/>
  <c r="P27" i="27"/>
  <c r="P45" i="27"/>
  <c r="P15" i="27"/>
  <c r="P24" i="27"/>
  <c r="P41" i="27"/>
  <c r="P11" i="27"/>
  <c r="P20" i="27"/>
  <c r="P47" i="27"/>
  <c r="P17" i="27"/>
  <c r="P26" i="27"/>
  <c r="P36" i="27"/>
  <c r="P9" i="27"/>
  <c r="P14" i="27"/>
  <c r="P23" i="27"/>
  <c r="P32" i="27"/>
  <c r="P40" i="27"/>
  <c r="I50" i="27"/>
  <c r="Q9" i="27"/>
  <c r="Q19" i="27"/>
  <c r="Q28" i="27"/>
  <c r="Q46" i="27"/>
  <c r="Q16" i="27"/>
  <c r="Q25" i="27"/>
  <c r="Q35" i="27"/>
  <c r="Q37" i="27" s="1"/>
  <c r="Q42" i="27"/>
  <c r="Q13" i="27"/>
  <c r="Q31" i="27"/>
  <c r="Q7" i="27"/>
  <c r="Q18" i="27"/>
  <c r="Q27" i="27"/>
  <c r="Q45" i="27"/>
  <c r="Q15" i="27"/>
  <c r="Q24" i="27"/>
  <c r="Q41" i="27"/>
  <c r="Q20" i="27"/>
  <c r="Q47" i="27"/>
  <c r="Q17" i="27"/>
  <c r="Q26" i="27"/>
  <c r="Q36" i="27"/>
  <c r="Q14" i="27"/>
  <c r="Q23" i="27"/>
  <c r="Q32" i="27"/>
  <c r="Q40" i="27"/>
  <c r="F37" i="26"/>
  <c r="F48" i="26"/>
  <c r="S21" i="26"/>
  <c r="F29" i="26"/>
  <c r="F21" i="26"/>
  <c r="Q31" i="26"/>
  <c r="Q33" i="26" s="1"/>
  <c r="Q13" i="26"/>
  <c r="Q14" i="26"/>
  <c r="F43" i="26"/>
  <c r="Q41" i="26"/>
  <c r="Q17" i="26"/>
  <c r="I21" i="26"/>
  <c r="F33" i="26"/>
  <c r="Q25" i="26"/>
  <c r="Q47" i="26"/>
  <c r="Q26" i="26"/>
  <c r="Q40" i="26"/>
  <c r="H105" i="25"/>
  <c r="C137" i="25" s="1"/>
  <c r="B127" i="25"/>
  <c r="I4" i="25"/>
  <c r="I7" i="25"/>
  <c r="I10" i="25"/>
  <c r="G51" i="25"/>
  <c r="C133" i="25"/>
  <c r="M104" i="25"/>
  <c r="M107" i="25" s="1"/>
  <c r="M109" i="25" s="1"/>
  <c r="M111" i="25" s="1"/>
  <c r="N104" i="25"/>
  <c r="N107" i="25" s="1"/>
  <c r="N109" i="25" s="1"/>
  <c r="N111" i="25" s="1"/>
  <c r="W51" i="24"/>
  <c r="H51" i="24"/>
  <c r="K104" i="24"/>
  <c r="K107" i="24" s="1"/>
  <c r="N46" i="24"/>
  <c r="N44" i="24"/>
  <c r="S109" i="24"/>
  <c r="S111" i="24" s="1"/>
  <c r="H28" i="24"/>
  <c r="F28" i="24" s="1"/>
  <c r="H30" i="24"/>
  <c r="F30" i="24" s="1"/>
  <c r="P109" i="24"/>
  <c r="P111" i="24" s="1"/>
  <c r="L104" i="24"/>
  <c r="F20" i="24"/>
  <c r="Q46" i="24"/>
  <c r="Q44" i="24"/>
  <c r="H68" i="24"/>
  <c r="L107" i="24"/>
  <c r="L109" i="24" s="1"/>
  <c r="L111" i="24" s="1"/>
  <c r="R46" i="24"/>
  <c r="R44" i="24"/>
  <c r="T46" i="24"/>
  <c r="T44" i="24"/>
  <c r="I4" i="24"/>
  <c r="I7" i="24"/>
  <c r="I10" i="24"/>
  <c r="B127" i="24"/>
  <c r="W17" i="24"/>
  <c r="W14" i="24"/>
  <c r="N43" i="24"/>
  <c r="H56" i="24"/>
  <c r="H78" i="24" s="1"/>
  <c r="K78" i="24"/>
  <c r="O78" i="24"/>
  <c r="O109" i="24" s="1"/>
  <c r="O111" i="24" s="1"/>
  <c r="K43" i="24"/>
  <c r="N78" i="24"/>
  <c r="C133" i="24"/>
  <c r="F133" i="24" s="1"/>
  <c r="I4" i="23"/>
  <c r="I7" i="23"/>
  <c r="I10" i="23"/>
  <c r="B127" i="23"/>
  <c r="F132" i="23" s="1"/>
  <c r="M104" i="23"/>
  <c r="C131" i="22"/>
  <c r="G51" i="22"/>
  <c r="P104" i="22"/>
  <c r="P107" i="22" s="1"/>
  <c r="P109" i="22" s="1"/>
  <c r="P111" i="22" s="1"/>
  <c r="F21" i="22"/>
  <c r="M44" i="22"/>
  <c r="H22" i="22"/>
  <c r="F22" i="22" s="1"/>
  <c r="M43" i="22"/>
  <c r="I4" i="22"/>
  <c r="I7" i="22"/>
  <c r="I10" i="22"/>
  <c r="G101" i="22"/>
  <c r="B127" i="22"/>
  <c r="F133" i="22" s="1"/>
  <c r="W14" i="22"/>
  <c r="W17" i="22"/>
  <c r="L109" i="22"/>
  <c r="L111" i="22" s="1"/>
  <c r="P44" i="22"/>
  <c r="P43" i="22"/>
  <c r="H28" i="22"/>
  <c r="F28" i="22" s="1"/>
  <c r="W51" i="22"/>
  <c r="H56" i="22"/>
  <c r="H78" i="22" s="1"/>
  <c r="G11" i="27" l="1"/>
  <c r="K109" i="24"/>
  <c r="K111" i="24" s="1"/>
  <c r="Q33" i="27"/>
  <c r="H44" i="24"/>
  <c r="O109" i="22"/>
  <c r="O111" i="22" s="1"/>
  <c r="Q48" i="26"/>
  <c r="Q37" i="26"/>
  <c r="W46" i="22"/>
  <c r="S50" i="26"/>
  <c r="S52" i="26" s="1"/>
  <c r="S54" i="26" s="1"/>
  <c r="S55" i="26" s="1"/>
  <c r="N109" i="22"/>
  <c r="N111" i="22" s="1"/>
  <c r="W111" i="22" s="1"/>
  <c r="I50" i="26"/>
  <c r="Q29" i="26"/>
  <c r="H46" i="22"/>
  <c r="H44" i="22"/>
  <c r="H104" i="22"/>
  <c r="F50" i="26"/>
  <c r="F52" i="26" s="1"/>
  <c r="P17" i="26"/>
  <c r="E36" i="26"/>
  <c r="G36" i="26" s="1"/>
  <c r="E24" i="26"/>
  <c r="G24" i="26" s="1"/>
  <c r="E13" i="26"/>
  <c r="E21" i="26" s="1"/>
  <c r="E40" i="26"/>
  <c r="G40" i="26" s="1"/>
  <c r="G43" i="26" s="1"/>
  <c r="P40" i="26"/>
  <c r="P23" i="26"/>
  <c r="P27" i="26"/>
  <c r="E42" i="26"/>
  <c r="G42" i="26" s="1"/>
  <c r="P32" i="26"/>
  <c r="P31" i="26"/>
  <c r="P33" i="26" s="1"/>
  <c r="P35" i="26"/>
  <c r="P25" i="26"/>
  <c r="E27" i="26"/>
  <c r="G27" i="26" s="1"/>
  <c r="E26" i="26"/>
  <c r="G26" i="26" s="1"/>
  <c r="E32" i="26"/>
  <c r="G32" i="26" s="1"/>
  <c r="P11" i="26"/>
  <c r="P47" i="26"/>
  <c r="G5" i="26"/>
  <c r="P26" i="26"/>
  <c r="P24" i="26"/>
  <c r="P18" i="26"/>
  <c r="E47" i="26"/>
  <c r="G47" i="26" s="1"/>
  <c r="P28" i="26"/>
  <c r="P19" i="26"/>
  <c r="E19" i="26"/>
  <c r="G19" i="26" s="1"/>
  <c r="E28" i="26"/>
  <c r="G28" i="26" s="1"/>
  <c r="E18" i="26"/>
  <c r="G18" i="26" s="1"/>
  <c r="P41" i="26"/>
  <c r="P42" i="26"/>
  <c r="P45" i="26"/>
  <c r="P15" i="26"/>
  <c r="P20" i="26"/>
  <c r="E11" i="26"/>
  <c r="G11" i="26" s="1"/>
  <c r="E128" i="23"/>
  <c r="E35" i="26"/>
  <c r="E37" i="26" s="1"/>
  <c r="P36" i="26"/>
  <c r="P14" i="26"/>
  <c r="E17" i="26"/>
  <c r="G17" i="26" s="1"/>
  <c r="H44" i="23"/>
  <c r="E23" i="26"/>
  <c r="G23" i="26" s="1"/>
  <c r="G29" i="26" s="1"/>
  <c r="P13" i="26"/>
  <c r="E31" i="26"/>
  <c r="E41" i="26"/>
  <c r="G41" i="26" s="1"/>
  <c r="E25" i="26"/>
  <c r="G25" i="26" s="1"/>
  <c r="E9" i="26"/>
  <c r="G9" i="26" s="1"/>
  <c r="H13" i="26"/>
  <c r="H25" i="26"/>
  <c r="J25" i="26" s="1"/>
  <c r="H31" i="26"/>
  <c r="J31" i="26" s="1"/>
  <c r="J33" i="26" s="1"/>
  <c r="H17" i="26"/>
  <c r="J17" i="26" s="1"/>
  <c r="H26" i="26"/>
  <c r="J26" i="26" s="1"/>
  <c r="H20" i="26"/>
  <c r="J20" i="26" s="1"/>
  <c r="H15" i="26"/>
  <c r="J15" i="26" s="1"/>
  <c r="H35" i="26"/>
  <c r="H42" i="26"/>
  <c r="J42" i="26" s="1"/>
  <c r="H32" i="26"/>
  <c r="H41" i="26"/>
  <c r="J41" i="26" s="1"/>
  <c r="H16" i="26"/>
  <c r="J16" i="26" s="1"/>
  <c r="H36" i="26"/>
  <c r="J36" i="26" s="1"/>
  <c r="H11" i="26"/>
  <c r="J11" i="26" s="1"/>
  <c r="H23" i="26"/>
  <c r="H40" i="26"/>
  <c r="H19" i="26"/>
  <c r="J19" i="26" s="1"/>
  <c r="H14" i="26"/>
  <c r="J14" i="26" s="1"/>
  <c r="H28" i="26"/>
  <c r="J28" i="26" s="1"/>
  <c r="H47" i="26"/>
  <c r="J47" i="26" s="1"/>
  <c r="J5" i="26"/>
  <c r="H45" i="26"/>
  <c r="J45" i="26" s="1"/>
  <c r="H24" i="26"/>
  <c r="J24" i="26" s="1"/>
  <c r="H18" i="26"/>
  <c r="J18" i="26" s="1"/>
  <c r="H9" i="26"/>
  <c r="J9" i="26" s="1"/>
  <c r="H27" i="26"/>
  <c r="J27" i="26" s="1"/>
  <c r="P7" i="26"/>
  <c r="E15" i="26"/>
  <c r="G15" i="26" s="1"/>
  <c r="E20" i="26"/>
  <c r="G20" i="26" s="1"/>
  <c r="P16" i="26"/>
  <c r="E14" i="26"/>
  <c r="G14" i="26" s="1"/>
  <c r="E16" i="26"/>
  <c r="G16" i="26" s="1"/>
  <c r="Q48" i="27"/>
  <c r="Q43" i="27"/>
  <c r="E128" i="25"/>
  <c r="G128" i="25" s="1"/>
  <c r="G46" i="25"/>
  <c r="H21" i="27"/>
  <c r="J13" i="27"/>
  <c r="J21" i="27" s="1"/>
  <c r="P29" i="27"/>
  <c r="H43" i="27"/>
  <c r="J40" i="27"/>
  <c r="J43" i="27" s="1"/>
  <c r="E29" i="27"/>
  <c r="G23" i="27"/>
  <c r="G29" i="27" s="1"/>
  <c r="H37" i="27"/>
  <c r="J35" i="27"/>
  <c r="E7" i="27"/>
  <c r="G7" i="27" s="1"/>
  <c r="R7" i="27"/>
  <c r="J104" i="25"/>
  <c r="E48" i="27"/>
  <c r="G45" i="27"/>
  <c r="G48" i="27" s="1"/>
  <c r="E43" i="27"/>
  <c r="G40" i="27"/>
  <c r="G43" i="27" s="1"/>
  <c r="E37" i="27"/>
  <c r="G35" i="27"/>
  <c r="J31" i="27"/>
  <c r="J33" i="27" s="1"/>
  <c r="H33" i="27"/>
  <c r="J23" i="27"/>
  <c r="J29" i="27" s="1"/>
  <c r="H29" i="27"/>
  <c r="I13" i="25"/>
  <c r="P37" i="27"/>
  <c r="E21" i="27"/>
  <c r="G13" i="27"/>
  <c r="G21" i="27" s="1"/>
  <c r="P43" i="27"/>
  <c r="G31" i="27"/>
  <c r="G33" i="27" s="1"/>
  <c r="E33" i="27"/>
  <c r="G13" i="26"/>
  <c r="G21" i="26" s="1"/>
  <c r="E7" i="26"/>
  <c r="G7" i="26" s="1"/>
  <c r="H7" i="26"/>
  <c r="J7" i="26" s="1"/>
  <c r="J104" i="23"/>
  <c r="H104" i="23" s="1"/>
  <c r="W46" i="23"/>
  <c r="R7" i="26"/>
  <c r="E43" i="26"/>
  <c r="L104" i="23"/>
  <c r="L107" i="23" s="1"/>
  <c r="L109" i="23" s="1"/>
  <c r="L111" i="23" s="1"/>
  <c r="P33" i="27"/>
  <c r="Q21" i="27"/>
  <c r="P21" i="27"/>
  <c r="Q29" i="27"/>
  <c r="I52" i="27"/>
  <c r="F54" i="27"/>
  <c r="Q43" i="26"/>
  <c r="I52" i="26"/>
  <c r="Q21" i="26"/>
  <c r="F133" i="25"/>
  <c r="F135" i="25"/>
  <c r="F136" i="25"/>
  <c r="F131" i="25"/>
  <c r="G138" i="25" s="1"/>
  <c r="F134" i="25"/>
  <c r="F132" i="25"/>
  <c r="F137" i="25"/>
  <c r="Q104" i="24"/>
  <c r="Q107" i="24" s="1"/>
  <c r="Q109" i="24" s="1"/>
  <c r="Q111" i="24" s="1"/>
  <c r="H46" i="24"/>
  <c r="F135" i="24"/>
  <c r="F134" i="24"/>
  <c r="H43" i="24"/>
  <c r="I13" i="24"/>
  <c r="N104" i="24"/>
  <c r="T104" i="24"/>
  <c r="T107" i="24" s="1"/>
  <c r="T109" i="24" s="1"/>
  <c r="T111" i="24" s="1"/>
  <c r="F137" i="24"/>
  <c r="W41" i="24"/>
  <c r="W20" i="24"/>
  <c r="W43" i="24" s="1"/>
  <c r="W21" i="24"/>
  <c r="W22" i="24"/>
  <c r="W23" i="24"/>
  <c r="W24" i="24"/>
  <c r="W25" i="24"/>
  <c r="W26" i="24"/>
  <c r="W27" i="24"/>
  <c r="W28" i="24"/>
  <c r="W29" i="24"/>
  <c r="W30" i="24"/>
  <c r="W31" i="24"/>
  <c r="W32" i="24"/>
  <c r="W33" i="24"/>
  <c r="W34" i="24"/>
  <c r="W35" i="24"/>
  <c r="W36" i="24"/>
  <c r="W37" i="24"/>
  <c r="W38" i="24"/>
  <c r="W39" i="24"/>
  <c r="W40" i="24"/>
  <c r="W46" i="24"/>
  <c r="R104" i="24"/>
  <c r="R107" i="24" s="1"/>
  <c r="R109" i="24" s="1"/>
  <c r="R111" i="24" s="1"/>
  <c r="W78" i="24"/>
  <c r="G78" i="24"/>
  <c r="C132" i="24"/>
  <c r="F132" i="24" s="1"/>
  <c r="F136" i="24"/>
  <c r="G51" i="24"/>
  <c r="C131" i="24"/>
  <c r="F131" i="23"/>
  <c r="I13" i="23"/>
  <c r="G128" i="23"/>
  <c r="M107" i="23"/>
  <c r="M109" i="23" s="1"/>
  <c r="M111" i="23" s="1"/>
  <c r="F133" i="23"/>
  <c r="F135" i="23"/>
  <c r="F134" i="23"/>
  <c r="F136" i="23"/>
  <c r="F137" i="23"/>
  <c r="G46" i="22"/>
  <c r="E128" i="22"/>
  <c r="W109" i="22"/>
  <c r="W24" i="22"/>
  <c r="W34" i="22"/>
  <c r="W27" i="22"/>
  <c r="W31" i="22"/>
  <c r="W36" i="22"/>
  <c r="W40" i="22"/>
  <c r="W26" i="22"/>
  <c r="W29" i="22"/>
  <c r="W35" i="22"/>
  <c r="W20" i="22"/>
  <c r="W38" i="22"/>
  <c r="W25" i="22"/>
  <c r="W30" i="22"/>
  <c r="W39" i="22"/>
  <c r="W21" i="22"/>
  <c r="W33" i="22"/>
  <c r="W28" i="22"/>
  <c r="W41" i="22"/>
  <c r="W23" i="22"/>
  <c r="W37" i="22"/>
  <c r="W22" i="22"/>
  <c r="W32" i="22"/>
  <c r="C138" i="22"/>
  <c r="F138" i="22" s="1"/>
  <c r="H107" i="22"/>
  <c r="F134" i="22"/>
  <c r="F135" i="22"/>
  <c r="F137" i="22"/>
  <c r="F136" i="22"/>
  <c r="F131" i="22"/>
  <c r="I13" i="22"/>
  <c r="G78" i="22"/>
  <c r="C132" i="22"/>
  <c r="F132" i="22" s="1"/>
  <c r="H43" i="22"/>
  <c r="G35" i="26" l="1"/>
  <c r="Q50" i="26"/>
  <c r="Q52" i="26" s="1"/>
  <c r="Q54" i="26" s="1"/>
  <c r="Q55" i="26" s="1"/>
  <c r="P29" i="26"/>
  <c r="P37" i="26"/>
  <c r="P21" i="26"/>
  <c r="P43" i="26"/>
  <c r="H33" i="26"/>
  <c r="J32" i="26"/>
  <c r="J35" i="26"/>
  <c r="H37" i="26"/>
  <c r="E29" i="26"/>
  <c r="J13" i="26"/>
  <c r="J21" i="26" s="1"/>
  <c r="H21" i="26"/>
  <c r="H43" i="26"/>
  <c r="J40" i="26"/>
  <c r="J43" i="26" s="1"/>
  <c r="J23" i="26"/>
  <c r="J29" i="26" s="1"/>
  <c r="H29" i="26"/>
  <c r="E33" i="26"/>
  <c r="G31" i="26"/>
  <c r="G33" i="26" s="1"/>
  <c r="E50" i="27"/>
  <c r="E46" i="27"/>
  <c r="G46" i="27" s="1"/>
  <c r="H46" i="27"/>
  <c r="J46" i="27" s="1"/>
  <c r="R46" i="27"/>
  <c r="R48" i="27" s="1"/>
  <c r="R50" i="27" s="1"/>
  <c r="R52" i="27" s="1"/>
  <c r="R54" i="27" s="1"/>
  <c r="R55" i="27" s="1"/>
  <c r="J107" i="25"/>
  <c r="J109" i="25" s="1"/>
  <c r="P46" i="27"/>
  <c r="P48" i="27" s="1"/>
  <c r="P50" i="27" s="1"/>
  <c r="P52" i="27" s="1"/>
  <c r="P54" i="27" s="1"/>
  <c r="P55" i="27" s="1"/>
  <c r="H50" i="27"/>
  <c r="H104" i="25"/>
  <c r="C138" i="23"/>
  <c r="E138" i="23" s="1"/>
  <c r="E139" i="23" s="1"/>
  <c r="H107" i="23"/>
  <c r="H109" i="23" s="1"/>
  <c r="H111" i="23" s="1"/>
  <c r="E46" i="26"/>
  <c r="H46" i="26"/>
  <c r="R46" i="26"/>
  <c r="R48" i="26" s="1"/>
  <c r="R50" i="26" s="1"/>
  <c r="R52" i="26" s="1"/>
  <c r="R54" i="26" s="1"/>
  <c r="R55" i="26" s="1"/>
  <c r="P46" i="26"/>
  <c r="P48" i="26" s="1"/>
  <c r="J107" i="23"/>
  <c r="J109" i="23" s="1"/>
  <c r="F55" i="27"/>
  <c r="I54" i="27"/>
  <c r="Q50" i="27"/>
  <c r="Q52" i="27" s="1"/>
  <c r="Q54" i="27" s="1"/>
  <c r="Q55" i="27" s="1"/>
  <c r="F54" i="26"/>
  <c r="I54" i="26"/>
  <c r="G139" i="25"/>
  <c r="C138" i="25"/>
  <c r="H107" i="25"/>
  <c r="N107" i="24"/>
  <c r="N109" i="24" s="1"/>
  <c r="H104" i="24"/>
  <c r="F131" i="24"/>
  <c r="G138" i="24" s="1"/>
  <c r="G46" i="24"/>
  <c r="E128" i="24"/>
  <c r="W43" i="22"/>
  <c r="G107" i="22"/>
  <c r="H109" i="22"/>
  <c r="H111" i="22" s="1"/>
  <c r="G128" i="22"/>
  <c r="G138" i="22"/>
  <c r="E138" i="22"/>
  <c r="E139" i="22" s="1"/>
  <c r="P50" i="26" l="1"/>
  <c r="P52" i="26" s="1"/>
  <c r="P54" i="26" s="1"/>
  <c r="P55" i="26" s="1"/>
  <c r="E52" i="27"/>
  <c r="G50" i="27"/>
  <c r="H52" i="27"/>
  <c r="J50" i="27"/>
  <c r="J111" i="25"/>
  <c r="W111" i="25" s="1"/>
  <c r="W109" i="25"/>
  <c r="J111" i="23"/>
  <c r="W111" i="23" s="1"/>
  <c r="W109" i="23"/>
  <c r="F138" i="23"/>
  <c r="G138" i="23" s="1"/>
  <c r="G139" i="23" s="1"/>
  <c r="G107" i="23"/>
  <c r="J46" i="26"/>
  <c r="J48" i="26" s="1"/>
  <c r="H48" i="26"/>
  <c r="H50" i="26" s="1"/>
  <c r="E48" i="26"/>
  <c r="E50" i="26" s="1"/>
  <c r="G46" i="26"/>
  <c r="G48" i="26" s="1"/>
  <c r="I55" i="27"/>
  <c r="I55" i="26"/>
  <c r="F55" i="26"/>
  <c r="F138" i="25"/>
  <c r="E138" i="25"/>
  <c r="E139" i="25" s="1"/>
  <c r="G107" i="25"/>
  <c r="H109" i="25"/>
  <c r="H111" i="25" s="1"/>
  <c r="W109" i="24"/>
  <c r="N111" i="24"/>
  <c r="W111" i="24" s="1"/>
  <c r="G128" i="24"/>
  <c r="G139" i="24" s="1"/>
  <c r="C138" i="24"/>
  <c r="H107" i="24"/>
  <c r="G139" i="22"/>
  <c r="E54" i="27" l="1"/>
  <c r="G52" i="27"/>
  <c r="H54" i="27"/>
  <c r="J52" i="27"/>
  <c r="E52" i="26"/>
  <c r="G50" i="26"/>
  <c r="H52" i="26"/>
  <c r="J50" i="26"/>
  <c r="G107" i="24"/>
  <c r="H109" i="24"/>
  <c r="H111" i="24" s="1"/>
  <c r="F138" i="24"/>
  <c r="E138" i="24"/>
  <c r="E139" i="24" s="1"/>
  <c r="H55" i="27" l="1"/>
  <c r="J54" i="27"/>
  <c r="J55" i="27" s="1"/>
  <c r="E55" i="27"/>
  <c r="G54" i="27"/>
  <c r="G55" i="27" s="1"/>
  <c r="H54" i="26"/>
  <c r="J52" i="26"/>
  <c r="E54" i="26"/>
  <c r="G52" i="26"/>
  <c r="E55" i="26" l="1"/>
  <c r="G54" i="26"/>
  <c r="G55" i="26" s="1"/>
  <c r="H55" i="26"/>
  <c r="J54" i="26"/>
  <c r="J55" i="26" s="1"/>
  <c r="G4" i="21" l="1"/>
  <c r="BC4" i="21" s="1"/>
  <c r="K4" i="21"/>
  <c r="K29" i="21" s="1"/>
  <c r="O4" i="21"/>
  <c r="O27" i="21" s="1"/>
  <c r="AZ4" i="21"/>
  <c r="AZ27" i="21" s="1"/>
  <c r="BA4" i="21"/>
  <c r="G5" i="21"/>
  <c r="K5" i="21"/>
  <c r="O5" i="21"/>
  <c r="BC5" i="21" s="1"/>
  <c r="AZ5" i="21"/>
  <c r="BA5" i="21"/>
  <c r="G6" i="21"/>
  <c r="J22" i="19" s="1"/>
  <c r="H22" i="19" s="1"/>
  <c r="K6" i="21"/>
  <c r="O6" i="21"/>
  <c r="AZ6" i="21"/>
  <c r="BA6" i="21"/>
  <c r="BC6" i="21"/>
  <c r="G7" i="21"/>
  <c r="BC7" i="21" s="1"/>
  <c r="K7" i="21"/>
  <c r="O7" i="21"/>
  <c r="AZ7" i="21"/>
  <c r="BA7" i="21"/>
  <c r="G8" i="21"/>
  <c r="BC8" i="21" s="1"/>
  <c r="K8" i="21"/>
  <c r="K24" i="19" s="1"/>
  <c r="O8" i="21"/>
  <c r="AZ8" i="21"/>
  <c r="BA8" i="21"/>
  <c r="G9" i="21"/>
  <c r="J25" i="19" s="1"/>
  <c r="K9" i="21"/>
  <c r="O9" i="21"/>
  <c r="BC9" i="21" s="1"/>
  <c r="AZ9" i="21"/>
  <c r="BA9" i="21"/>
  <c r="G10" i="21"/>
  <c r="K10" i="21"/>
  <c r="O10" i="21"/>
  <c r="AZ10" i="21"/>
  <c r="BA10" i="21"/>
  <c r="BC10" i="21"/>
  <c r="G11" i="21"/>
  <c r="BC11" i="21" s="1"/>
  <c r="K11" i="21"/>
  <c r="O11" i="21"/>
  <c r="AZ11" i="21"/>
  <c r="BA11" i="21"/>
  <c r="G12" i="21"/>
  <c r="BC12" i="21" s="1"/>
  <c r="K12" i="21"/>
  <c r="O12" i="21"/>
  <c r="AZ12" i="21"/>
  <c r="BA12" i="21"/>
  <c r="G13" i="21"/>
  <c r="K13" i="21"/>
  <c r="O13" i="21"/>
  <c r="BC13" i="21" s="1"/>
  <c r="AZ13" i="21"/>
  <c r="BA13" i="21"/>
  <c r="G14" i="21"/>
  <c r="K14" i="21"/>
  <c r="O14" i="21"/>
  <c r="AZ14" i="21"/>
  <c r="BA14" i="21"/>
  <c r="BA27" i="21" s="1"/>
  <c r="BC14" i="21"/>
  <c r="G15" i="21"/>
  <c r="BC15" i="21" s="1"/>
  <c r="K15" i="21"/>
  <c r="K27" i="21" s="1"/>
  <c r="O15" i="21"/>
  <c r="AZ15" i="21"/>
  <c r="BA15" i="21"/>
  <c r="G16" i="21"/>
  <c r="BC16" i="21" s="1"/>
  <c r="K16" i="21"/>
  <c r="O16" i="21"/>
  <c r="AZ16" i="21"/>
  <c r="BA16" i="21"/>
  <c r="G17" i="21"/>
  <c r="J33" i="19" s="1"/>
  <c r="K17" i="21"/>
  <c r="O17" i="21"/>
  <c r="L33" i="19" s="1"/>
  <c r="AZ17" i="21"/>
  <c r="BA17" i="21"/>
  <c r="BC17" i="21"/>
  <c r="G18" i="21"/>
  <c r="K18" i="21"/>
  <c r="O18" i="21"/>
  <c r="AZ18" i="21"/>
  <c r="BA18" i="21"/>
  <c r="BC18" i="21"/>
  <c r="G19" i="21"/>
  <c r="BC19" i="21" s="1"/>
  <c r="K19" i="21"/>
  <c r="O19" i="21"/>
  <c r="AZ19" i="21"/>
  <c r="BA19" i="21"/>
  <c r="G20" i="21"/>
  <c r="BC20" i="21" s="1"/>
  <c r="K20" i="21"/>
  <c r="O20" i="21"/>
  <c r="AZ20" i="21"/>
  <c r="BA20" i="21"/>
  <c r="G21" i="21"/>
  <c r="K21" i="21"/>
  <c r="O21" i="21"/>
  <c r="BC21" i="21" s="1"/>
  <c r="AZ21" i="21"/>
  <c r="BA21" i="21"/>
  <c r="G22" i="21"/>
  <c r="K22" i="21"/>
  <c r="O22" i="21"/>
  <c r="AZ22" i="21"/>
  <c r="BA22" i="21"/>
  <c r="BC22" i="21"/>
  <c r="G23" i="21"/>
  <c r="BC23" i="21" s="1"/>
  <c r="K23" i="21"/>
  <c r="K39" i="19" s="1"/>
  <c r="O23" i="21"/>
  <c r="AZ23" i="21"/>
  <c r="BA23" i="21"/>
  <c r="G24" i="21"/>
  <c r="BC24" i="21" s="1"/>
  <c r="K24" i="21"/>
  <c r="O24" i="21"/>
  <c r="AZ24" i="21"/>
  <c r="BA24" i="21"/>
  <c r="G25" i="21"/>
  <c r="K25" i="21"/>
  <c r="O25" i="21"/>
  <c r="L41" i="19" s="1"/>
  <c r="AZ25" i="21"/>
  <c r="BA25" i="21"/>
  <c r="BC25" i="21"/>
  <c r="AZ26" i="21"/>
  <c r="BA26" i="21"/>
  <c r="BC26" i="21"/>
  <c r="D27" i="21"/>
  <c r="E27" i="21"/>
  <c r="H27" i="21"/>
  <c r="K16" i="19" s="1"/>
  <c r="I27" i="21"/>
  <c r="L27" i="21"/>
  <c r="M27" i="21"/>
  <c r="BA28" i="21" s="1"/>
  <c r="P27" i="21"/>
  <c r="M16" i="19" s="1"/>
  <c r="Q27" i="21"/>
  <c r="S27" i="21"/>
  <c r="T27" i="21"/>
  <c r="U27" i="21"/>
  <c r="W27" i="21"/>
  <c r="X27" i="21"/>
  <c r="Y27" i="21"/>
  <c r="AA27" i="21"/>
  <c r="AB27" i="21"/>
  <c r="AC27" i="21"/>
  <c r="AE27" i="21"/>
  <c r="AF27" i="21"/>
  <c r="AG27" i="21"/>
  <c r="AI27" i="21"/>
  <c r="AJ27" i="21"/>
  <c r="AK27" i="21"/>
  <c r="AM27" i="21"/>
  <c r="AN27" i="21"/>
  <c r="AO27" i="21"/>
  <c r="AQ27" i="21"/>
  <c r="AR27" i="21"/>
  <c r="T16" i="19" s="1"/>
  <c r="AS27" i="21"/>
  <c r="AU27" i="21"/>
  <c r="AV27" i="21"/>
  <c r="AW27" i="21"/>
  <c r="AY27" i="21"/>
  <c r="D29" i="21"/>
  <c r="D32" i="21" s="1"/>
  <c r="G29" i="21"/>
  <c r="G32" i="21" s="1"/>
  <c r="H29" i="21"/>
  <c r="H32" i="21" s="1"/>
  <c r="L29" i="21"/>
  <c r="P29" i="21"/>
  <c r="S29" i="21"/>
  <c r="T29" i="21"/>
  <c r="T32" i="21" s="1"/>
  <c r="W29" i="21"/>
  <c r="W32" i="21" s="1"/>
  <c r="X29" i="21"/>
  <c r="AA29" i="21"/>
  <c r="AB29" i="21"/>
  <c r="AE29" i="21"/>
  <c r="AF29" i="21"/>
  <c r="AI29" i="21"/>
  <c r="AI32" i="21" s="1"/>
  <c r="AJ29" i="21"/>
  <c r="AJ32" i="21" s="1"/>
  <c r="AM29" i="21"/>
  <c r="AM32" i="21" s="1"/>
  <c r="AN29" i="21"/>
  <c r="AN32" i="21" s="1"/>
  <c r="AQ29" i="21"/>
  <c r="AR29" i="21"/>
  <c r="AR32" i="21" s="1"/>
  <c r="AU29" i="21"/>
  <c r="AV29" i="21"/>
  <c r="AY29" i="21"/>
  <c r="AZ29" i="21"/>
  <c r="AZ32" i="21" s="1"/>
  <c r="D31" i="21"/>
  <c r="G31" i="21"/>
  <c r="H31" i="21"/>
  <c r="L31" i="21"/>
  <c r="O31" i="21"/>
  <c r="P31" i="21"/>
  <c r="P32" i="21" s="1"/>
  <c r="S31" i="21"/>
  <c r="S32" i="21" s="1"/>
  <c r="T31" i="21"/>
  <c r="W31" i="21"/>
  <c r="X31" i="21"/>
  <c r="X32" i="21" s="1"/>
  <c r="AA31" i="21"/>
  <c r="AB31" i="21"/>
  <c r="AE31" i="21"/>
  <c r="AF31" i="21"/>
  <c r="AI31" i="21"/>
  <c r="AJ31" i="21"/>
  <c r="AM31" i="21"/>
  <c r="AN31" i="21"/>
  <c r="AQ31" i="21"/>
  <c r="AQ32" i="21" s="1"/>
  <c r="AR31" i="21"/>
  <c r="AU31" i="21"/>
  <c r="AV31" i="21"/>
  <c r="AV32" i="21" s="1"/>
  <c r="AY31" i="21"/>
  <c r="AY32" i="21" s="1"/>
  <c r="AZ31" i="21"/>
  <c r="L32" i="21"/>
  <c r="AA32" i="21"/>
  <c r="AB32" i="21"/>
  <c r="AE32" i="21"/>
  <c r="AF32" i="21"/>
  <c r="AU32" i="21"/>
  <c r="A1" i="20"/>
  <c r="A2" i="20"/>
  <c r="Q2" i="20"/>
  <c r="F5" i="20"/>
  <c r="F26" i="20" s="1"/>
  <c r="I5" i="20"/>
  <c r="I13" i="20" s="1"/>
  <c r="R13" i="20"/>
  <c r="I14" i="20"/>
  <c r="I15" i="20"/>
  <c r="S16" i="20"/>
  <c r="I17" i="20"/>
  <c r="I18" i="20"/>
  <c r="I19" i="20"/>
  <c r="I20" i="20"/>
  <c r="I23" i="20"/>
  <c r="I29" i="20" s="1"/>
  <c r="I25" i="20"/>
  <c r="I26" i="20"/>
  <c r="I28" i="20"/>
  <c r="I31" i="20"/>
  <c r="I33" i="20" s="1"/>
  <c r="R31" i="20"/>
  <c r="I32" i="20"/>
  <c r="I35" i="20"/>
  <c r="I37" i="20" s="1"/>
  <c r="S35" i="20"/>
  <c r="I36" i="20"/>
  <c r="I40" i="20"/>
  <c r="I43" i="20" s="1"/>
  <c r="F41" i="20"/>
  <c r="I41" i="20"/>
  <c r="I42" i="20"/>
  <c r="R42" i="20"/>
  <c r="S42" i="20"/>
  <c r="F45" i="20"/>
  <c r="I45" i="20"/>
  <c r="I48" i="20" s="1"/>
  <c r="I47" i="20"/>
  <c r="C1" i="19"/>
  <c r="B2" i="19"/>
  <c r="B1" i="20" s="1"/>
  <c r="A1" i="21" s="1"/>
  <c r="I3" i="19"/>
  <c r="J13" i="19"/>
  <c r="K13" i="19"/>
  <c r="L13" i="19"/>
  <c r="M13" i="19"/>
  <c r="N13" i="19"/>
  <c r="O13" i="19"/>
  <c r="P13" i="19"/>
  <c r="Q13" i="19"/>
  <c r="R13" i="19"/>
  <c r="S13" i="19"/>
  <c r="T13" i="19"/>
  <c r="U13" i="19"/>
  <c r="W13" i="19"/>
  <c r="L14" i="19"/>
  <c r="U14" i="19"/>
  <c r="X14" i="19"/>
  <c r="X15" i="19"/>
  <c r="J16" i="19"/>
  <c r="L16" i="19"/>
  <c r="N16" i="19"/>
  <c r="O16" i="19"/>
  <c r="P16" i="19"/>
  <c r="Q16" i="19"/>
  <c r="R16" i="19"/>
  <c r="S16" i="19"/>
  <c r="U16" i="19"/>
  <c r="X16" i="19"/>
  <c r="L20" i="19"/>
  <c r="M20" i="19"/>
  <c r="N20" i="19"/>
  <c r="O20" i="19"/>
  <c r="P20" i="19"/>
  <c r="Q20" i="19"/>
  <c r="R20" i="19"/>
  <c r="R44" i="19" s="1"/>
  <c r="S20" i="19"/>
  <c r="T20" i="19"/>
  <c r="U20" i="19"/>
  <c r="J21" i="19"/>
  <c r="H21" i="19" s="1"/>
  <c r="K21" i="19"/>
  <c r="L21" i="19"/>
  <c r="M21" i="19"/>
  <c r="N21" i="19"/>
  <c r="O21" i="19"/>
  <c r="P21" i="19"/>
  <c r="Q21" i="19"/>
  <c r="R21" i="19"/>
  <c r="S21" i="19"/>
  <c r="T21" i="19"/>
  <c r="U21" i="19"/>
  <c r="K22" i="19"/>
  <c r="L22" i="19"/>
  <c r="M22" i="19"/>
  <c r="N22" i="19"/>
  <c r="N46" i="19" s="1"/>
  <c r="N104" i="19" s="1"/>
  <c r="O22" i="19"/>
  <c r="P22" i="19"/>
  <c r="Q22" i="19"/>
  <c r="R22" i="19"/>
  <c r="S22" i="19"/>
  <c r="T22" i="19"/>
  <c r="U22" i="19"/>
  <c r="K23" i="19"/>
  <c r="L23" i="19"/>
  <c r="M23" i="19"/>
  <c r="N23" i="19"/>
  <c r="O23" i="19"/>
  <c r="P23" i="19"/>
  <c r="Q23" i="19"/>
  <c r="R23" i="19"/>
  <c r="S23" i="19"/>
  <c r="T23" i="19"/>
  <c r="U23" i="19"/>
  <c r="J24" i="19"/>
  <c r="L24" i="19"/>
  <c r="M24" i="19"/>
  <c r="N24" i="19"/>
  <c r="O24" i="19"/>
  <c r="P24" i="19"/>
  <c r="Q24" i="19"/>
  <c r="R24" i="19"/>
  <c r="S24" i="19"/>
  <c r="T24" i="19"/>
  <c r="U24" i="19"/>
  <c r="K25" i="19"/>
  <c r="M25" i="19"/>
  <c r="N25" i="19"/>
  <c r="O25" i="19"/>
  <c r="P25" i="19"/>
  <c r="Q25" i="19"/>
  <c r="R25" i="19"/>
  <c r="S25" i="19"/>
  <c r="T25" i="19"/>
  <c r="U25" i="19"/>
  <c r="J26" i="19"/>
  <c r="K26" i="19"/>
  <c r="L26" i="19"/>
  <c r="M26" i="19"/>
  <c r="N26" i="19"/>
  <c r="O26" i="19"/>
  <c r="P26" i="19"/>
  <c r="Q26" i="19"/>
  <c r="R26" i="19"/>
  <c r="S26" i="19"/>
  <c r="T26" i="19"/>
  <c r="U26" i="19"/>
  <c r="J27" i="19"/>
  <c r="K27" i="19"/>
  <c r="L27" i="19"/>
  <c r="M27" i="19"/>
  <c r="N27" i="19"/>
  <c r="O27" i="19"/>
  <c r="P27" i="19"/>
  <c r="Q27" i="19"/>
  <c r="R27" i="19"/>
  <c r="S27" i="19"/>
  <c r="T27" i="19"/>
  <c r="U27" i="19"/>
  <c r="K28" i="19"/>
  <c r="L28" i="19"/>
  <c r="M28" i="19"/>
  <c r="N28" i="19"/>
  <c r="O28" i="19"/>
  <c r="P28" i="19"/>
  <c r="Q28" i="19"/>
  <c r="R28" i="19"/>
  <c r="S28" i="19"/>
  <c r="T28" i="19"/>
  <c r="U28" i="19"/>
  <c r="J29" i="19"/>
  <c r="K29" i="19"/>
  <c r="L29" i="19"/>
  <c r="M29" i="19"/>
  <c r="N29" i="19"/>
  <c r="O29" i="19"/>
  <c r="O43" i="19" s="1"/>
  <c r="P29" i="19"/>
  <c r="Q29" i="19"/>
  <c r="R29" i="19"/>
  <c r="S29" i="19"/>
  <c r="T29" i="19"/>
  <c r="U29" i="19"/>
  <c r="J30" i="19"/>
  <c r="K30" i="19"/>
  <c r="L30" i="19"/>
  <c r="M30" i="19"/>
  <c r="N30" i="19"/>
  <c r="O30" i="19"/>
  <c r="P30" i="19"/>
  <c r="Q30" i="19"/>
  <c r="R30" i="19"/>
  <c r="S30" i="19"/>
  <c r="T30" i="19"/>
  <c r="U30" i="19"/>
  <c r="J31" i="19"/>
  <c r="L31" i="19"/>
  <c r="M31" i="19"/>
  <c r="N31" i="19"/>
  <c r="O31" i="19"/>
  <c r="P31" i="19"/>
  <c r="Q31" i="19"/>
  <c r="R31" i="19"/>
  <c r="S31" i="19"/>
  <c r="T31" i="19"/>
  <c r="U31" i="19"/>
  <c r="J32" i="19"/>
  <c r="K32" i="19"/>
  <c r="L32" i="19"/>
  <c r="M32" i="19"/>
  <c r="N32" i="19"/>
  <c r="O32" i="19"/>
  <c r="P32" i="19"/>
  <c r="Q32" i="19"/>
  <c r="R32" i="19"/>
  <c r="S32" i="19"/>
  <c r="T32" i="19"/>
  <c r="U32" i="19"/>
  <c r="K33" i="19"/>
  <c r="M33" i="19"/>
  <c r="N33" i="19"/>
  <c r="O33" i="19"/>
  <c r="P33" i="19"/>
  <c r="Q33" i="19"/>
  <c r="R33" i="19"/>
  <c r="S33" i="19"/>
  <c r="T33" i="19"/>
  <c r="U33" i="19"/>
  <c r="J34" i="19"/>
  <c r="K34" i="19"/>
  <c r="L34" i="19"/>
  <c r="M34" i="19"/>
  <c r="N34" i="19"/>
  <c r="O34" i="19"/>
  <c r="P34" i="19"/>
  <c r="Q34" i="19"/>
  <c r="R34" i="19"/>
  <c r="S34" i="19"/>
  <c r="T34" i="19"/>
  <c r="U34" i="19"/>
  <c r="J35" i="19"/>
  <c r="K35" i="19"/>
  <c r="L35" i="19"/>
  <c r="M35" i="19"/>
  <c r="N35" i="19"/>
  <c r="O35" i="19"/>
  <c r="P35" i="19"/>
  <c r="Q35" i="19"/>
  <c r="R35" i="19"/>
  <c r="S35" i="19"/>
  <c r="T35" i="19"/>
  <c r="U35" i="19"/>
  <c r="K36" i="19"/>
  <c r="L36" i="19"/>
  <c r="M36" i="19"/>
  <c r="N36" i="19"/>
  <c r="O36" i="19"/>
  <c r="P36" i="19"/>
  <c r="Q36" i="19"/>
  <c r="R36" i="19"/>
  <c r="S36" i="19"/>
  <c r="T36" i="19"/>
  <c r="U36" i="19"/>
  <c r="J37" i="19"/>
  <c r="K37" i="19"/>
  <c r="L37" i="19"/>
  <c r="M37" i="19"/>
  <c r="N37" i="19"/>
  <c r="O37" i="19"/>
  <c r="P37" i="19"/>
  <c r="Q37" i="19"/>
  <c r="R37" i="19"/>
  <c r="S37" i="19"/>
  <c r="T37" i="19"/>
  <c r="U37" i="19"/>
  <c r="J38" i="19"/>
  <c r="K38" i="19"/>
  <c r="L38" i="19"/>
  <c r="M38" i="19"/>
  <c r="N38" i="19"/>
  <c r="O38" i="19"/>
  <c r="P38" i="19"/>
  <c r="Q38" i="19"/>
  <c r="R38" i="19"/>
  <c r="S38" i="19"/>
  <c r="T38" i="19"/>
  <c r="U38" i="19"/>
  <c r="J39" i="19"/>
  <c r="L39" i="19"/>
  <c r="M39" i="19"/>
  <c r="N39" i="19"/>
  <c r="O39" i="19"/>
  <c r="P39" i="19"/>
  <c r="Q39" i="19"/>
  <c r="R39" i="19"/>
  <c r="S39" i="19"/>
  <c r="T39" i="19"/>
  <c r="U39" i="19"/>
  <c r="J40" i="19"/>
  <c r="K40" i="19"/>
  <c r="L40" i="19"/>
  <c r="M40" i="19"/>
  <c r="N40" i="19"/>
  <c r="O40" i="19"/>
  <c r="P40" i="19"/>
  <c r="Q40" i="19"/>
  <c r="R40" i="19"/>
  <c r="S40" i="19"/>
  <c r="T40" i="19"/>
  <c r="U40" i="19"/>
  <c r="J41" i="19"/>
  <c r="K41" i="19"/>
  <c r="M41" i="19"/>
  <c r="N41" i="19"/>
  <c r="O41" i="19"/>
  <c r="P41" i="19"/>
  <c r="Q41" i="19"/>
  <c r="R41" i="19"/>
  <c r="S41" i="19"/>
  <c r="T41" i="19"/>
  <c r="U41" i="19"/>
  <c r="C42" i="19"/>
  <c r="C43" i="19"/>
  <c r="C44" i="19"/>
  <c r="H51" i="19"/>
  <c r="H56" i="19"/>
  <c r="H78" i="19" s="1"/>
  <c r="H58" i="19"/>
  <c r="H59" i="19"/>
  <c r="H60" i="19"/>
  <c r="H61" i="19"/>
  <c r="H62" i="19"/>
  <c r="H63" i="19"/>
  <c r="H64" i="19"/>
  <c r="H65" i="19"/>
  <c r="H66" i="19"/>
  <c r="H67" i="19"/>
  <c r="H68" i="19"/>
  <c r="H69" i="19"/>
  <c r="H70" i="19"/>
  <c r="H71" i="19"/>
  <c r="H72" i="19"/>
  <c r="H73" i="19"/>
  <c r="H74" i="19"/>
  <c r="H75" i="19"/>
  <c r="H76" i="19"/>
  <c r="H77" i="19"/>
  <c r="W78" i="19"/>
  <c r="H82" i="19"/>
  <c r="H83" i="19"/>
  <c r="H84" i="19"/>
  <c r="H85" i="19"/>
  <c r="H86" i="19"/>
  <c r="H87" i="19"/>
  <c r="H88" i="19"/>
  <c r="H89" i="19"/>
  <c r="H90" i="19"/>
  <c r="J91" i="19"/>
  <c r="K91" i="19"/>
  <c r="L91" i="19"/>
  <c r="M91" i="19"/>
  <c r="N91" i="19"/>
  <c r="O91" i="19"/>
  <c r="P91" i="19"/>
  <c r="Q91" i="19"/>
  <c r="R91" i="19"/>
  <c r="S91" i="19"/>
  <c r="T91" i="19"/>
  <c r="U91" i="19"/>
  <c r="H92" i="19"/>
  <c r="H93" i="19"/>
  <c r="J94" i="19"/>
  <c r="K94" i="19"/>
  <c r="L94" i="19"/>
  <c r="M94" i="19"/>
  <c r="N94" i="19"/>
  <c r="O94" i="19"/>
  <c r="P94" i="19"/>
  <c r="Q94" i="19"/>
  <c r="R94" i="19"/>
  <c r="S94" i="19"/>
  <c r="T94" i="19"/>
  <c r="U94" i="19"/>
  <c r="J95" i="19"/>
  <c r="H95" i="19" s="1"/>
  <c r="C134" i="19" s="1"/>
  <c r="K95" i="19"/>
  <c r="L95" i="19"/>
  <c r="M95" i="19"/>
  <c r="N95" i="19"/>
  <c r="O95" i="19"/>
  <c r="P95" i="19"/>
  <c r="Q95" i="19"/>
  <c r="R95" i="19"/>
  <c r="S95" i="19"/>
  <c r="T95" i="19"/>
  <c r="U95" i="19"/>
  <c r="H96" i="19"/>
  <c r="H97" i="19"/>
  <c r="H98" i="19"/>
  <c r="H99" i="19"/>
  <c r="H100" i="19"/>
  <c r="H101" i="19"/>
  <c r="H102" i="19"/>
  <c r="N103" i="19"/>
  <c r="U103" i="19"/>
  <c r="J105" i="19"/>
  <c r="L105" i="19"/>
  <c r="N105" i="19"/>
  <c r="G115" i="19"/>
  <c r="G119" i="19"/>
  <c r="G120" i="19"/>
  <c r="C135" i="19"/>
  <c r="C136" i="19"/>
  <c r="H142" i="19"/>
  <c r="H143" i="19"/>
  <c r="H144" i="19"/>
  <c r="H145" i="19"/>
  <c r="H146" i="19"/>
  <c r="H147" i="19"/>
  <c r="H148" i="19"/>
  <c r="H149" i="19"/>
  <c r="H150" i="19"/>
  <c r="H151" i="19"/>
  <c r="H152" i="19"/>
  <c r="H153" i="19"/>
  <c r="H154" i="19"/>
  <c r="H155" i="19"/>
  <c r="H156" i="19"/>
  <c r="H157" i="19"/>
  <c r="H158" i="19"/>
  <c r="H159" i="19"/>
  <c r="H160" i="19"/>
  <c r="H161" i="19"/>
  <c r="H162" i="19"/>
  <c r="H163" i="19"/>
  <c r="H164" i="19"/>
  <c r="H165" i="19"/>
  <c r="H166" i="19"/>
  <c r="H167" i="19"/>
  <c r="H168" i="19"/>
  <c r="H169" i="19"/>
  <c r="H170" i="19"/>
  <c r="H171" i="19"/>
  <c r="J173" i="19"/>
  <c r="K173" i="19"/>
  <c r="L173" i="19"/>
  <c r="M173" i="19"/>
  <c r="N173" i="19"/>
  <c r="O173" i="19"/>
  <c r="P173" i="19"/>
  <c r="Q173" i="19"/>
  <c r="R173" i="19"/>
  <c r="S173" i="19"/>
  <c r="T173" i="19"/>
  <c r="U173" i="19"/>
  <c r="I3" i="18"/>
  <c r="J13" i="18"/>
  <c r="K13" i="18"/>
  <c r="L13" i="18"/>
  <c r="M13" i="18"/>
  <c r="U13" i="18"/>
  <c r="W13" i="18"/>
  <c r="J14" i="18"/>
  <c r="K14" i="18"/>
  <c r="L14" i="18"/>
  <c r="M14" i="18"/>
  <c r="N14" i="18"/>
  <c r="O14" i="18"/>
  <c r="P14" i="18"/>
  <c r="Q14" i="18"/>
  <c r="R14" i="18"/>
  <c r="S14" i="18"/>
  <c r="T14" i="18"/>
  <c r="U14" i="18"/>
  <c r="X14" i="18"/>
  <c r="K15" i="18"/>
  <c r="L15" i="18"/>
  <c r="M15" i="18"/>
  <c r="O15" i="18"/>
  <c r="P15" i="18"/>
  <c r="R15" i="18"/>
  <c r="U15" i="18"/>
  <c r="X15" i="18"/>
  <c r="J16" i="18"/>
  <c r="J15" i="18" s="1"/>
  <c r="K16" i="18"/>
  <c r="L16" i="18"/>
  <c r="M16" i="18"/>
  <c r="M57" i="18" s="1"/>
  <c r="N16" i="18"/>
  <c r="N20" i="18" s="1"/>
  <c r="O16" i="18"/>
  <c r="O66" i="18" s="1"/>
  <c r="P16" i="18"/>
  <c r="Q16" i="18"/>
  <c r="Q56" i="18" s="1"/>
  <c r="R16" i="18"/>
  <c r="R20" i="18" s="1"/>
  <c r="S16" i="18"/>
  <c r="S15" i="18" s="1"/>
  <c r="T16" i="18"/>
  <c r="T67" i="18" s="1"/>
  <c r="U16" i="18"/>
  <c r="X16" i="18"/>
  <c r="K20" i="18"/>
  <c r="L20" i="18"/>
  <c r="M20" i="18"/>
  <c r="O20" i="18"/>
  <c r="P20" i="18"/>
  <c r="Q20" i="18"/>
  <c r="S20" i="18"/>
  <c r="U20" i="18"/>
  <c r="X20" i="18"/>
  <c r="K21" i="18"/>
  <c r="K46" i="18" s="1"/>
  <c r="L21" i="18"/>
  <c r="M21" i="18"/>
  <c r="O21" i="18"/>
  <c r="P21" i="18"/>
  <c r="P44" i="18" s="1"/>
  <c r="Q21" i="18"/>
  <c r="S21" i="18"/>
  <c r="U21" i="18"/>
  <c r="X21" i="18"/>
  <c r="K22" i="18"/>
  <c r="L22" i="18"/>
  <c r="M22" i="18"/>
  <c r="O22" i="18"/>
  <c r="O44" i="18" s="1"/>
  <c r="P22" i="18"/>
  <c r="Q22" i="18"/>
  <c r="S22" i="18"/>
  <c r="U22" i="18"/>
  <c r="U46" i="18" s="1"/>
  <c r="U104" i="18" s="1"/>
  <c r="X22" i="18"/>
  <c r="K23" i="18"/>
  <c r="L23" i="18"/>
  <c r="M23" i="18"/>
  <c r="O23" i="18"/>
  <c r="P23" i="18"/>
  <c r="Q23" i="18"/>
  <c r="S23" i="18"/>
  <c r="U23" i="18"/>
  <c r="X23" i="18"/>
  <c r="K24" i="18"/>
  <c r="L24" i="18"/>
  <c r="M24" i="18"/>
  <c r="O24" i="18"/>
  <c r="P24" i="18"/>
  <c r="Q24" i="18"/>
  <c r="S24" i="18"/>
  <c r="U24" i="18"/>
  <c r="X24" i="18"/>
  <c r="K25" i="18"/>
  <c r="L25" i="18"/>
  <c r="M25" i="18"/>
  <c r="O25" i="18"/>
  <c r="P25" i="18"/>
  <c r="Q25" i="18"/>
  <c r="S25" i="18"/>
  <c r="U25" i="18"/>
  <c r="X25" i="18"/>
  <c r="K26" i="18"/>
  <c r="L26" i="18"/>
  <c r="M26" i="18"/>
  <c r="N26" i="18"/>
  <c r="O26" i="18"/>
  <c r="P26" i="18"/>
  <c r="Q26" i="18"/>
  <c r="S26" i="18"/>
  <c r="U26" i="18"/>
  <c r="X26" i="18"/>
  <c r="K27" i="18"/>
  <c r="L27" i="18"/>
  <c r="M27" i="18"/>
  <c r="N27" i="18"/>
  <c r="O27" i="18"/>
  <c r="P27" i="18"/>
  <c r="Q27" i="18"/>
  <c r="S27" i="18"/>
  <c r="U27" i="18"/>
  <c r="X27" i="18"/>
  <c r="K28" i="18"/>
  <c r="K43" i="18" s="1"/>
  <c r="L28" i="18"/>
  <c r="M28" i="18"/>
  <c r="N28" i="18"/>
  <c r="N43" i="18" s="1"/>
  <c r="O28" i="18"/>
  <c r="P28" i="18"/>
  <c r="Q28" i="18"/>
  <c r="S28" i="18"/>
  <c r="U28" i="18"/>
  <c r="X28" i="18"/>
  <c r="K29" i="18"/>
  <c r="L29" i="18"/>
  <c r="M29" i="18"/>
  <c r="N29" i="18"/>
  <c r="O29" i="18"/>
  <c r="O43" i="18" s="1"/>
  <c r="P29" i="18"/>
  <c r="P43" i="18" s="1"/>
  <c r="Q29" i="18"/>
  <c r="S29" i="18"/>
  <c r="U29" i="18"/>
  <c r="X29" i="18"/>
  <c r="K30" i="18"/>
  <c r="L30" i="18"/>
  <c r="M30" i="18"/>
  <c r="N30" i="18"/>
  <c r="O30" i="18"/>
  <c r="P30" i="18"/>
  <c r="Q30" i="18"/>
  <c r="S30" i="18"/>
  <c r="U30" i="18"/>
  <c r="X30" i="18"/>
  <c r="K31" i="18"/>
  <c r="L31" i="18"/>
  <c r="L43" i="18" s="1"/>
  <c r="M31" i="18"/>
  <c r="N31" i="18"/>
  <c r="O31" i="18"/>
  <c r="P31" i="18"/>
  <c r="Q31" i="18"/>
  <c r="S31" i="18"/>
  <c r="U31" i="18"/>
  <c r="X31" i="18"/>
  <c r="K32" i="18"/>
  <c r="L32" i="18"/>
  <c r="M32" i="18"/>
  <c r="N32" i="18"/>
  <c r="O32" i="18"/>
  <c r="P32" i="18"/>
  <c r="Q32" i="18"/>
  <c r="S32" i="18"/>
  <c r="U32" i="18"/>
  <c r="X32" i="18"/>
  <c r="K33" i="18"/>
  <c r="L33" i="18"/>
  <c r="M33" i="18"/>
  <c r="N33" i="18"/>
  <c r="O33" i="18"/>
  <c r="P33" i="18"/>
  <c r="Q33" i="18"/>
  <c r="S33" i="18"/>
  <c r="U33" i="18"/>
  <c r="X33" i="18"/>
  <c r="K34" i="18"/>
  <c r="L34" i="18"/>
  <c r="M34" i="18"/>
  <c r="N34" i="18"/>
  <c r="O34" i="18"/>
  <c r="P34" i="18"/>
  <c r="Q34" i="18"/>
  <c r="S34" i="18"/>
  <c r="U34" i="18"/>
  <c r="X34" i="18"/>
  <c r="K35" i="18"/>
  <c r="L35" i="18"/>
  <c r="M35" i="18"/>
  <c r="N35" i="18"/>
  <c r="O35" i="18"/>
  <c r="P35" i="18"/>
  <c r="Q35" i="18"/>
  <c r="S35" i="18"/>
  <c r="U35" i="18"/>
  <c r="U43" i="18" s="1"/>
  <c r="X35" i="18"/>
  <c r="K36" i="18"/>
  <c r="L36" i="18"/>
  <c r="M36" i="18"/>
  <c r="N36" i="18"/>
  <c r="O36" i="18"/>
  <c r="P36" i="18"/>
  <c r="Q36" i="18"/>
  <c r="S36" i="18"/>
  <c r="U36" i="18"/>
  <c r="X36" i="18"/>
  <c r="K37" i="18"/>
  <c r="L37" i="18"/>
  <c r="M37" i="18"/>
  <c r="N37" i="18"/>
  <c r="O37" i="18"/>
  <c r="P37" i="18"/>
  <c r="Q37" i="18"/>
  <c r="R37" i="18"/>
  <c r="S37" i="18"/>
  <c r="U37" i="18"/>
  <c r="X37" i="18"/>
  <c r="K38" i="18"/>
  <c r="L38" i="18"/>
  <c r="M38" i="18"/>
  <c r="N38" i="18"/>
  <c r="O38" i="18"/>
  <c r="P38" i="18"/>
  <c r="Q38" i="18"/>
  <c r="R38" i="18"/>
  <c r="S38" i="18"/>
  <c r="U38" i="18"/>
  <c r="X38" i="18"/>
  <c r="K39" i="18"/>
  <c r="L39" i="18"/>
  <c r="M39" i="18"/>
  <c r="N39" i="18"/>
  <c r="O39" i="18"/>
  <c r="P39" i="18"/>
  <c r="Q39" i="18"/>
  <c r="R39" i="18"/>
  <c r="S39" i="18"/>
  <c r="U39" i="18"/>
  <c r="X39" i="18"/>
  <c r="K40" i="18"/>
  <c r="L40" i="18"/>
  <c r="M40" i="18"/>
  <c r="N40" i="18"/>
  <c r="O40" i="18"/>
  <c r="P40" i="18"/>
  <c r="Q40" i="18"/>
  <c r="R40" i="18"/>
  <c r="S40" i="18"/>
  <c r="U40" i="18"/>
  <c r="X40" i="18"/>
  <c r="J41" i="18"/>
  <c r="K41" i="18"/>
  <c r="L41" i="18"/>
  <c r="M41" i="18"/>
  <c r="N41" i="18"/>
  <c r="O41" i="18"/>
  <c r="P41" i="18"/>
  <c r="Q41" i="18"/>
  <c r="R41" i="18"/>
  <c r="S41" i="18"/>
  <c r="T41" i="18"/>
  <c r="U41" i="18"/>
  <c r="X41" i="18"/>
  <c r="C42" i="18"/>
  <c r="C43" i="18"/>
  <c r="C44" i="18"/>
  <c r="L46" i="18"/>
  <c r="K51" i="18"/>
  <c r="L51" i="18"/>
  <c r="M51" i="18"/>
  <c r="U51" i="18"/>
  <c r="K56" i="18"/>
  <c r="L56" i="18"/>
  <c r="M56" i="18"/>
  <c r="N56" i="18"/>
  <c r="O56" i="18"/>
  <c r="S56" i="18"/>
  <c r="U56" i="18"/>
  <c r="J57" i="18"/>
  <c r="K57" i="18"/>
  <c r="L57" i="18"/>
  <c r="P57" i="18"/>
  <c r="Q57" i="18"/>
  <c r="R57" i="18"/>
  <c r="U57" i="18"/>
  <c r="J58" i="18"/>
  <c r="K58" i="18"/>
  <c r="L58" i="18"/>
  <c r="M58" i="18"/>
  <c r="N58" i="18"/>
  <c r="O58" i="18"/>
  <c r="P58" i="18"/>
  <c r="Q58" i="18"/>
  <c r="R58" i="18"/>
  <c r="S58" i="18"/>
  <c r="T58" i="18"/>
  <c r="U58" i="18"/>
  <c r="K59" i="18"/>
  <c r="L59" i="18"/>
  <c r="M59" i="18"/>
  <c r="N59" i="18"/>
  <c r="O59" i="18"/>
  <c r="P59" i="18"/>
  <c r="Q59" i="18"/>
  <c r="R59" i="18"/>
  <c r="U59" i="18"/>
  <c r="J60" i="18"/>
  <c r="K60" i="18"/>
  <c r="L60" i="18"/>
  <c r="M60" i="18"/>
  <c r="N60" i="18"/>
  <c r="O60" i="18"/>
  <c r="P60" i="18"/>
  <c r="Q60" i="18"/>
  <c r="R60" i="18"/>
  <c r="S60" i="18"/>
  <c r="T60" i="18"/>
  <c r="U60" i="18"/>
  <c r="J61" i="18"/>
  <c r="K61" i="18"/>
  <c r="L61" i="18"/>
  <c r="M61" i="18"/>
  <c r="N61" i="18"/>
  <c r="O61" i="18"/>
  <c r="P61" i="18"/>
  <c r="Q61" i="18"/>
  <c r="R61" i="18"/>
  <c r="S61" i="18"/>
  <c r="T61" i="18"/>
  <c r="U61" i="18"/>
  <c r="J62" i="18"/>
  <c r="K62" i="18"/>
  <c r="L62" i="18"/>
  <c r="M62" i="18"/>
  <c r="N62" i="18"/>
  <c r="O62" i="18"/>
  <c r="P62" i="18"/>
  <c r="Q62" i="18"/>
  <c r="R62" i="18"/>
  <c r="S62" i="18"/>
  <c r="T62" i="18"/>
  <c r="U62" i="18"/>
  <c r="J63" i="18"/>
  <c r="H63" i="18" s="1"/>
  <c r="K63" i="18"/>
  <c r="L63" i="18"/>
  <c r="M63" i="18"/>
  <c r="N63" i="18"/>
  <c r="O63" i="18"/>
  <c r="P63" i="18"/>
  <c r="Q63" i="18"/>
  <c r="R63" i="18"/>
  <c r="S63" i="18"/>
  <c r="T63" i="18"/>
  <c r="U63" i="18"/>
  <c r="J64" i="18"/>
  <c r="K64" i="18"/>
  <c r="L64" i="18"/>
  <c r="M64" i="18"/>
  <c r="N64" i="18"/>
  <c r="O64" i="18"/>
  <c r="P64" i="18"/>
  <c r="Q64" i="18"/>
  <c r="R64" i="18"/>
  <c r="S64" i="18"/>
  <c r="T64" i="18"/>
  <c r="U64" i="18"/>
  <c r="J65" i="18"/>
  <c r="K65" i="18"/>
  <c r="L65" i="18"/>
  <c r="M65" i="18"/>
  <c r="N65" i="18"/>
  <c r="O65" i="18"/>
  <c r="P65" i="18"/>
  <c r="Q65" i="18"/>
  <c r="R65" i="18"/>
  <c r="S65" i="18"/>
  <c r="T65" i="18"/>
  <c r="U65" i="18"/>
  <c r="K66" i="18"/>
  <c r="L66" i="18"/>
  <c r="M66" i="18"/>
  <c r="Q66" i="18"/>
  <c r="R66" i="18"/>
  <c r="S66" i="18"/>
  <c r="T66" i="18"/>
  <c r="U66" i="18"/>
  <c r="J67" i="18"/>
  <c r="K67" i="18"/>
  <c r="L67" i="18"/>
  <c r="M67" i="18"/>
  <c r="N67" i="18"/>
  <c r="O67" i="18"/>
  <c r="P67" i="18"/>
  <c r="U67" i="18"/>
  <c r="J68" i="18"/>
  <c r="K68" i="18"/>
  <c r="L68" i="18"/>
  <c r="M68" i="18"/>
  <c r="Q68" i="18"/>
  <c r="R68" i="18"/>
  <c r="S68" i="18"/>
  <c r="U68" i="18"/>
  <c r="J69" i="18"/>
  <c r="K69" i="18"/>
  <c r="L69" i="18"/>
  <c r="M69" i="18"/>
  <c r="N69" i="18"/>
  <c r="O69" i="18"/>
  <c r="P69" i="18"/>
  <c r="U69" i="18"/>
  <c r="K70" i="18"/>
  <c r="L70" i="18"/>
  <c r="M70" i="18"/>
  <c r="N70" i="18"/>
  <c r="O70" i="18"/>
  <c r="P70" i="18"/>
  <c r="Q70" i="18"/>
  <c r="R70" i="18"/>
  <c r="S70" i="18"/>
  <c r="U70" i="18"/>
  <c r="J71" i="18"/>
  <c r="K71" i="18"/>
  <c r="L71" i="18"/>
  <c r="P71" i="18"/>
  <c r="Q71" i="18"/>
  <c r="R71" i="18"/>
  <c r="S71" i="18"/>
  <c r="T71" i="18"/>
  <c r="U71" i="18"/>
  <c r="J72" i="18"/>
  <c r="K72" i="18"/>
  <c r="L72" i="18"/>
  <c r="H72" i="18" s="1"/>
  <c r="M72" i="18"/>
  <c r="N72" i="18"/>
  <c r="O72" i="18"/>
  <c r="P72" i="18"/>
  <c r="Q72" i="18"/>
  <c r="R72" i="18"/>
  <c r="S72" i="18"/>
  <c r="T72" i="18"/>
  <c r="U72" i="18"/>
  <c r="J73" i="18"/>
  <c r="K73" i="18"/>
  <c r="L73" i="18"/>
  <c r="M73" i="18"/>
  <c r="N73" i="18"/>
  <c r="O73" i="18"/>
  <c r="P73" i="18"/>
  <c r="Q73" i="18"/>
  <c r="R73" i="18"/>
  <c r="S73" i="18"/>
  <c r="T73" i="18"/>
  <c r="U73" i="18"/>
  <c r="J74" i="18"/>
  <c r="H74" i="18" s="1"/>
  <c r="K74" i="18"/>
  <c r="L74" i="18"/>
  <c r="M74" i="18"/>
  <c r="N74" i="18"/>
  <c r="O74" i="18"/>
  <c r="P74" i="18"/>
  <c r="Q74" i="18"/>
  <c r="R74" i="18"/>
  <c r="S74" i="18"/>
  <c r="T74" i="18"/>
  <c r="U74" i="18"/>
  <c r="J75" i="18"/>
  <c r="K75" i="18"/>
  <c r="L75" i="18"/>
  <c r="M75" i="18"/>
  <c r="N75" i="18"/>
  <c r="O75" i="18"/>
  <c r="P75" i="18"/>
  <c r="Q75" i="18"/>
  <c r="R75" i="18"/>
  <c r="S75" i="18"/>
  <c r="T75" i="18"/>
  <c r="U75" i="18"/>
  <c r="J76" i="18"/>
  <c r="K76" i="18"/>
  <c r="L76" i="18"/>
  <c r="M76" i="18"/>
  <c r="N76" i="18"/>
  <c r="O76" i="18"/>
  <c r="P76" i="18"/>
  <c r="Q76" i="18"/>
  <c r="R76" i="18"/>
  <c r="S76" i="18"/>
  <c r="T76" i="18"/>
  <c r="U76" i="18"/>
  <c r="J77" i="18"/>
  <c r="H77" i="18" s="1"/>
  <c r="K77" i="18"/>
  <c r="L77" i="18"/>
  <c r="M77" i="18"/>
  <c r="N77" i="18"/>
  <c r="O77" i="18"/>
  <c r="P77" i="18"/>
  <c r="Q77" i="18"/>
  <c r="R77" i="18"/>
  <c r="S77" i="18"/>
  <c r="T77" i="18"/>
  <c r="U77" i="18"/>
  <c r="H82" i="18"/>
  <c r="H83" i="18"/>
  <c r="H84" i="18"/>
  <c r="H85" i="18"/>
  <c r="H86" i="18"/>
  <c r="H87" i="18"/>
  <c r="H88" i="18"/>
  <c r="H89" i="18"/>
  <c r="H90" i="18"/>
  <c r="J91" i="18"/>
  <c r="F24" i="20" s="1"/>
  <c r="K91" i="18"/>
  <c r="L91" i="18"/>
  <c r="M91" i="18"/>
  <c r="N91" i="18"/>
  <c r="O91" i="18"/>
  <c r="P91" i="18"/>
  <c r="Q91" i="18"/>
  <c r="R91" i="18"/>
  <c r="S91" i="18"/>
  <c r="T91" i="18"/>
  <c r="U91" i="18"/>
  <c r="J92" i="18"/>
  <c r="S25" i="20" s="1"/>
  <c r="K92" i="18"/>
  <c r="L92" i="18"/>
  <c r="M92" i="18"/>
  <c r="N92" i="18"/>
  <c r="O92" i="18"/>
  <c r="P92" i="18"/>
  <c r="Q92" i="18"/>
  <c r="R92" i="18"/>
  <c r="S92" i="18"/>
  <c r="T92" i="18"/>
  <c r="U92" i="18"/>
  <c r="H93" i="18"/>
  <c r="J94" i="18"/>
  <c r="K94" i="18"/>
  <c r="L94" i="18"/>
  <c r="M94" i="18"/>
  <c r="N94" i="18"/>
  <c r="O94" i="18"/>
  <c r="P94" i="18"/>
  <c r="Q94" i="18"/>
  <c r="R94" i="18"/>
  <c r="S94" i="18"/>
  <c r="T94" i="18"/>
  <c r="U94" i="18"/>
  <c r="H95" i="18"/>
  <c r="J95" i="18"/>
  <c r="F28" i="20" s="1"/>
  <c r="K95" i="18"/>
  <c r="L95" i="18"/>
  <c r="M95" i="18"/>
  <c r="N95" i="18"/>
  <c r="O95" i="18"/>
  <c r="P95" i="18"/>
  <c r="Q95" i="18"/>
  <c r="R95" i="18"/>
  <c r="S95" i="18"/>
  <c r="T95" i="18"/>
  <c r="U95" i="18"/>
  <c r="H96" i="18"/>
  <c r="H97" i="18"/>
  <c r="H98" i="18"/>
  <c r="H99" i="18"/>
  <c r="H100" i="18"/>
  <c r="H101" i="18"/>
  <c r="H102" i="18"/>
  <c r="J103" i="18"/>
  <c r="K103" i="18"/>
  <c r="L103" i="18"/>
  <c r="P103" i="18"/>
  <c r="Q103" i="18"/>
  <c r="R103" i="18"/>
  <c r="S103" i="18"/>
  <c r="T103" i="18"/>
  <c r="U103" i="18"/>
  <c r="J105" i="18"/>
  <c r="K105" i="18"/>
  <c r="L105" i="18"/>
  <c r="P105" i="18"/>
  <c r="Q105" i="18"/>
  <c r="R105" i="18"/>
  <c r="U105" i="18"/>
  <c r="H114" i="18"/>
  <c r="G114" i="18" s="1"/>
  <c r="H115" i="18"/>
  <c r="G115" i="18" s="1"/>
  <c r="H116" i="18"/>
  <c r="G116" i="18" s="1"/>
  <c r="H117" i="18"/>
  <c r="G117" i="18" s="1"/>
  <c r="H118" i="18"/>
  <c r="G118" i="18" s="1"/>
  <c r="H119" i="18"/>
  <c r="G119" i="18" s="1"/>
  <c r="G120" i="18"/>
  <c r="H120" i="18"/>
  <c r="H121" i="18"/>
  <c r="G121" i="18" s="1"/>
  <c r="H122" i="18"/>
  <c r="G122" i="18" s="1"/>
  <c r="C134" i="18"/>
  <c r="F20" i="20" l="1"/>
  <c r="F19" i="20"/>
  <c r="F36" i="20"/>
  <c r="F17" i="20"/>
  <c r="F15" i="20"/>
  <c r="F47" i="20"/>
  <c r="F9" i="20"/>
  <c r="H94" i="18"/>
  <c r="I27" i="20"/>
  <c r="I24" i="20"/>
  <c r="C136" i="18"/>
  <c r="H75" i="18"/>
  <c r="H61" i="18"/>
  <c r="U78" i="18"/>
  <c r="H58" i="18"/>
  <c r="H62" i="18"/>
  <c r="U44" i="18"/>
  <c r="M43" i="18"/>
  <c r="S44" i="18"/>
  <c r="P46" i="18"/>
  <c r="S43" i="18"/>
  <c r="O46" i="18"/>
  <c r="Q44" i="18"/>
  <c r="M44" i="18"/>
  <c r="L44" i="18"/>
  <c r="K44" i="18"/>
  <c r="U107" i="18"/>
  <c r="Q43" i="18"/>
  <c r="M103" i="19"/>
  <c r="M105" i="19"/>
  <c r="H47" i="20"/>
  <c r="J47" i="20" s="1"/>
  <c r="T103" i="19"/>
  <c r="T105" i="19"/>
  <c r="K14" i="19"/>
  <c r="W14" i="19" s="1"/>
  <c r="K105" i="19"/>
  <c r="H105" i="19" s="1"/>
  <c r="C137" i="19" s="1"/>
  <c r="K103" i="19"/>
  <c r="H25" i="19"/>
  <c r="BC31" i="21"/>
  <c r="L44" i="19"/>
  <c r="BC29" i="21"/>
  <c r="BC27" i="21"/>
  <c r="H41" i="19"/>
  <c r="Q46" i="19"/>
  <c r="J14" i="19"/>
  <c r="K31" i="21"/>
  <c r="K32" i="21" s="1"/>
  <c r="AZ28" i="21"/>
  <c r="Q103" i="19"/>
  <c r="H35" i="19"/>
  <c r="K31" i="19"/>
  <c r="S43" i="19"/>
  <c r="T44" i="19"/>
  <c r="P46" i="19"/>
  <c r="R103" i="19"/>
  <c r="P103" i="19"/>
  <c r="N43" i="19"/>
  <c r="H27" i="19"/>
  <c r="O46" i="19"/>
  <c r="U105" i="19"/>
  <c r="O103" i="19"/>
  <c r="H103" i="19" s="1"/>
  <c r="Q43" i="19"/>
  <c r="M43" i="19"/>
  <c r="J23" i="19"/>
  <c r="H23" i="19" s="1"/>
  <c r="N44" i="19"/>
  <c r="T14" i="19"/>
  <c r="T46" i="19"/>
  <c r="L103" i="19"/>
  <c r="R14" i="19"/>
  <c r="G27" i="21"/>
  <c r="BC28" i="21" s="1"/>
  <c r="R105" i="19"/>
  <c r="H40" i="19"/>
  <c r="J36" i="19"/>
  <c r="H36" i="19" s="1"/>
  <c r="J28" i="19"/>
  <c r="J43" i="19" s="1"/>
  <c r="K20" i="19"/>
  <c r="K44" i="19" s="1"/>
  <c r="Q14" i="19"/>
  <c r="N107" i="19"/>
  <c r="N109" i="19" s="1"/>
  <c r="N111" i="19" s="1"/>
  <c r="S105" i="19"/>
  <c r="Q105" i="19"/>
  <c r="J103" i="19"/>
  <c r="Q44" i="19"/>
  <c r="H24" i="19"/>
  <c r="J20" i="19"/>
  <c r="P105" i="19"/>
  <c r="P43" i="19"/>
  <c r="L43" i="19"/>
  <c r="L25" i="19"/>
  <c r="M44" i="19"/>
  <c r="O14" i="19"/>
  <c r="O29" i="21"/>
  <c r="O32" i="21" s="1"/>
  <c r="K43" i="19"/>
  <c r="H39" i="19"/>
  <c r="H33" i="19"/>
  <c r="P44" i="19"/>
  <c r="N14" i="19"/>
  <c r="H5" i="20"/>
  <c r="H37" i="19"/>
  <c r="H29" i="19"/>
  <c r="S46" i="19"/>
  <c r="S104" i="19" s="1"/>
  <c r="S107" i="19" s="1"/>
  <c r="S109" i="19" s="1"/>
  <c r="S111" i="19" s="1"/>
  <c r="M14" i="19"/>
  <c r="E5" i="20"/>
  <c r="E15" i="20" s="1"/>
  <c r="T43" i="19"/>
  <c r="H26" i="19"/>
  <c r="U44" i="19"/>
  <c r="R46" i="19"/>
  <c r="R111" i="19" s="1"/>
  <c r="H38" i="19"/>
  <c r="H34" i="19"/>
  <c r="H30" i="19"/>
  <c r="S103" i="19"/>
  <c r="U46" i="19"/>
  <c r="U104" i="19" s="1"/>
  <c r="U107" i="19" s="1"/>
  <c r="U109" i="19" s="1"/>
  <c r="U111" i="19" s="1"/>
  <c r="I21" i="20"/>
  <c r="I50" i="20" s="1"/>
  <c r="R40" i="20"/>
  <c r="R43" i="20" s="1"/>
  <c r="R32" i="20"/>
  <c r="R33" i="20" s="1"/>
  <c r="R23" i="20"/>
  <c r="I16" i="20"/>
  <c r="R14" i="20"/>
  <c r="F48" i="20"/>
  <c r="S36" i="20"/>
  <c r="S37" i="20" s="1"/>
  <c r="F31" i="20"/>
  <c r="S26" i="20"/>
  <c r="S17" i="20"/>
  <c r="H16" i="20"/>
  <c r="F13" i="20"/>
  <c r="S5" i="20"/>
  <c r="R36" i="20"/>
  <c r="R26" i="20"/>
  <c r="R17" i="20"/>
  <c r="I9" i="20"/>
  <c r="R5" i="20"/>
  <c r="R25" i="20"/>
  <c r="S47" i="20"/>
  <c r="F42" i="20"/>
  <c r="F35" i="20"/>
  <c r="F25" i="20"/>
  <c r="S20" i="20"/>
  <c r="F16" i="20"/>
  <c r="Q5" i="20"/>
  <c r="Q15" i="20" s="1"/>
  <c r="R47" i="20"/>
  <c r="R20" i="20"/>
  <c r="R11" i="20"/>
  <c r="P5" i="20"/>
  <c r="P24" i="20" s="1"/>
  <c r="S15" i="20"/>
  <c r="R41" i="20"/>
  <c r="R24" i="20"/>
  <c r="R15" i="20"/>
  <c r="S41" i="20"/>
  <c r="S45" i="20"/>
  <c r="F40" i="20"/>
  <c r="F32" i="20"/>
  <c r="S27" i="20"/>
  <c r="F23" i="20"/>
  <c r="S18" i="20"/>
  <c r="F14" i="20"/>
  <c r="S24" i="20"/>
  <c r="R45" i="20"/>
  <c r="R27" i="20"/>
  <c r="R18" i="20"/>
  <c r="S31" i="20"/>
  <c r="S13" i="20"/>
  <c r="Q25" i="20"/>
  <c r="S19" i="20"/>
  <c r="S9" i="20"/>
  <c r="P1" i="20"/>
  <c r="R35" i="20"/>
  <c r="R37" i="20" s="1"/>
  <c r="R16" i="20"/>
  <c r="S28" i="20"/>
  <c r="R28" i="20"/>
  <c r="R19" i="20"/>
  <c r="R9" i="20"/>
  <c r="S40" i="20"/>
  <c r="S32" i="20"/>
  <c r="F27" i="20"/>
  <c r="S23" i="20"/>
  <c r="F18" i="20"/>
  <c r="S14" i="20"/>
  <c r="C132" i="19"/>
  <c r="C131" i="19"/>
  <c r="T104" i="19"/>
  <c r="W15" i="19"/>
  <c r="P104" i="19"/>
  <c r="P107" i="19" s="1"/>
  <c r="P109" i="19" s="1"/>
  <c r="P111" i="19" s="1"/>
  <c r="O104" i="19"/>
  <c r="Q107" i="19"/>
  <c r="Q109" i="19" s="1"/>
  <c r="Q111" i="19" s="1"/>
  <c r="R104" i="19"/>
  <c r="R107" i="19" s="1"/>
  <c r="R109" i="19" s="1"/>
  <c r="Q104" i="19"/>
  <c r="O105" i="19"/>
  <c r="M46" i="19"/>
  <c r="H91" i="19"/>
  <c r="C133" i="19" s="1"/>
  <c r="L46" i="19"/>
  <c r="H31" i="19"/>
  <c r="S14" i="19"/>
  <c r="H94" i="19"/>
  <c r="W16" i="19"/>
  <c r="W51" i="19"/>
  <c r="H32" i="19"/>
  <c r="P14" i="19"/>
  <c r="U43" i="19"/>
  <c r="R43" i="19"/>
  <c r="S44" i="19"/>
  <c r="O44" i="19"/>
  <c r="H64" i="18"/>
  <c r="H60" i="18"/>
  <c r="L78" i="18"/>
  <c r="H76" i="18"/>
  <c r="K78" i="18"/>
  <c r="H92" i="18"/>
  <c r="Q46" i="18"/>
  <c r="C135" i="18"/>
  <c r="H65" i="18"/>
  <c r="U109" i="18"/>
  <c r="U111" i="18" s="1"/>
  <c r="P104" i="18"/>
  <c r="P107" i="18" s="1"/>
  <c r="O104" i="18"/>
  <c r="O107" i="18" s="1"/>
  <c r="H73" i="18"/>
  <c r="S46" i="18"/>
  <c r="H41" i="18"/>
  <c r="O103" i="18"/>
  <c r="O71" i="18"/>
  <c r="S67" i="18"/>
  <c r="R56" i="18"/>
  <c r="R78" i="18" s="1"/>
  <c r="T105" i="18"/>
  <c r="N103" i="18"/>
  <c r="N71" i="18"/>
  <c r="R67" i="18"/>
  <c r="J59" i="18"/>
  <c r="T57" i="18"/>
  <c r="S105" i="18"/>
  <c r="M103" i="18"/>
  <c r="M71" i="18"/>
  <c r="M78" i="18" s="1"/>
  <c r="J70" i="18"/>
  <c r="T68" i="18"/>
  <c r="Q67" i="18"/>
  <c r="H67" i="18" s="1"/>
  <c r="N66" i="18"/>
  <c r="S57" i="18"/>
  <c r="P56" i="18"/>
  <c r="M46" i="18"/>
  <c r="J40" i="18"/>
  <c r="J39" i="18"/>
  <c r="H39" i="18" s="1"/>
  <c r="F39" i="18" s="1"/>
  <c r="J38" i="18"/>
  <c r="H38" i="18" s="1"/>
  <c r="F38" i="18" s="1"/>
  <c r="J37" i="18"/>
  <c r="J36" i="18"/>
  <c r="J35" i="18"/>
  <c r="J34" i="18"/>
  <c r="J33" i="18"/>
  <c r="J32" i="18"/>
  <c r="J31" i="18"/>
  <c r="J30" i="18"/>
  <c r="J29" i="18"/>
  <c r="J28" i="18"/>
  <c r="J27" i="18"/>
  <c r="J26" i="18"/>
  <c r="J25" i="18"/>
  <c r="J24" i="18"/>
  <c r="J23" i="18"/>
  <c r="J22" i="18"/>
  <c r="J21" i="18"/>
  <c r="J20" i="18"/>
  <c r="T13" i="18"/>
  <c r="T51" i="18" s="1"/>
  <c r="H91" i="18"/>
  <c r="S13" i="18"/>
  <c r="S51" i="18" s="1"/>
  <c r="R13" i="18"/>
  <c r="R51" i="18" s="1"/>
  <c r="Q13" i="18"/>
  <c r="Q51" i="18" s="1"/>
  <c r="T69" i="18"/>
  <c r="L104" i="18"/>
  <c r="L107" i="18" s="1"/>
  <c r="S69" i="18"/>
  <c r="J66" i="18"/>
  <c r="O57" i="18"/>
  <c r="J51" i="18"/>
  <c r="K104" i="18"/>
  <c r="K107" i="18" s="1"/>
  <c r="O68" i="18"/>
  <c r="N57" i="18"/>
  <c r="W16" i="18"/>
  <c r="T15" i="18"/>
  <c r="O13" i="18"/>
  <c r="O51" i="18" s="1"/>
  <c r="O105" i="18"/>
  <c r="P68" i="18"/>
  <c r="P13" i="18"/>
  <c r="P51" i="18" s="1"/>
  <c r="N105" i="18"/>
  <c r="R69" i="18"/>
  <c r="T59" i="18"/>
  <c r="M105" i="18"/>
  <c r="H105" i="18" s="1"/>
  <c r="C137" i="18" s="1"/>
  <c r="T70" i="18"/>
  <c r="Q69" i="18"/>
  <c r="H69" i="18" s="1"/>
  <c r="N68" i="18"/>
  <c r="H68" i="18" s="1"/>
  <c r="S59" i="18"/>
  <c r="J56" i="18"/>
  <c r="T40" i="18"/>
  <c r="T39" i="18"/>
  <c r="T38" i="18"/>
  <c r="T37" i="18"/>
  <c r="T36" i="18"/>
  <c r="T35" i="18"/>
  <c r="T34" i="18"/>
  <c r="T33" i="18"/>
  <c r="T32" i="18"/>
  <c r="T31" i="18"/>
  <c r="T30" i="18"/>
  <c r="T29" i="18"/>
  <c r="T28" i="18"/>
  <c r="T27" i="18"/>
  <c r="T26" i="18"/>
  <c r="T25" i="18"/>
  <c r="T24" i="18"/>
  <c r="T23" i="18"/>
  <c r="T22" i="18"/>
  <c r="T21" i="18"/>
  <c r="T20" i="18"/>
  <c r="N13" i="18"/>
  <c r="N51" i="18" s="1"/>
  <c r="R36" i="18"/>
  <c r="R35" i="18"/>
  <c r="R34" i="18"/>
  <c r="R33" i="18"/>
  <c r="R32" i="18"/>
  <c r="R31" i="18"/>
  <c r="R30" i="18"/>
  <c r="R29" i="18"/>
  <c r="R28" i="18"/>
  <c r="R27" i="18"/>
  <c r="R26" i="18"/>
  <c r="R25" i="18"/>
  <c r="R24" i="18"/>
  <c r="R23" i="18"/>
  <c r="R22" i="18"/>
  <c r="R21" i="18"/>
  <c r="Q15" i="18"/>
  <c r="N15" i="18"/>
  <c r="W15" i="18" s="1"/>
  <c r="T56" i="18"/>
  <c r="N25" i="18"/>
  <c r="N24" i="18"/>
  <c r="N23" i="18"/>
  <c r="N22" i="18"/>
  <c r="N21" i="18"/>
  <c r="P66" i="18"/>
  <c r="E13" i="20" l="1"/>
  <c r="E21" i="20" s="1"/>
  <c r="E23" i="20"/>
  <c r="E29" i="20" s="1"/>
  <c r="P14" i="20"/>
  <c r="E32" i="20"/>
  <c r="P31" i="20"/>
  <c r="E42" i="20"/>
  <c r="P36" i="20"/>
  <c r="E9" i="20"/>
  <c r="G9" i="20" s="1"/>
  <c r="Q35" i="20"/>
  <c r="M11" i="20"/>
  <c r="M10" i="20"/>
  <c r="M26" i="20"/>
  <c r="M25" i="20"/>
  <c r="M9" i="20"/>
  <c r="M24" i="20"/>
  <c r="M8" i="20"/>
  <c r="M23" i="20"/>
  <c r="M7" i="20"/>
  <c r="M22" i="20"/>
  <c r="M6" i="20"/>
  <c r="M21" i="20"/>
  <c r="M5" i="20"/>
  <c r="M20" i="20"/>
  <c r="M19" i="20"/>
  <c r="M18" i="20"/>
  <c r="M17" i="20"/>
  <c r="M16" i="20"/>
  <c r="M15" i="20"/>
  <c r="M14" i="20"/>
  <c r="M12" i="20"/>
  <c r="M13" i="20"/>
  <c r="Q26" i="20"/>
  <c r="Q42" i="20"/>
  <c r="Q45" i="20"/>
  <c r="G15" i="20"/>
  <c r="Q20" i="20"/>
  <c r="Q28" i="20"/>
  <c r="C133" i="18"/>
  <c r="S29" i="20"/>
  <c r="S21" i="20"/>
  <c r="S78" i="18"/>
  <c r="H59" i="18"/>
  <c r="H71" i="18"/>
  <c r="N78" i="18"/>
  <c r="H70" i="18"/>
  <c r="H31" i="18"/>
  <c r="F31" i="18" s="1"/>
  <c r="L109" i="18"/>
  <c r="L111" i="18" s="1"/>
  <c r="H22" i="18"/>
  <c r="F22" i="18" s="1"/>
  <c r="R46" i="18"/>
  <c r="N46" i="18"/>
  <c r="H25" i="18"/>
  <c r="F25" i="18" s="1"/>
  <c r="E26" i="20"/>
  <c r="G26" i="20" s="1"/>
  <c r="E35" i="20"/>
  <c r="E37" i="20" s="1"/>
  <c r="E20" i="20"/>
  <c r="G20" i="20" s="1"/>
  <c r="E36" i="20"/>
  <c r="G36" i="20" s="1"/>
  <c r="P15" i="20"/>
  <c r="E31" i="20"/>
  <c r="E33" i="20" s="1"/>
  <c r="E27" i="20"/>
  <c r="G27" i="20" s="1"/>
  <c r="E19" i="20"/>
  <c r="G19" i="20" s="1"/>
  <c r="E40" i="20"/>
  <c r="E43" i="20" s="1"/>
  <c r="E28" i="20"/>
  <c r="G28" i="20" s="1"/>
  <c r="E47" i="20"/>
  <c r="G47" i="20" s="1"/>
  <c r="E18" i="20"/>
  <c r="G18" i="20"/>
  <c r="P16" i="20"/>
  <c r="E17" i="20"/>
  <c r="G17" i="20" s="1"/>
  <c r="E24" i="20"/>
  <c r="G24" i="20" s="1"/>
  <c r="G42" i="20"/>
  <c r="E45" i="20"/>
  <c r="E48" i="20" s="1"/>
  <c r="P25" i="20"/>
  <c r="E16" i="20"/>
  <c r="G16" i="20" s="1"/>
  <c r="G5" i="20"/>
  <c r="P35" i="20"/>
  <c r="P37" i="20" s="1"/>
  <c r="E25" i="20"/>
  <c r="G25" i="20" s="1"/>
  <c r="E11" i="20"/>
  <c r="E41" i="20"/>
  <c r="G41" i="20" s="1"/>
  <c r="E14" i="20"/>
  <c r="G14" i="20" s="1"/>
  <c r="P26" i="20"/>
  <c r="O107" i="19"/>
  <c r="O109" i="19" s="1"/>
  <c r="O111" i="19" s="1"/>
  <c r="BC32" i="21"/>
  <c r="G101" i="19"/>
  <c r="H43" i="19"/>
  <c r="T107" i="19"/>
  <c r="T109" i="19" s="1"/>
  <c r="T111" i="19" s="1"/>
  <c r="J16" i="20"/>
  <c r="H9" i="20"/>
  <c r="J9" i="20" s="1"/>
  <c r="H42" i="20"/>
  <c r="J42" i="20" s="1"/>
  <c r="H14" i="20"/>
  <c r="J14" i="20" s="1"/>
  <c r="H35" i="20"/>
  <c r="H20" i="20"/>
  <c r="J20" i="20" s="1"/>
  <c r="H27" i="20"/>
  <c r="J27" i="20" s="1"/>
  <c r="H15" i="20"/>
  <c r="J15" i="20" s="1"/>
  <c r="H23" i="20"/>
  <c r="H28" i="20"/>
  <c r="J28" i="20" s="1"/>
  <c r="H36" i="20"/>
  <c r="J36" i="20" s="1"/>
  <c r="J5" i="20"/>
  <c r="H17" i="20"/>
  <c r="J17" i="20" s="1"/>
  <c r="H24" i="20"/>
  <c r="J24" i="20" s="1"/>
  <c r="H31" i="20"/>
  <c r="H25" i="20"/>
  <c r="J25" i="20" s="1"/>
  <c r="H40" i="20"/>
  <c r="H18" i="20"/>
  <c r="J18" i="20" s="1"/>
  <c r="H32" i="20"/>
  <c r="J32" i="20" s="1"/>
  <c r="H11" i="20"/>
  <c r="H41" i="20"/>
  <c r="J41" i="20" s="1"/>
  <c r="H13" i="20"/>
  <c r="H19" i="20"/>
  <c r="J19" i="20" s="1"/>
  <c r="H26" i="20"/>
  <c r="J26" i="20" s="1"/>
  <c r="P40" i="20"/>
  <c r="H45" i="20"/>
  <c r="J46" i="19"/>
  <c r="W46" i="19" s="1"/>
  <c r="K46" i="19"/>
  <c r="K104" i="19" s="1"/>
  <c r="K107" i="19" s="1"/>
  <c r="K109" i="19" s="1"/>
  <c r="K111" i="19" s="1"/>
  <c r="J44" i="19"/>
  <c r="H44" i="19" s="1"/>
  <c r="H28" i="19"/>
  <c r="H20" i="19"/>
  <c r="P41" i="20"/>
  <c r="P20" i="20"/>
  <c r="P9" i="20"/>
  <c r="S43" i="20"/>
  <c r="F21" i="20"/>
  <c r="G13" i="20"/>
  <c r="G21" i="20" s="1"/>
  <c r="R21" i="20"/>
  <c r="G45" i="20"/>
  <c r="G48" i="20" s="1"/>
  <c r="G23" i="20"/>
  <c r="G29" i="20" s="1"/>
  <c r="F29" i="20"/>
  <c r="Q31" i="20"/>
  <c r="Q13" i="20"/>
  <c r="Q14" i="20"/>
  <c r="Q24" i="20"/>
  <c r="Q16" i="20"/>
  <c r="P47" i="20"/>
  <c r="P19" i="20"/>
  <c r="G32" i="20"/>
  <c r="Q17" i="20"/>
  <c r="E50" i="20"/>
  <c r="Q23" i="20"/>
  <c r="R29" i="20"/>
  <c r="F43" i="20"/>
  <c r="G40" i="20"/>
  <c r="G43" i="20" s="1"/>
  <c r="P7" i="20"/>
  <c r="P27" i="20"/>
  <c r="P45" i="20"/>
  <c r="P18" i="20"/>
  <c r="P28" i="20"/>
  <c r="Q41" i="20"/>
  <c r="F33" i="20"/>
  <c r="G31" i="20"/>
  <c r="G33" i="20" s="1"/>
  <c r="Q7" i="20"/>
  <c r="P23" i="20"/>
  <c r="Q32" i="20"/>
  <c r="Q47" i="20"/>
  <c r="Q18" i="20"/>
  <c r="P17" i="20"/>
  <c r="F37" i="20"/>
  <c r="G35" i="20"/>
  <c r="Q40" i="20"/>
  <c r="P42" i="20"/>
  <c r="Q27" i="20"/>
  <c r="Q11" i="20"/>
  <c r="Q36" i="20"/>
  <c r="Q37" i="20" s="1"/>
  <c r="P32" i="20"/>
  <c r="P33" i="20" s="1"/>
  <c r="Q19" i="20"/>
  <c r="S33" i="20"/>
  <c r="P11" i="20"/>
  <c r="P13" i="20"/>
  <c r="Q9" i="20"/>
  <c r="H46" i="19"/>
  <c r="B127" i="19"/>
  <c r="F131" i="19" s="1"/>
  <c r="G138" i="19" s="1"/>
  <c r="I4" i="19"/>
  <c r="I7" i="19"/>
  <c r="I10" i="19"/>
  <c r="M104" i="19"/>
  <c r="M107" i="19" s="1"/>
  <c r="M109" i="19" s="1"/>
  <c r="M111" i="19" s="1"/>
  <c r="G78" i="19"/>
  <c r="L104" i="19"/>
  <c r="L107" i="19" s="1"/>
  <c r="L109" i="19" s="1"/>
  <c r="L111" i="19" s="1"/>
  <c r="R104" i="18"/>
  <c r="R107" i="18" s="1"/>
  <c r="N104" i="18"/>
  <c r="N107" i="18" s="1"/>
  <c r="N109" i="18" s="1"/>
  <c r="N111" i="18" s="1"/>
  <c r="F137" i="18"/>
  <c r="H33" i="18"/>
  <c r="F33" i="18" s="1"/>
  <c r="R109" i="18"/>
  <c r="R111" i="18" s="1"/>
  <c r="T44" i="18"/>
  <c r="T46" i="18"/>
  <c r="F133" i="18"/>
  <c r="H34" i="18"/>
  <c r="F34" i="18" s="1"/>
  <c r="H57" i="18"/>
  <c r="H35" i="18"/>
  <c r="F35" i="18" s="1"/>
  <c r="S104" i="18"/>
  <c r="S107" i="18" s="1"/>
  <c r="S109" i="18" s="1"/>
  <c r="S111" i="18" s="1"/>
  <c r="H32" i="18"/>
  <c r="F32" i="18" s="1"/>
  <c r="J46" i="18"/>
  <c r="H20" i="18"/>
  <c r="J44" i="18"/>
  <c r="H36" i="18"/>
  <c r="F36" i="18" s="1"/>
  <c r="F135" i="18"/>
  <c r="N44" i="18"/>
  <c r="I4" i="18"/>
  <c r="I7" i="18"/>
  <c r="I10" i="18"/>
  <c r="W17" i="18"/>
  <c r="W14" i="18"/>
  <c r="B127" i="18"/>
  <c r="G101" i="18"/>
  <c r="H21" i="18"/>
  <c r="F21" i="18" s="1"/>
  <c r="H37" i="18"/>
  <c r="F37" i="18" s="1"/>
  <c r="Q78" i="18"/>
  <c r="R44" i="18"/>
  <c r="J78" i="18"/>
  <c r="H56" i="18"/>
  <c r="H23" i="18"/>
  <c r="F23" i="18" s="1"/>
  <c r="R43" i="18"/>
  <c r="H24" i="18"/>
  <c r="F24" i="18" s="1"/>
  <c r="H40" i="18"/>
  <c r="F40" i="18" s="1"/>
  <c r="M104" i="18"/>
  <c r="M107" i="18" s="1"/>
  <c r="M109" i="18" s="1"/>
  <c r="M111" i="18" s="1"/>
  <c r="T43" i="18"/>
  <c r="O78" i="18"/>
  <c r="O109" i="18" s="1"/>
  <c r="O111" i="18" s="1"/>
  <c r="H26" i="18"/>
  <c r="F26" i="18" s="1"/>
  <c r="Q104" i="18"/>
  <c r="Q107" i="18" s="1"/>
  <c r="H66" i="18"/>
  <c r="H27" i="18"/>
  <c r="F27" i="18" s="1"/>
  <c r="P78" i="18"/>
  <c r="P109" i="18" s="1"/>
  <c r="P111" i="18" s="1"/>
  <c r="H103" i="18"/>
  <c r="H28" i="18"/>
  <c r="F28" i="18" s="1"/>
  <c r="J43" i="18"/>
  <c r="K109" i="18"/>
  <c r="K111" i="18" s="1"/>
  <c r="H29" i="18"/>
  <c r="F29" i="18" s="1"/>
  <c r="W51" i="18"/>
  <c r="H51" i="18"/>
  <c r="T78" i="18"/>
  <c r="H30" i="18"/>
  <c r="F30" i="18" s="1"/>
  <c r="E52" i="20" l="1"/>
  <c r="Q29" i="20"/>
  <c r="F11" i="20"/>
  <c r="G11" i="20" s="1"/>
  <c r="I11" i="20"/>
  <c r="S11" i="20"/>
  <c r="Q43" i="20"/>
  <c r="Q109" i="18"/>
  <c r="Q111" i="18" s="1"/>
  <c r="I7" i="20"/>
  <c r="S7" i="20"/>
  <c r="F7" i="20"/>
  <c r="H21" i="20"/>
  <c r="J13" i="20"/>
  <c r="J21" i="20" s="1"/>
  <c r="J35" i="20"/>
  <c r="H37" i="20"/>
  <c r="F132" i="19"/>
  <c r="P43" i="20"/>
  <c r="H43" i="20"/>
  <c r="J40" i="20"/>
  <c r="J43" i="20" s="1"/>
  <c r="J31" i="20"/>
  <c r="J33" i="20" s="1"/>
  <c r="H33" i="20"/>
  <c r="H7" i="20"/>
  <c r="J104" i="19"/>
  <c r="R7" i="20"/>
  <c r="E7" i="20"/>
  <c r="H48" i="20"/>
  <c r="J45" i="20"/>
  <c r="J48" i="20" s="1"/>
  <c r="P29" i="20"/>
  <c r="H29" i="20"/>
  <c r="J23" i="20"/>
  <c r="J29" i="20" s="1"/>
  <c r="F50" i="20"/>
  <c r="P21" i="20"/>
  <c r="Q21" i="20"/>
  <c r="Q33" i="20"/>
  <c r="I13" i="19"/>
  <c r="E128" i="19"/>
  <c r="H104" i="19"/>
  <c r="F136" i="19"/>
  <c r="F135" i="19"/>
  <c r="F134" i="19"/>
  <c r="F137" i="19"/>
  <c r="F133" i="19"/>
  <c r="H43" i="18"/>
  <c r="T104" i="18"/>
  <c r="T107" i="18" s="1"/>
  <c r="T109" i="18" s="1"/>
  <c r="T111" i="18" s="1"/>
  <c r="H78" i="18"/>
  <c r="W78" i="18"/>
  <c r="H46" i="18"/>
  <c r="F20" i="18"/>
  <c r="C131" i="18"/>
  <c r="G51" i="18"/>
  <c r="H44" i="18"/>
  <c r="J104" i="18"/>
  <c r="W46" i="18"/>
  <c r="I13" i="18"/>
  <c r="F134" i="18"/>
  <c r="F136" i="18"/>
  <c r="W20" i="18"/>
  <c r="W43" i="18" s="1"/>
  <c r="W21" i="18"/>
  <c r="W22" i="18"/>
  <c r="W23" i="18"/>
  <c r="W24" i="18"/>
  <c r="W25" i="18"/>
  <c r="W26" i="18"/>
  <c r="W27" i="18"/>
  <c r="W28" i="18"/>
  <c r="W29" i="18"/>
  <c r="W30" i="18"/>
  <c r="W31" i="18"/>
  <c r="W32" i="18"/>
  <c r="W33" i="18"/>
  <c r="W34" i="18"/>
  <c r="W35" i="18"/>
  <c r="W36" i="18"/>
  <c r="W37" i="18"/>
  <c r="W38" i="18"/>
  <c r="W39" i="18"/>
  <c r="W40" i="18"/>
  <c r="W41" i="18"/>
  <c r="J11" i="20" l="1"/>
  <c r="I52" i="20"/>
  <c r="I54" i="20" s="1"/>
  <c r="I55" i="20" s="1"/>
  <c r="G7" i="20"/>
  <c r="F46" i="20"/>
  <c r="I46" i="20"/>
  <c r="Q46" i="20"/>
  <c r="Q48" i="20" s="1"/>
  <c r="Q50" i="20" s="1"/>
  <c r="Q52" i="20" s="1"/>
  <c r="Q54" i="20" s="1"/>
  <c r="Q55" i="20" s="1"/>
  <c r="S46" i="20"/>
  <c r="S48" i="20" s="1"/>
  <c r="S50" i="20" s="1"/>
  <c r="S52" i="20" s="1"/>
  <c r="S54" i="20" s="1"/>
  <c r="S55" i="20" s="1"/>
  <c r="E54" i="20"/>
  <c r="E55" i="20" s="1"/>
  <c r="H46" i="20"/>
  <c r="R46" i="20"/>
  <c r="R48" i="20" s="1"/>
  <c r="R50" i="20" s="1"/>
  <c r="R52" i="20" s="1"/>
  <c r="R54" i="20" s="1"/>
  <c r="R55" i="20" s="1"/>
  <c r="E46" i="20"/>
  <c r="G46" i="20" s="1"/>
  <c r="J107" i="19"/>
  <c r="J109" i="19" s="1"/>
  <c r="P46" i="20"/>
  <c r="P48" i="20" s="1"/>
  <c r="P50" i="20" s="1"/>
  <c r="P52" i="20" s="1"/>
  <c r="P54" i="20" s="1"/>
  <c r="P55" i="20" s="1"/>
  <c r="J7" i="20"/>
  <c r="H50" i="20"/>
  <c r="G50" i="20"/>
  <c r="F52" i="20"/>
  <c r="H107" i="19"/>
  <c r="C138" i="19"/>
  <c r="G128" i="19"/>
  <c r="G139" i="19" s="1"/>
  <c r="H104" i="18"/>
  <c r="J107" i="18"/>
  <c r="J109" i="18" s="1"/>
  <c r="F131" i="18"/>
  <c r="G138" i="18" s="1"/>
  <c r="C132" i="18"/>
  <c r="F132" i="18" s="1"/>
  <c r="G78" i="18"/>
  <c r="G46" i="18"/>
  <c r="E128" i="18"/>
  <c r="J46" i="20" l="1"/>
  <c r="J50" i="20"/>
  <c r="H52" i="20"/>
  <c r="J111" i="19"/>
  <c r="W111" i="19" s="1"/>
  <c r="W109" i="19"/>
  <c r="G52" i="20"/>
  <c r="F54" i="20"/>
  <c r="F138" i="19"/>
  <c r="E138" i="19"/>
  <c r="E139" i="19" s="1"/>
  <c r="H109" i="19"/>
  <c r="H111" i="19" s="1"/>
  <c r="G128" i="18"/>
  <c r="G139" i="18" s="1"/>
  <c r="C138" i="18"/>
  <c r="F138" i="18" s="1"/>
  <c r="H107" i="18"/>
  <c r="W109" i="18"/>
  <c r="J111" i="18"/>
  <c r="W111" i="18" s="1"/>
  <c r="E138" i="18" l="1"/>
  <c r="E139" i="18" s="1"/>
  <c r="J52" i="20"/>
  <c r="H54" i="20"/>
  <c r="F55" i="20"/>
  <c r="G54" i="20"/>
  <c r="G55" i="20" s="1"/>
  <c r="G107" i="18"/>
  <c r="H109" i="18"/>
  <c r="H111" i="18" s="1"/>
  <c r="H55" i="20" l="1"/>
  <c r="J54" i="20"/>
  <c r="J55" i="20" s="1"/>
  <c r="N105" i="8" l="1"/>
  <c r="O105" i="8"/>
  <c r="P105" i="8"/>
  <c r="Q105" i="8"/>
  <c r="R105" i="8"/>
  <c r="S105" i="8"/>
  <c r="T105" i="8"/>
  <c r="U105" i="8"/>
  <c r="N103" i="8"/>
  <c r="O103" i="8"/>
  <c r="P103" i="8"/>
  <c r="Q103" i="8"/>
  <c r="R103" i="8"/>
  <c r="S103" i="8"/>
  <c r="T103" i="8"/>
  <c r="U103" i="8"/>
  <c r="H93" i="8"/>
  <c r="U95" i="8"/>
  <c r="T95" i="8"/>
  <c r="S95" i="8"/>
  <c r="R95" i="8"/>
  <c r="Q95" i="8"/>
  <c r="P95" i="8"/>
  <c r="O95" i="8"/>
  <c r="N95" i="8"/>
  <c r="M95" i="8"/>
  <c r="L95" i="8"/>
  <c r="K95" i="8"/>
  <c r="J95" i="8"/>
  <c r="U94" i="8"/>
  <c r="T94" i="8"/>
  <c r="S94" i="8"/>
  <c r="R94" i="8"/>
  <c r="Q94" i="8"/>
  <c r="P94" i="8"/>
  <c r="O94" i="8"/>
  <c r="N94" i="8"/>
  <c r="M94" i="8"/>
  <c r="L94" i="8"/>
  <c r="K94" i="8"/>
  <c r="J94" i="8"/>
  <c r="H94" i="8" s="1"/>
  <c r="U91" i="8"/>
  <c r="T91" i="8"/>
  <c r="S91" i="8"/>
  <c r="R91" i="8"/>
  <c r="Q91" i="8"/>
  <c r="P91" i="8"/>
  <c r="O91" i="8"/>
  <c r="N91" i="8"/>
  <c r="M91" i="8"/>
  <c r="L91" i="8"/>
  <c r="K91" i="8"/>
  <c r="J91" i="8"/>
  <c r="G120" i="8"/>
  <c r="G119" i="8"/>
  <c r="G115" i="8"/>
  <c r="C1" i="8"/>
  <c r="X14" i="8"/>
  <c r="X16" i="8"/>
  <c r="X15" i="8"/>
  <c r="K13" i="8"/>
  <c r="L13" i="8"/>
  <c r="M13" i="8"/>
  <c r="N13" i="8"/>
  <c r="O13" i="8"/>
  <c r="P13" i="8"/>
  <c r="Q13" i="8"/>
  <c r="R13" i="8"/>
  <c r="S13" i="8"/>
  <c r="T13" i="8"/>
  <c r="U13" i="8"/>
  <c r="I3" i="8"/>
  <c r="W13" i="8" s="1"/>
  <c r="K95" i="1" l="1"/>
  <c r="L95" i="1"/>
  <c r="M95" i="1"/>
  <c r="N95" i="1"/>
  <c r="O95" i="1"/>
  <c r="P95" i="1"/>
  <c r="Q95" i="1"/>
  <c r="R95" i="1"/>
  <c r="S95" i="1"/>
  <c r="T95" i="1"/>
  <c r="U95" i="1"/>
  <c r="J95" i="1"/>
  <c r="K94" i="1"/>
  <c r="L94" i="1"/>
  <c r="M94" i="1"/>
  <c r="N94" i="1"/>
  <c r="O94" i="1"/>
  <c r="P94" i="1"/>
  <c r="Q94" i="1"/>
  <c r="R94" i="1"/>
  <c r="S94" i="1"/>
  <c r="T94" i="1"/>
  <c r="U94" i="1"/>
  <c r="J94" i="1"/>
  <c r="K91" i="1"/>
  <c r="L91" i="1"/>
  <c r="M91" i="1"/>
  <c r="N91" i="1"/>
  <c r="O91" i="1"/>
  <c r="P91" i="1"/>
  <c r="Q91" i="1"/>
  <c r="R91" i="1"/>
  <c r="S91" i="1"/>
  <c r="T91" i="1"/>
  <c r="U91" i="1"/>
  <c r="J91" i="1"/>
  <c r="H117" i="1"/>
  <c r="H114" i="1"/>
  <c r="H115" i="1"/>
  <c r="G115" i="1" s="1"/>
  <c r="H116" i="1"/>
  <c r="H118" i="1"/>
  <c r="H119" i="1"/>
  <c r="G119" i="1" s="1"/>
  <c r="H120" i="1"/>
  <c r="G120" i="1" s="1"/>
  <c r="H121" i="1"/>
  <c r="H122" i="1"/>
  <c r="H101" i="1"/>
  <c r="H82" i="1" l="1"/>
  <c r="H95" i="1"/>
  <c r="H93" i="1"/>
  <c r="H90" i="1"/>
  <c r="C44" i="1"/>
  <c r="C43" i="1"/>
  <c r="C42" i="1" l="1"/>
  <c r="X16" i="1"/>
  <c r="X15" i="1"/>
  <c r="X14" i="1"/>
  <c r="W13" i="1"/>
  <c r="J14" i="1"/>
  <c r="K16" i="1"/>
  <c r="L16" i="1"/>
  <c r="M16" i="1"/>
  <c r="N16" i="1"/>
  <c r="O16" i="1"/>
  <c r="P16" i="1"/>
  <c r="Q16" i="1"/>
  <c r="R16" i="1"/>
  <c r="S16" i="1"/>
  <c r="T16" i="1"/>
  <c r="U16" i="1"/>
  <c r="J16" i="1"/>
  <c r="R105" i="1" l="1"/>
  <c r="R103" i="1"/>
  <c r="T15" i="1"/>
  <c r="T105" i="1"/>
  <c r="T103" i="1"/>
  <c r="Q105" i="1"/>
  <c r="Q103" i="1"/>
  <c r="N13" i="1"/>
  <c r="N105" i="1"/>
  <c r="N103" i="1"/>
  <c r="S105" i="1"/>
  <c r="S103" i="1"/>
  <c r="P105" i="1"/>
  <c r="P103" i="1"/>
  <c r="K105" i="1"/>
  <c r="K103" i="1"/>
  <c r="L105" i="1"/>
  <c r="L103" i="1"/>
  <c r="M105" i="1"/>
  <c r="M103" i="1"/>
  <c r="U105" i="1"/>
  <c r="U103" i="1"/>
  <c r="O105" i="1"/>
  <c r="O103" i="1"/>
  <c r="J21" i="1"/>
  <c r="J105" i="1"/>
  <c r="J103" i="1"/>
  <c r="P40" i="1"/>
  <c r="P31" i="1"/>
  <c r="P27" i="1"/>
  <c r="P37" i="1"/>
  <c r="P28" i="1"/>
  <c r="P41" i="1"/>
  <c r="P32" i="1"/>
  <c r="P38" i="1"/>
  <c r="P35" i="1"/>
  <c r="P29" i="1"/>
  <c r="P33" i="1"/>
  <c r="P39" i="1"/>
  <c r="P30" i="1"/>
  <c r="P36" i="1"/>
  <c r="P26" i="1"/>
  <c r="P34" i="1"/>
  <c r="O37" i="1"/>
  <c r="O28" i="1"/>
  <c r="O41" i="1"/>
  <c r="O27" i="1"/>
  <c r="O32" i="1"/>
  <c r="O39" i="1"/>
  <c r="O33" i="1"/>
  <c r="O30" i="1"/>
  <c r="O36" i="1"/>
  <c r="O34" i="1"/>
  <c r="O40" i="1"/>
  <c r="O31" i="1"/>
  <c r="O38" i="1"/>
  <c r="O35" i="1"/>
  <c r="O29" i="1"/>
  <c r="O26" i="1"/>
  <c r="N27" i="1"/>
  <c r="N29" i="1"/>
  <c r="N41" i="1"/>
  <c r="N32" i="1"/>
  <c r="N38" i="1"/>
  <c r="N35" i="1"/>
  <c r="N30" i="1"/>
  <c r="N36" i="1"/>
  <c r="N26" i="1"/>
  <c r="N33" i="1"/>
  <c r="N34" i="1"/>
  <c r="N39" i="1"/>
  <c r="N40" i="1"/>
  <c r="N31" i="1"/>
  <c r="N37" i="1"/>
  <c r="N28" i="1"/>
  <c r="M15" i="1"/>
  <c r="M41" i="1"/>
  <c r="M32" i="1"/>
  <c r="M27" i="1"/>
  <c r="M38" i="1"/>
  <c r="M35" i="1"/>
  <c r="M29" i="1"/>
  <c r="M31" i="1"/>
  <c r="M33" i="1"/>
  <c r="M30" i="1"/>
  <c r="M26" i="1"/>
  <c r="M34" i="1"/>
  <c r="M39" i="1"/>
  <c r="M36" i="1"/>
  <c r="M37" i="1"/>
  <c r="M28" i="1"/>
  <c r="M40" i="1"/>
  <c r="L15" i="1"/>
  <c r="L27" i="1"/>
  <c r="L38" i="1"/>
  <c r="L35" i="1"/>
  <c r="L29" i="1"/>
  <c r="L41" i="1"/>
  <c r="L32" i="1"/>
  <c r="L37" i="1"/>
  <c r="L33" i="1"/>
  <c r="L26" i="1"/>
  <c r="L40" i="1"/>
  <c r="L39" i="1"/>
  <c r="L30" i="1"/>
  <c r="L34" i="1"/>
  <c r="L31" i="1"/>
  <c r="L28" i="1"/>
  <c r="L36" i="1"/>
  <c r="K15" i="1"/>
  <c r="K41" i="1"/>
  <c r="K32" i="1"/>
  <c r="K38" i="1"/>
  <c r="K35" i="1"/>
  <c r="K29" i="1"/>
  <c r="K33" i="1"/>
  <c r="K39" i="1"/>
  <c r="K30" i="1"/>
  <c r="K26" i="1"/>
  <c r="K34" i="1"/>
  <c r="K37" i="1"/>
  <c r="K36" i="1"/>
  <c r="K40" i="1"/>
  <c r="K31" i="1"/>
  <c r="K28" i="1"/>
  <c r="K27" i="1"/>
  <c r="L13" i="1"/>
  <c r="K13" i="1"/>
  <c r="K51" i="1" s="1"/>
  <c r="P15" i="1"/>
  <c r="J15" i="1"/>
  <c r="J39" i="1"/>
  <c r="J30" i="1"/>
  <c r="J34" i="1"/>
  <c r="J40" i="1"/>
  <c r="J27" i="1"/>
  <c r="J26" i="1"/>
  <c r="J37" i="1"/>
  <c r="J28" i="1"/>
  <c r="J32" i="1"/>
  <c r="J38" i="1"/>
  <c r="J29" i="1"/>
  <c r="J35" i="1"/>
  <c r="J22" i="1"/>
  <c r="J23" i="1"/>
  <c r="J41" i="1"/>
  <c r="J24" i="1"/>
  <c r="J36" i="1"/>
  <c r="J25" i="1"/>
  <c r="J20" i="1"/>
  <c r="J33" i="1"/>
  <c r="J31" i="1"/>
  <c r="O15" i="1"/>
  <c r="N15" i="1"/>
  <c r="T13" i="1"/>
  <c r="T36" i="1"/>
  <c r="T26" i="1"/>
  <c r="T34" i="1"/>
  <c r="T40" i="1"/>
  <c r="T31" i="1"/>
  <c r="T28" i="1"/>
  <c r="T37" i="1"/>
  <c r="T27" i="1"/>
  <c r="T32" i="1"/>
  <c r="T38" i="1"/>
  <c r="T35" i="1"/>
  <c r="T29" i="1"/>
  <c r="T41" i="1"/>
  <c r="T33" i="1"/>
  <c r="T39" i="1"/>
  <c r="T30" i="1"/>
  <c r="S37" i="1"/>
  <c r="S26" i="1"/>
  <c r="S34" i="1"/>
  <c r="S40" i="1"/>
  <c r="S31" i="1"/>
  <c r="S28" i="1"/>
  <c r="S32" i="1"/>
  <c r="S29" i="1"/>
  <c r="S33" i="1"/>
  <c r="S27" i="1"/>
  <c r="S41" i="1"/>
  <c r="S38" i="1"/>
  <c r="S35" i="1"/>
  <c r="S39" i="1"/>
  <c r="S30" i="1"/>
  <c r="S36" i="1"/>
  <c r="R26" i="1"/>
  <c r="R37" i="1"/>
  <c r="R28" i="1"/>
  <c r="R39" i="1"/>
  <c r="R34" i="1"/>
  <c r="R40" i="1"/>
  <c r="R31" i="1"/>
  <c r="R27" i="1"/>
  <c r="R29" i="1"/>
  <c r="R33" i="1"/>
  <c r="R30" i="1"/>
  <c r="R41" i="1"/>
  <c r="R32" i="1"/>
  <c r="R38" i="1"/>
  <c r="R35" i="1"/>
  <c r="R36" i="1"/>
  <c r="Q34" i="1"/>
  <c r="Q27" i="1"/>
  <c r="Q40" i="1"/>
  <c r="Q31" i="1"/>
  <c r="Q37" i="1"/>
  <c r="Q28" i="1"/>
  <c r="Q41" i="1"/>
  <c r="Q32" i="1"/>
  <c r="Q33" i="1"/>
  <c r="Q38" i="1"/>
  <c r="Q35" i="1"/>
  <c r="Q29" i="1"/>
  <c r="Q39" i="1"/>
  <c r="Q36" i="1"/>
  <c r="Q26" i="1"/>
  <c r="Q30" i="1"/>
  <c r="U15" i="1"/>
  <c r="U13" i="1"/>
  <c r="U35" i="1"/>
  <c r="U31" i="1"/>
  <c r="U38" i="1"/>
  <c r="U26" i="1"/>
  <c r="U28" i="1"/>
  <c r="U40" i="1"/>
  <c r="U36" i="1"/>
  <c r="U30" i="1"/>
  <c r="U32" i="1"/>
  <c r="U33" i="1"/>
  <c r="U29" i="1"/>
  <c r="U27" i="1"/>
  <c r="U41" i="1"/>
  <c r="U37" i="1"/>
  <c r="U34" i="1"/>
  <c r="U39" i="1"/>
  <c r="R24" i="1"/>
  <c r="R20" i="1"/>
  <c r="R25" i="1"/>
  <c r="R21" i="1"/>
  <c r="R22" i="1"/>
  <c r="R23" i="1"/>
  <c r="P13" i="1"/>
  <c r="P24" i="1"/>
  <c r="P20" i="1"/>
  <c r="P25" i="1"/>
  <c r="P21" i="1"/>
  <c r="P22" i="1"/>
  <c r="P23" i="1"/>
  <c r="S23" i="1"/>
  <c r="S24" i="1"/>
  <c r="S20" i="1"/>
  <c r="S25" i="1"/>
  <c r="S21" i="1"/>
  <c r="S22" i="1"/>
  <c r="Q24" i="1"/>
  <c r="Q22" i="1"/>
  <c r="Q23" i="1"/>
  <c r="Q20" i="1"/>
  <c r="Q25" i="1"/>
  <c r="Q21" i="1"/>
  <c r="S13" i="1"/>
  <c r="O24" i="1"/>
  <c r="O20" i="1"/>
  <c r="O25" i="1"/>
  <c r="O21" i="1"/>
  <c r="O22" i="1"/>
  <c r="O23" i="1"/>
  <c r="R13" i="1"/>
  <c r="N25" i="1"/>
  <c r="N21" i="1"/>
  <c r="N24" i="1"/>
  <c r="N22" i="1"/>
  <c r="N23" i="1"/>
  <c r="N20" i="1"/>
  <c r="Q13" i="1"/>
  <c r="M13" i="1"/>
  <c r="M20" i="1"/>
  <c r="M25" i="1"/>
  <c r="M21" i="1"/>
  <c r="M22" i="1"/>
  <c r="M23" i="1"/>
  <c r="M24" i="1"/>
  <c r="O13" i="1"/>
  <c r="L20" i="1"/>
  <c r="L21" i="1"/>
  <c r="L25" i="1"/>
  <c r="L23" i="1"/>
  <c r="L22" i="1"/>
  <c r="L24" i="1"/>
  <c r="K25" i="1"/>
  <c r="K21" i="1"/>
  <c r="K20" i="1"/>
  <c r="K22" i="1"/>
  <c r="K23" i="1"/>
  <c r="K24" i="1"/>
  <c r="J13" i="1"/>
  <c r="J51" i="1" s="1"/>
  <c r="S15" i="1"/>
  <c r="U23" i="1"/>
  <c r="U25" i="1"/>
  <c r="U24" i="1"/>
  <c r="U20" i="1"/>
  <c r="U21" i="1"/>
  <c r="U22" i="1"/>
  <c r="R15" i="1"/>
  <c r="T23" i="1"/>
  <c r="T24" i="1"/>
  <c r="T21" i="1"/>
  <c r="T20" i="1"/>
  <c r="T25" i="1"/>
  <c r="T22" i="1"/>
  <c r="Q15" i="1"/>
  <c r="M43" i="1" l="1"/>
  <c r="N43" i="1"/>
  <c r="O44" i="1"/>
  <c r="J43" i="1"/>
  <c r="N44" i="1"/>
  <c r="Q44" i="1"/>
  <c r="M44" i="1"/>
  <c r="T44" i="1"/>
  <c r="K44" i="1"/>
  <c r="P44" i="1"/>
  <c r="J44" i="1"/>
  <c r="J46" i="1"/>
  <c r="J104" i="1" s="1"/>
  <c r="Q43" i="1"/>
  <c r="S43" i="1"/>
  <c r="T43" i="1"/>
  <c r="R44" i="1"/>
  <c r="R43" i="1"/>
  <c r="L44" i="1"/>
  <c r="S44" i="1"/>
  <c r="K43" i="1"/>
  <c r="O43" i="1"/>
  <c r="L43" i="1"/>
  <c r="P43" i="1"/>
  <c r="U43" i="1"/>
  <c r="U44" i="1"/>
  <c r="H20" i="1"/>
  <c r="F20" i="1" s="1"/>
  <c r="J107" i="1" l="1"/>
  <c r="H44" i="1"/>
  <c r="H43" i="1"/>
  <c r="K14" i="1" l="1"/>
  <c r="L14" i="1"/>
  <c r="M14" i="1"/>
  <c r="N14" i="1"/>
  <c r="O14" i="1"/>
  <c r="P14" i="1"/>
  <c r="Q14" i="1"/>
  <c r="R14" i="1"/>
  <c r="S14" i="1"/>
  <c r="T14" i="1"/>
  <c r="U14" i="1"/>
  <c r="B2" i="8"/>
  <c r="AY31" i="7" l="1"/>
  <c r="AV31" i="7"/>
  <c r="AY29" i="7"/>
  <c r="AY32" i="7" s="1"/>
  <c r="AV29" i="7"/>
  <c r="AV32" i="7" s="1"/>
  <c r="AY27" i="7"/>
  <c r="AW27" i="7"/>
  <c r="AV27" i="7"/>
  <c r="AU31" i="7"/>
  <c r="AR31" i="7"/>
  <c r="AU29" i="7"/>
  <c r="AU32" i="7" s="1"/>
  <c r="AR29" i="7"/>
  <c r="AR32" i="7" s="1"/>
  <c r="AU27" i="7"/>
  <c r="AS27" i="7"/>
  <c r="AR27" i="7"/>
  <c r="AQ31" i="7"/>
  <c r="AN31" i="7"/>
  <c r="AQ29" i="7"/>
  <c r="AQ32" i="7" s="1"/>
  <c r="AN29" i="7"/>
  <c r="AN32" i="7" s="1"/>
  <c r="AQ27" i="7"/>
  <c r="AO27" i="7"/>
  <c r="AN27" i="7"/>
  <c r="AM31" i="7"/>
  <c r="AJ31" i="7"/>
  <c r="AM29" i="7"/>
  <c r="AM32" i="7" s="1"/>
  <c r="AJ29" i="7"/>
  <c r="AJ32" i="7" s="1"/>
  <c r="AM27" i="7"/>
  <c r="AK27" i="7"/>
  <c r="AJ27" i="7"/>
  <c r="AI31" i="7"/>
  <c r="AF31" i="7"/>
  <c r="AI29" i="7"/>
  <c r="AI32" i="7" s="1"/>
  <c r="AF29" i="7"/>
  <c r="AF32" i="7" s="1"/>
  <c r="AI27" i="7"/>
  <c r="AG27" i="7"/>
  <c r="AF27" i="7"/>
  <c r="AE31" i="7"/>
  <c r="AB31" i="7"/>
  <c r="AE29" i="7"/>
  <c r="AE32" i="7" s="1"/>
  <c r="AB29" i="7"/>
  <c r="AB32" i="7" s="1"/>
  <c r="AE27" i="7"/>
  <c r="AC27" i="7"/>
  <c r="AB27" i="7"/>
  <c r="AA31" i="7"/>
  <c r="X31" i="7"/>
  <c r="AA29" i="7"/>
  <c r="AA32" i="7" s="1"/>
  <c r="X29" i="7"/>
  <c r="X32" i="7" s="1"/>
  <c r="AA27" i="7"/>
  <c r="Y27" i="7"/>
  <c r="X27" i="7"/>
  <c r="W31" i="7"/>
  <c r="T31" i="7"/>
  <c r="W29" i="7"/>
  <c r="W32" i="7" s="1"/>
  <c r="T29" i="7"/>
  <c r="T32" i="7" s="1"/>
  <c r="W27" i="7"/>
  <c r="U27" i="7"/>
  <c r="T27" i="7"/>
  <c r="S31" i="7"/>
  <c r="P31" i="7"/>
  <c r="S29" i="7"/>
  <c r="S32" i="7" s="1"/>
  <c r="P29" i="7"/>
  <c r="P32" i="7" s="1"/>
  <c r="S27" i="7"/>
  <c r="Q27" i="7"/>
  <c r="P27" i="7"/>
  <c r="O31" i="7"/>
  <c r="L31" i="7"/>
  <c r="L29" i="7"/>
  <c r="L32" i="7" s="1"/>
  <c r="M27" i="7"/>
  <c r="L27" i="7"/>
  <c r="H31" i="7"/>
  <c r="H29" i="7"/>
  <c r="H32" i="7" s="1"/>
  <c r="I27" i="7"/>
  <c r="H27" i="7"/>
  <c r="D31" i="7"/>
  <c r="D29" i="7"/>
  <c r="O15" i="7"/>
  <c r="O25" i="7"/>
  <c r="O24" i="7"/>
  <c r="O23" i="7"/>
  <c r="O22" i="7"/>
  <c r="O21" i="7"/>
  <c r="O20" i="7"/>
  <c r="O19" i="7"/>
  <c r="O18" i="7"/>
  <c r="O17" i="7"/>
  <c r="O16" i="7"/>
  <c r="O14" i="7"/>
  <c r="O13" i="7"/>
  <c r="O12" i="7"/>
  <c r="O11" i="7"/>
  <c r="O10" i="7"/>
  <c r="O9" i="7"/>
  <c r="O8" i="7"/>
  <c r="O7" i="7"/>
  <c r="O6" i="7"/>
  <c r="O5" i="7"/>
  <c r="O4" i="7"/>
  <c r="G7" i="7"/>
  <c r="O29" i="7" l="1"/>
  <c r="O32" i="7" s="1"/>
  <c r="O27" i="7"/>
  <c r="K12" i="7"/>
  <c r="K11" i="7"/>
  <c r="K10" i="7"/>
  <c r="K9" i="7"/>
  <c r="K8" i="7"/>
  <c r="K7" i="7"/>
  <c r="K6" i="7"/>
  <c r="K5" i="7"/>
  <c r="K20" i="7"/>
  <c r="K25" i="7"/>
  <c r="K24" i="7"/>
  <c r="K23" i="7"/>
  <c r="K22" i="7"/>
  <c r="K21" i="7"/>
  <c r="K19" i="7"/>
  <c r="K18" i="7"/>
  <c r="K17" i="7"/>
  <c r="K16" i="7"/>
  <c r="K15" i="7"/>
  <c r="K14" i="7"/>
  <c r="K13" i="7"/>
  <c r="K4" i="7"/>
  <c r="K29" i="7" l="1"/>
  <c r="K27" i="7"/>
  <c r="K31" i="7"/>
  <c r="K32" i="7" s="1"/>
  <c r="G25" i="7" l="1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6" i="7"/>
  <c r="G5" i="7"/>
  <c r="G4" i="7"/>
  <c r="H20" i="8" s="1"/>
  <c r="G20" i="8" s="1"/>
  <c r="G29" i="7" l="1"/>
  <c r="G31" i="7"/>
  <c r="G32" i="7" s="1"/>
  <c r="G27" i="7"/>
  <c r="Q2" i="10" l="1"/>
  <c r="A1" i="10"/>
  <c r="A2" i="10" s="1"/>
  <c r="B1" i="10"/>
  <c r="A1" i="7" s="1"/>
  <c r="R35" i="10" l="1"/>
  <c r="S47" i="10"/>
  <c r="S32" i="10"/>
  <c r="S46" i="10"/>
  <c r="S31" i="10"/>
  <c r="S45" i="10"/>
  <c r="R32" i="10"/>
  <c r="R31" i="10"/>
  <c r="S35" i="10"/>
  <c r="S28" i="10"/>
  <c r="R25" i="10"/>
  <c r="S27" i="10"/>
  <c r="S36" i="10"/>
  <c r="S42" i="10"/>
  <c r="S26" i="10"/>
  <c r="R28" i="10"/>
  <c r="R24" i="10"/>
  <c r="S41" i="10"/>
  <c r="S25" i="10"/>
  <c r="R40" i="10"/>
  <c r="S40" i="10"/>
  <c r="R42" i="10"/>
  <c r="R27" i="10"/>
  <c r="R26" i="10"/>
  <c r="S24" i="10"/>
  <c r="R41" i="10"/>
  <c r="R36" i="10"/>
  <c r="R18" i="10"/>
  <c r="S15" i="10"/>
  <c r="R17" i="10"/>
  <c r="S14" i="10"/>
  <c r="R16" i="10"/>
  <c r="S13" i="10"/>
  <c r="S19" i="10"/>
  <c r="R20" i="10"/>
  <c r="S17" i="10"/>
  <c r="S16" i="10"/>
  <c r="R15" i="10"/>
  <c r="R14" i="10"/>
  <c r="S5" i="10"/>
  <c r="S20" i="10"/>
  <c r="R13" i="10"/>
  <c r="R23" i="10"/>
  <c r="S18" i="10"/>
  <c r="R19" i="10"/>
  <c r="R11" i="10"/>
  <c r="Q5" i="10"/>
  <c r="Q47" i="10" s="1"/>
  <c r="S23" i="10"/>
  <c r="R9" i="10"/>
  <c r="P1" i="10"/>
  <c r="AZ5" i="7"/>
  <c r="BA5" i="7"/>
  <c r="BC5" i="7"/>
  <c r="AZ6" i="7"/>
  <c r="BA6" i="7"/>
  <c r="BC6" i="7"/>
  <c r="AZ7" i="7"/>
  <c r="BA7" i="7"/>
  <c r="BC7" i="7"/>
  <c r="AZ8" i="7"/>
  <c r="BA8" i="7"/>
  <c r="BC8" i="7"/>
  <c r="AZ9" i="7"/>
  <c r="BA9" i="7"/>
  <c r="BC9" i="7"/>
  <c r="AZ10" i="7"/>
  <c r="BA10" i="7"/>
  <c r="BC10" i="7"/>
  <c r="AZ11" i="7"/>
  <c r="BA11" i="7"/>
  <c r="BC11" i="7"/>
  <c r="AZ12" i="7"/>
  <c r="BA12" i="7"/>
  <c r="BC12" i="7"/>
  <c r="AZ13" i="7"/>
  <c r="BA13" i="7"/>
  <c r="BC13" i="7"/>
  <c r="AZ14" i="7"/>
  <c r="BA14" i="7"/>
  <c r="BC14" i="7"/>
  <c r="AZ15" i="7"/>
  <c r="BA15" i="7"/>
  <c r="BC15" i="7"/>
  <c r="AZ16" i="7"/>
  <c r="BA16" i="7"/>
  <c r="BC16" i="7"/>
  <c r="AZ17" i="7"/>
  <c r="BA17" i="7"/>
  <c r="BC17" i="7"/>
  <c r="AZ18" i="7"/>
  <c r="BA18" i="7"/>
  <c r="BC18" i="7"/>
  <c r="AZ19" i="7"/>
  <c r="BA19" i="7"/>
  <c r="BC19" i="7"/>
  <c r="AZ20" i="7"/>
  <c r="BA20" i="7"/>
  <c r="BC20" i="7"/>
  <c r="AZ21" i="7"/>
  <c r="BA21" i="7"/>
  <c r="BC21" i="7"/>
  <c r="AZ22" i="7"/>
  <c r="BA22" i="7"/>
  <c r="BC22" i="7"/>
  <c r="AZ23" i="7"/>
  <c r="BA23" i="7"/>
  <c r="BC23" i="7"/>
  <c r="AZ24" i="7"/>
  <c r="BA24" i="7"/>
  <c r="BC24" i="7"/>
  <c r="AZ25" i="7"/>
  <c r="BA25" i="7"/>
  <c r="BC25" i="7"/>
  <c r="AZ26" i="7"/>
  <c r="BA26" i="7"/>
  <c r="BC26" i="7"/>
  <c r="E27" i="7"/>
  <c r="AZ31" i="7" l="1"/>
  <c r="M5" i="10"/>
  <c r="M21" i="10"/>
  <c r="M6" i="10"/>
  <c r="M22" i="10"/>
  <c r="M7" i="10"/>
  <c r="M23" i="10"/>
  <c r="M8" i="10"/>
  <c r="M24" i="10"/>
  <c r="M9" i="10"/>
  <c r="M25" i="10"/>
  <c r="M10" i="10"/>
  <c r="M26" i="10"/>
  <c r="M11" i="10"/>
  <c r="M12" i="10"/>
  <c r="M13" i="10"/>
  <c r="M14" i="10"/>
  <c r="M20" i="10"/>
  <c r="M15" i="10"/>
  <c r="M16" i="10"/>
  <c r="M19" i="10"/>
  <c r="M17" i="10"/>
  <c r="M18" i="10"/>
  <c r="Q25" i="10"/>
  <c r="Q13" i="10"/>
  <c r="Q45" i="10"/>
  <c r="Q27" i="10"/>
  <c r="Q35" i="10"/>
  <c r="Q15" i="10"/>
  <c r="Q24" i="10"/>
  <c r="Q19" i="10"/>
  <c r="Q31" i="10"/>
  <c r="Q46" i="10"/>
  <c r="Q40" i="10"/>
  <c r="Q17" i="10"/>
  <c r="Q42" i="10"/>
  <c r="Q14" i="10"/>
  <c r="Q9" i="10"/>
  <c r="Q7" i="10"/>
  <c r="Q36" i="10"/>
  <c r="Q18" i="10"/>
  <c r="Q23" i="10"/>
  <c r="Q26" i="10"/>
  <c r="Q16" i="10"/>
  <c r="Q20" i="10"/>
  <c r="Q28" i="10"/>
  <c r="Q32" i="10"/>
  <c r="Q41" i="10"/>
  <c r="R29" i="10"/>
  <c r="S37" i="10"/>
  <c r="R37" i="10"/>
  <c r="R33" i="10"/>
  <c r="R21" i="10"/>
  <c r="S33" i="10"/>
  <c r="S21" i="10"/>
  <c r="R43" i="10"/>
  <c r="S43" i="10"/>
  <c r="S48" i="10"/>
  <c r="S29" i="10"/>
  <c r="BC31" i="7"/>
  <c r="S43" i="8"/>
  <c r="Q43" i="8"/>
  <c r="O43" i="8"/>
  <c r="N43" i="8"/>
  <c r="M43" i="8"/>
  <c r="Q37" i="10" l="1"/>
  <c r="Q48" i="10"/>
  <c r="Q29" i="10"/>
  <c r="Q21" i="10"/>
  <c r="Q43" i="10"/>
  <c r="Q33" i="10"/>
  <c r="S50" i="10"/>
  <c r="K43" i="8"/>
  <c r="J43" i="8"/>
  <c r="L43" i="8"/>
  <c r="U43" i="8"/>
  <c r="R43" i="8"/>
  <c r="H32" i="8"/>
  <c r="G32" i="8" s="1"/>
  <c r="T43" i="8"/>
  <c r="H40" i="8"/>
  <c r="G40" i="8" s="1"/>
  <c r="P43" i="8"/>
  <c r="H38" i="8"/>
  <c r="G38" i="8" s="1"/>
  <c r="H33" i="8"/>
  <c r="G33" i="8" s="1"/>
  <c r="H30" i="8"/>
  <c r="G30" i="8" s="1"/>
  <c r="H37" i="8"/>
  <c r="G37" i="8" s="1"/>
  <c r="H27" i="8"/>
  <c r="G27" i="8" s="1"/>
  <c r="H39" i="8"/>
  <c r="G39" i="8" s="1"/>
  <c r="H31" i="8"/>
  <c r="G31" i="8" s="1"/>
  <c r="H28" i="8"/>
  <c r="H36" i="8"/>
  <c r="G36" i="8" s="1"/>
  <c r="H35" i="8"/>
  <c r="G35" i="8" s="1"/>
  <c r="H34" i="8"/>
  <c r="G34" i="8" s="1"/>
  <c r="H29" i="8"/>
  <c r="G29" i="8" s="1"/>
  <c r="H43" i="8" l="1"/>
  <c r="Q50" i="10"/>
  <c r="D32" i="7"/>
  <c r="H102" i="1"/>
  <c r="H100" i="1"/>
  <c r="H99" i="1"/>
  <c r="H98" i="1"/>
  <c r="C135" i="1" s="1"/>
  <c r="H97" i="1"/>
  <c r="H89" i="1"/>
  <c r="H88" i="1"/>
  <c r="H87" i="1"/>
  <c r="H86" i="1"/>
  <c r="H85" i="1"/>
  <c r="H84" i="1"/>
  <c r="H83" i="1"/>
  <c r="U62" i="1"/>
  <c r="T62" i="1"/>
  <c r="S62" i="1"/>
  <c r="R62" i="1"/>
  <c r="Q62" i="1"/>
  <c r="P62" i="1"/>
  <c r="O62" i="1"/>
  <c r="N62" i="1"/>
  <c r="M62" i="1"/>
  <c r="L62" i="1"/>
  <c r="K62" i="1"/>
  <c r="J62" i="1"/>
  <c r="U59" i="1"/>
  <c r="T59" i="1"/>
  <c r="S59" i="1"/>
  <c r="R59" i="1"/>
  <c r="Q59" i="1"/>
  <c r="P59" i="1"/>
  <c r="O59" i="1"/>
  <c r="N59" i="1"/>
  <c r="M59" i="1"/>
  <c r="L59" i="1"/>
  <c r="K59" i="1"/>
  <c r="J59" i="1"/>
  <c r="U58" i="1"/>
  <c r="T58" i="1"/>
  <c r="S58" i="1"/>
  <c r="R58" i="1"/>
  <c r="Q58" i="1"/>
  <c r="P58" i="1"/>
  <c r="O58" i="1"/>
  <c r="N58" i="1"/>
  <c r="M58" i="1"/>
  <c r="L58" i="1"/>
  <c r="K58" i="1"/>
  <c r="J58" i="1"/>
  <c r="U56" i="1"/>
  <c r="T56" i="1"/>
  <c r="S56" i="1"/>
  <c r="R56" i="1"/>
  <c r="Q56" i="1"/>
  <c r="P56" i="1"/>
  <c r="O56" i="1"/>
  <c r="N56" i="1"/>
  <c r="M56" i="1"/>
  <c r="L56" i="1"/>
  <c r="K56" i="1"/>
  <c r="J56" i="1"/>
  <c r="M57" i="1" l="1"/>
  <c r="S60" i="1"/>
  <c r="Q61" i="1"/>
  <c r="M63" i="1"/>
  <c r="H56" i="1"/>
  <c r="H68" i="1"/>
  <c r="H69" i="1"/>
  <c r="H58" i="1"/>
  <c r="H70" i="1"/>
  <c r="H59" i="1"/>
  <c r="H71" i="1"/>
  <c r="H72" i="1"/>
  <c r="H62" i="1"/>
  <c r="H74" i="1"/>
  <c r="H75" i="1"/>
  <c r="H73" i="1"/>
  <c r="H76" i="1"/>
  <c r="H77" i="1"/>
  <c r="H94" i="1"/>
  <c r="H91" i="1"/>
  <c r="H92" i="1"/>
  <c r="O57" i="1"/>
  <c r="U60" i="1"/>
  <c r="S61" i="1"/>
  <c r="O63" i="1"/>
  <c r="K60" i="1"/>
  <c r="U61" i="1"/>
  <c r="Q63" i="1"/>
  <c r="T60" i="1"/>
  <c r="N63" i="1"/>
  <c r="P57" i="1"/>
  <c r="T61" i="1"/>
  <c r="P63" i="1"/>
  <c r="Q57" i="1"/>
  <c r="R57" i="1"/>
  <c r="L60" i="1"/>
  <c r="J61" i="1"/>
  <c r="R63" i="1"/>
  <c r="N57" i="1"/>
  <c r="R61" i="1"/>
  <c r="R78" i="1" s="1"/>
  <c r="J60" i="1"/>
  <c r="S57" i="1"/>
  <c r="M60" i="1"/>
  <c r="K61" i="1"/>
  <c r="S63" i="1"/>
  <c r="T63" i="1"/>
  <c r="T57" i="1"/>
  <c r="N60" i="1"/>
  <c r="L61" i="1"/>
  <c r="U57" i="1"/>
  <c r="O60" i="1"/>
  <c r="M61" i="1"/>
  <c r="U63" i="1"/>
  <c r="P60" i="1"/>
  <c r="J63" i="1"/>
  <c r="K57" i="1"/>
  <c r="Q60" i="1"/>
  <c r="O61" i="1"/>
  <c r="K63" i="1"/>
  <c r="J57" i="1"/>
  <c r="N61" i="1"/>
  <c r="L57" i="1"/>
  <c r="R60" i="1"/>
  <c r="P61" i="1"/>
  <c r="L63" i="1"/>
  <c r="H102" i="8"/>
  <c r="H101" i="8"/>
  <c r="H100" i="8"/>
  <c r="H99" i="8"/>
  <c r="H98" i="8"/>
  <c r="H97" i="8"/>
  <c r="H96" i="8"/>
  <c r="H95" i="8"/>
  <c r="H92" i="8"/>
  <c r="H91" i="8"/>
  <c r="H90" i="8"/>
  <c r="H89" i="8"/>
  <c r="H88" i="8"/>
  <c r="H87" i="8"/>
  <c r="H86" i="8"/>
  <c r="H85" i="8"/>
  <c r="H84" i="8"/>
  <c r="H83" i="8"/>
  <c r="H82" i="8"/>
  <c r="C133" i="1" l="1"/>
  <c r="K78" i="1"/>
  <c r="P78" i="1"/>
  <c r="T78" i="1"/>
  <c r="L78" i="1"/>
  <c r="J78" i="1"/>
  <c r="Q11" i="10" s="1"/>
  <c r="Q78" i="1"/>
  <c r="O78" i="1"/>
  <c r="N78" i="1"/>
  <c r="U78" i="1"/>
  <c r="S78" i="1"/>
  <c r="M78" i="1"/>
  <c r="S11" i="10"/>
  <c r="H103" i="1"/>
  <c r="H96" i="1"/>
  <c r="H105" i="1"/>
  <c r="C136" i="1"/>
  <c r="H66" i="1"/>
  <c r="H67" i="1"/>
  <c r="H65" i="1"/>
  <c r="H64" i="1"/>
  <c r="H63" i="1"/>
  <c r="H57" i="1"/>
  <c r="H61" i="1"/>
  <c r="H60" i="1"/>
  <c r="C137" i="1" l="1"/>
  <c r="C134" i="1"/>
  <c r="H78" i="1"/>
  <c r="C132" i="1" s="1"/>
  <c r="H56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22" i="1" l="1"/>
  <c r="F22" i="1" s="1"/>
  <c r="H24" i="1"/>
  <c r="F24" i="1" s="1"/>
  <c r="H35" i="1"/>
  <c r="F35" i="1" s="1"/>
  <c r="H36" i="1"/>
  <c r="F36" i="1" s="1"/>
  <c r="H37" i="1"/>
  <c r="F37" i="1" s="1"/>
  <c r="H38" i="1"/>
  <c r="F38" i="1" s="1"/>
  <c r="H39" i="1"/>
  <c r="F39" i="1" s="1"/>
  <c r="H40" i="1"/>
  <c r="F40" i="1" s="1"/>
  <c r="H41" i="1"/>
  <c r="U51" i="1"/>
  <c r="T51" i="1"/>
  <c r="S51" i="1"/>
  <c r="R51" i="1"/>
  <c r="Q51" i="1"/>
  <c r="P51" i="1"/>
  <c r="O51" i="1"/>
  <c r="N51" i="1"/>
  <c r="M51" i="1"/>
  <c r="L51" i="1"/>
  <c r="H28" i="1" l="1"/>
  <c r="F28" i="1" s="1"/>
  <c r="S9" i="10"/>
  <c r="S52" i="10" s="1"/>
  <c r="Q52" i="10"/>
  <c r="H25" i="1"/>
  <c r="F25" i="1" s="1"/>
  <c r="H27" i="1"/>
  <c r="F27" i="1" s="1"/>
  <c r="H26" i="1"/>
  <c r="F26" i="1" s="1"/>
  <c r="I5" i="10"/>
  <c r="F5" i="10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U173" i="8"/>
  <c r="K173" i="8"/>
  <c r="L173" i="8"/>
  <c r="M173" i="8"/>
  <c r="N173" i="8"/>
  <c r="O173" i="8"/>
  <c r="P173" i="8"/>
  <c r="Q173" i="8"/>
  <c r="R173" i="8"/>
  <c r="S173" i="8"/>
  <c r="T173" i="8"/>
  <c r="J173" i="8"/>
  <c r="I28" i="10" l="1"/>
  <c r="I27" i="10"/>
  <c r="I26" i="10"/>
  <c r="I25" i="10"/>
  <c r="I24" i="10"/>
  <c r="I23" i="10"/>
  <c r="F24" i="10"/>
  <c r="F47" i="10"/>
  <c r="F45" i="10"/>
  <c r="F32" i="10"/>
  <c r="F42" i="10"/>
  <c r="F41" i="10"/>
  <c r="F26" i="10"/>
  <c r="F40" i="10"/>
  <c r="F31" i="10"/>
  <c r="F36" i="10"/>
  <c r="F35" i="10"/>
  <c r="F25" i="10"/>
  <c r="F28" i="10"/>
  <c r="F27" i="10"/>
  <c r="F46" i="10"/>
  <c r="I15" i="10"/>
  <c r="I36" i="10"/>
  <c r="I17" i="10"/>
  <c r="I40" i="10"/>
  <c r="I16" i="10"/>
  <c r="I18" i="10"/>
  <c r="I19" i="10"/>
  <c r="I42" i="10"/>
  <c r="I20" i="10"/>
  <c r="I46" i="10"/>
  <c r="I31" i="10"/>
  <c r="I13" i="10"/>
  <c r="I32" i="10"/>
  <c r="I14" i="10"/>
  <c r="I35" i="10"/>
  <c r="F23" i="10"/>
  <c r="F13" i="10"/>
  <c r="F14" i="10"/>
  <c r="F15" i="10"/>
  <c r="F18" i="10"/>
  <c r="F19" i="10"/>
  <c r="F20" i="10"/>
  <c r="F16" i="10"/>
  <c r="F17" i="10"/>
  <c r="F29" i="10" l="1"/>
  <c r="I29" i="10"/>
  <c r="I33" i="10"/>
  <c r="I21" i="10"/>
  <c r="I37" i="10"/>
  <c r="F37" i="10"/>
  <c r="F33" i="10"/>
  <c r="F21" i="10"/>
  <c r="S44" i="8" l="1"/>
  <c r="P44" i="8"/>
  <c r="O44" i="8"/>
  <c r="H22" i="8"/>
  <c r="G22" i="8" s="1"/>
  <c r="M44" i="8"/>
  <c r="H21" i="8"/>
  <c r="G21" i="8" s="1"/>
  <c r="K44" i="8"/>
  <c r="H23" i="8"/>
  <c r="G23" i="8" s="1"/>
  <c r="H25" i="8"/>
  <c r="G25" i="8" s="1"/>
  <c r="H26" i="8"/>
  <c r="G26" i="8" s="1"/>
  <c r="H41" i="8"/>
  <c r="G41" i="8" s="1"/>
  <c r="J44" i="8"/>
  <c r="U16" i="8"/>
  <c r="T16" i="8"/>
  <c r="S16" i="8"/>
  <c r="R16" i="8"/>
  <c r="Q16" i="8"/>
  <c r="P16" i="8"/>
  <c r="O16" i="8"/>
  <c r="N16" i="8"/>
  <c r="M16" i="8"/>
  <c r="L16" i="8"/>
  <c r="K16" i="8"/>
  <c r="BC4" i="7"/>
  <c r="BC29" i="7" s="1"/>
  <c r="BC32" i="7" s="1"/>
  <c r="BA4" i="7"/>
  <c r="AZ4" i="7"/>
  <c r="AZ29" i="7" s="1"/>
  <c r="AZ32" i="7" s="1"/>
  <c r="M14" i="8" l="1"/>
  <c r="M105" i="8"/>
  <c r="M103" i="8"/>
  <c r="L105" i="8"/>
  <c r="L103" i="8"/>
  <c r="K105" i="8"/>
  <c r="K103" i="8"/>
  <c r="S14" i="8"/>
  <c r="T14" i="8"/>
  <c r="U14" i="8"/>
  <c r="R14" i="8"/>
  <c r="K14" i="8"/>
  <c r="L14" i="8"/>
  <c r="N14" i="8"/>
  <c r="O14" i="8"/>
  <c r="P14" i="8"/>
  <c r="Q14" i="8"/>
  <c r="N44" i="8"/>
  <c r="T44" i="8"/>
  <c r="Q44" i="8"/>
  <c r="L44" i="8"/>
  <c r="R44" i="8"/>
  <c r="U44" i="8"/>
  <c r="H24" i="8"/>
  <c r="G24" i="8" s="1"/>
  <c r="BA27" i="7"/>
  <c r="AZ28" i="7"/>
  <c r="J16" i="8"/>
  <c r="BA28" i="7"/>
  <c r="BC28" i="7"/>
  <c r="BC27" i="7"/>
  <c r="AZ27" i="7"/>
  <c r="C42" i="8"/>
  <c r="H44" i="8" l="1"/>
  <c r="J105" i="8"/>
  <c r="J103" i="8"/>
  <c r="P5" i="10"/>
  <c r="W16" i="8"/>
  <c r="G101" i="8" s="1"/>
  <c r="J14" i="8"/>
  <c r="W14" i="8" s="1"/>
  <c r="W15" i="8"/>
  <c r="R5" i="10"/>
  <c r="C135" i="8"/>
  <c r="E5" i="10"/>
  <c r="H5" i="10"/>
  <c r="C134" i="8"/>
  <c r="C133" i="8"/>
  <c r="R45" i="10" l="1"/>
  <c r="H105" i="8"/>
  <c r="R47" i="10"/>
  <c r="P47" i="10"/>
  <c r="P32" i="10"/>
  <c r="P26" i="10"/>
  <c r="P20" i="10"/>
  <c r="P45" i="10"/>
  <c r="P35" i="10"/>
  <c r="P9" i="10"/>
  <c r="P11" i="10"/>
  <c r="P25" i="10"/>
  <c r="P17" i="10"/>
  <c r="P13" i="10"/>
  <c r="P41" i="10"/>
  <c r="P40" i="10"/>
  <c r="P24" i="10"/>
  <c r="P36" i="10"/>
  <c r="P23" i="10"/>
  <c r="P42" i="10"/>
  <c r="P16" i="10"/>
  <c r="P31" i="10"/>
  <c r="P15" i="10"/>
  <c r="P19" i="10"/>
  <c r="P28" i="10"/>
  <c r="P18" i="10"/>
  <c r="P14" i="10"/>
  <c r="P27" i="10"/>
  <c r="H36" i="10"/>
  <c r="J36" i="10" s="1"/>
  <c r="H35" i="10"/>
  <c r="H32" i="10"/>
  <c r="J32" i="10" s="1"/>
  <c r="H31" i="10"/>
  <c r="H28" i="10"/>
  <c r="J28" i="10" s="1"/>
  <c r="H27" i="10"/>
  <c r="J27" i="10" s="1"/>
  <c r="H25" i="10"/>
  <c r="J25" i="10" s="1"/>
  <c r="H26" i="10"/>
  <c r="E45" i="10"/>
  <c r="E42" i="10"/>
  <c r="G42" i="10" s="1"/>
  <c r="E40" i="10"/>
  <c r="E32" i="10"/>
  <c r="G32" i="10" s="1"/>
  <c r="E25" i="10"/>
  <c r="G25" i="10" s="1"/>
  <c r="E28" i="10"/>
  <c r="G28" i="10" s="1"/>
  <c r="E47" i="10"/>
  <c r="E41" i="10"/>
  <c r="E36" i="10"/>
  <c r="G36" i="10" s="1"/>
  <c r="E35" i="10"/>
  <c r="G35" i="10" s="1"/>
  <c r="E31" i="10"/>
  <c r="G31" i="10" s="1"/>
  <c r="E27" i="10"/>
  <c r="G27" i="10" s="1"/>
  <c r="E26" i="10"/>
  <c r="G26" i="10" s="1"/>
  <c r="I10" i="8"/>
  <c r="I7" i="8"/>
  <c r="I4" i="8"/>
  <c r="E11" i="10"/>
  <c r="H9" i="10"/>
  <c r="H51" i="8"/>
  <c r="G51" i="8" s="1"/>
  <c r="W51" i="8"/>
  <c r="E18" i="10"/>
  <c r="G18" i="10" s="1"/>
  <c r="E24" i="10"/>
  <c r="G24" i="10" s="1"/>
  <c r="E15" i="10"/>
  <c r="G15" i="10" s="1"/>
  <c r="G40" i="10"/>
  <c r="E19" i="10"/>
  <c r="G19" i="10" s="1"/>
  <c r="E17" i="10"/>
  <c r="G17" i="10" s="1"/>
  <c r="E13" i="10"/>
  <c r="G13" i="10" s="1"/>
  <c r="E9" i="10"/>
  <c r="E16" i="10"/>
  <c r="G16" i="10" s="1"/>
  <c r="E23" i="10"/>
  <c r="G23" i="10" s="1"/>
  <c r="E20" i="10"/>
  <c r="G20" i="10" s="1"/>
  <c r="G5" i="10"/>
  <c r="E14" i="10"/>
  <c r="G14" i="10" s="1"/>
  <c r="H47" i="10"/>
  <c r="J5" i="10"/>
  <c r="H14" i="10"/>
  <c r="J14" i="10" s="1"/>
  <c r="H16" i="10"/>
  <c r="J16" i="10" s="1"/>
  <c r="H18" i="10"/>
  <c r="J18" i="10" s="1"/>
  <c r="H20" i="10"/>
  <c r="J20" i="10" s="1"/>
  <c r="H41" i="10"/>
  <c r="H13" i="10"/>
  <c r="H15" i="10"/>
  <c r="J15" i="10" s="1"/>
  <c r="H17" i="10"/>
  <c r="J17" i="10" s="1"/>
  <c r="H19" i="10"/>
  <c r="J19" i="10" s="1"/>
  <c r="H23" i="10"/>
  <c r="H40" i="10"/>
  <c r="J40" i="10" s="1"/>
  <c r="H45" i="10"/>
  <c r="H42" i="10"/>
  <c r="J42" i="10" s="1"/>
  <c r="H24" i="10"/>
  <c r="J24" i="10" s="1"/>
  <c r="J46" i="8"/>
  <c r="P7" i="10" s="1"/>
  <c r="R46" i="8"/>
  <c r="R104" i="8" s="1"/>
  <c r="R107" i="8" s="1"/>
  <c r="P46" i="8"/>
  <c r="P104" i="8" s="1"/>
  <c r="P107" i="8" s="1"/>
  <c r="T46" i="8"/>
  <c r="T104" i="8" s="1"/>
  <c r="K46" i="8"/>
  <c r="K104" i="8" s="1"/>
  <c r="Q46" i="8"/>
  <c r="Q104" i="8" s="1"/>
  <c r="N46" i="8"/>
  <c r="N104" i="8" s="1"/>
  <c r="B127" i="8"/>
  <c r="C137" i="8"/>
  <c r="O46" i="8"/>
  <c r="O104" i="8" s="1"/>
  <c r="O107" i="8" s="1"/>
  <c r="U46" i="8"/>
  <c r="U104" i="8" s="1"/>
  <c r="U107" i="8" s="1"/>
  <c r="M46" i="8"/>
  <c r="M104" i="8" s="1"/>
  <c r="M107" i="8" s="1"/>
  <c r="S46" i="8"/>
  <c r="S104" i="8" s="1"/>
  <c r="S107" i="8" s="1"/>
  <c r="L46" i="8"/>
  <c r="L104" i="8" s="1"/>
  <c r="L107" i="8" s="1"/>
  <c r="E7" i="10" l="1"/>
  <c r="P33" i="10"/>
  <c r="J104" i="8"/>
  <c r="R7" i="10"/>
  <c r="P37" i="10"/>
  <c r="H33" i="10"/>
  <c r="J107" i="8"/>
  <c r="J109" i="8" s="1"/>
  <c r="E46" i="10"/>
  <c r="G46" i="10" s="1"/>
  <c r="H46" i="10"/>
  <c r="J46" i="10" s="1"/>
  <c r="P29" i="10"/>
  <c r="P43" i="10"/>
  <c r="P21" i="10"/>
  <c r="I13" i="8"/>
  <c r="H7" i="10"/>
  <c r="G33" i="10"/>
  <c r="H11" i="10"/>
  <c r="E33" i="10"/>
  <c r="G21" i="10"/>
  <c r="G29" i="10"/>
  <c r="E43" i="10"/>
  <c r="E21" i="10"/>
  <c r="E29" i="10"/>
  <c r="E37" i="10"/>
  <c r="H29" i="10"/>
  <c r="J23" i="10"/>
  <c r="J13" i="10"/>
  <c r="J21" i="10" s="1"/>
  <c r="H21" i="10"/>
  <c r="J35" i="10"/>
  <c r="H37" i="10"/>
  <c r="J31" i="10"/>
  <c r="J33" i="10" s="1"/>
  <c r="H43" i="10"/>
  <c r="P109" i="8"/>
  <c r="P111" i="8" s="1"/>
  <c r="M109" i="8"/>
  <c r="M111" i="8" s="1"/>
  <c r="O109" i="8"/>
  <c r="O111" i="8" s="1"/>
  <c r="R109" i="8"/>
  <c r="R111" i="8" s="1"/>
  <c r="U109" i="8"/>
  <c r="U111" i="8" s="1"/>
  <c r="L109" i="8"/>
  <c r="L111" i="8" s="1"/>
  <c r="S109" i="8"/>
  <c r="S111" i="8" s="1"/>
  <c r="H46" i="8"/>
  <c r="C131" i="8"/>
  <c r="F134" i="8"/>
  <c r="F133" i="8"/>
  <c r="F135" i="8"/>
  <c r="F137" i="8"/>
  <c r="H78" i="8"/>
  <c r="C136" i="8"/>
  <c r="F136" i="8" s="1"/>
  <c r="W78" i="8"/>
  <c r="W46" i="8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W15" i="1"/>
  <c r="H104" i="8" l="1"/>
  <c r="R46" i="10"/>
  <c r="R48" i="10" s="1"/>
  <c r="R50" i="10" s="1"/>
  <c r="R52" i="10" s="1"/>
  <c r="R54" i="10" s="1"/>
  <c r="R55" i="10" s="1"/>
  <c r="P46" i="10"/>
  <c r="P48" i="10" s="1"/>
  <c r="P50" i="10" s="1"/>
  <c r="P52" i="10" s="1"/>
  <c r="P54" i="10" s="1"/>
  <c r="P55" i="10" s="1"/>
  <c r="E48" i="10"/>
  <c r="E50" i="10" s="1"/>
  <c r="E52" i="10" s="1"/>
  <c r="E54" i="10" s="1"/>
  <c r="H48" i="10"/>
  <c r="H50" i="10" s="1"/>
  <c r="H52" i="10" s="1"/>
  <c r="H54" i="10" s="1"/>
  <c r="H55" i="10" s="1"/>
  <c r="J111" i="8"/>
  <c r="E128" i="8"/>
  <c r="G128" i="8" s="1"/>
  <c r="C132" i="8"/>
  <c r="F132" i="8" s="1"/>
  <c r="G78" i="8"/>
  <c r="F131" i="8"/>
  <c r="W16" i="1"/>
  <c r="G78" i="1" l="1"/>
  <c r="G101" i="1"/>
  <c r="I10" i="1"/>
  <c r="I7" i="1"/>
  <c r="I4" i="1"/>
  <c r="I13" i="1" s="1"/>
  <c r="W14" i="1"/>
  <c r="W17" i="1"/>
  <c r="W20" i="1" s="1"/>
  <c r="I45" i="10"/>
  <c r="F9" i="10"/>
  <c r="G9" i="10" s="1"/>
  <c r="I9" i="10"/>
  <c r="J9" i="10" s="1"/>
  <c r="G47" i="10"/>
  <c r="I47" i="10"/>
  <c r="J47" i="10" s="1"/>
  <c r="I41" i="10"/>
  <c r="E55" i="10"/>
  <c r="B127" i="1"/>
  <c r="W51" i="1"/>
  <c r="H51" i="1"/>
  <c r="C131" i="1" s="1"/>
  <c r="F131" i="1" l="1"/>
  <c r="G51" i="1"/>
  <c r="J41" i="10"/>
  <c r="J43" i="10" s="1"/>
  <c r="I43" i="10"/>
  <c r="G41" i="10"/>
  <c r="G43" i="10" s="1"/>
  <c r="F43" i="10"/>
  <c r="F137" i="1"/>
  <c r="W78" i="1"/>
  <c r="F11" i="10"/>
  <c r="I11" i="10"/>
  <c r="J11" i="10" s="1"/>
  <c r="F48" i="10"/>
  <c r="G45" i="10"/>
  <c r="G48" i="10" s="1"/>
  <c r="J45" i="10"/>
  <c r="J48" i="10" s="1"/>
  <c r="I48" i="10"/>
  <c r="F135" i="1"/>
  <c r="F133" i="1"/>
  <c r="F134" i="1"/>
  <c r="F136" i="1"/>
  <c r="W37" i="1"/>
  <c r="W25" i="1"/>
  <c r="W39" i="1"/>
  <c r="W27" i="1"/>
  <c r="W29" i="1"/>
  <c r="W34" i="1"/>
  <c r="W22" i="1"/>
  <c r="W41" i="1"/>
  <c r="W36" i="1"/>
  <c r="W24" i="1"/>
  <c r="W31" i="1"/>
  <c r="W38" i="1"/>
  <c r="W26" i="1"/>
  <c r="W33" i="1"/>
  <c r="W21" i="1"/>
  <c r="W40" i="1"/>
  <c r="W28" i="1"/>
  <c r="W32" i="1"/>
  <c r="W35" i="1"/>
  <c r="W23" i="1"/>
  <c r="W30" i="1"/>
  <c r="J109" i="1"/>
  <c r="F50" i="10" l="1"/>
  <c r="F52" i="10" s="1"/>
  <c r="G52" i="10" s="1"/>
  <c r="G11" i="10"/>
  <c r="W43" i="1"/>
  <c r="I50" i="10"/>
  <c r="I52" i="10" s="1"/>
  <c r="J52" i="10" s="1"/>
  <c r="F132" i="1"/>
  <c r="J50" i="10" l="1"/>
  <c r="G50" i="10"/>
  <c r="M46" i="1"/>
  <c r="N46" i="1"/>
  <c r="H33" i="1"/>
  <c r="F33" i="1" s="1"/>
  <c r="K46" i="1"/>
  <c r="O46" i="1"/>
  <c r="L46" i="1"/>
  <c r="J111" i="1"/>
  <c r="H31" i="1"/>
  <c r="F31" i="1" s="1"/>
  <c r="H32" i="1"/>
  <c r="F32" i="1" s="1"/>
  <c r="S46" i="1"/>
  <c r="T46" i="1"/>
  <c r="U46" i="1"/>
  <c r="H34" i="1"/>
  <c r="F34" i="1" s="1"/>
  <c r="R46" i="1"/>
  <c r="H29" i="1"/>
  <c r="F29" i="1" s="1"/>
  <c r="H30" i="1"/>
  <c r="F30" i="1" s="1"/>
  <c r="H21" i="1"/>
  <c r="F21" i="1" s="1"/>
  <c r="Q46" i="1"/>
  <c r="H23" i="1"/>
  <c r="F23" i="1" s="1"/>
  <c r="P46" i="1"/>
  <c r="P104" i="1" s="1"/>
  <c r="P107" i="1" s="1"/>
  <c r="P109" i="1" s="1"/>
  <c r="L104" i="1" l="1"/>
  <c r="L107" i="1" s="1"/>
  <c r="L109" i="1" s="1"/>
  <c r="L111" i="1" s="1"/>
  <c r="O104" i="1"/>
  <c r="O107" i="1" s="1"/>
  <c r="O109" i="1" s="1"/>
  <c r="O111" i="1" s="1"/>
  <c r="N104" i="1"/>
  <c r="N107" i="1" s="1"/>
  <c r="N109" i="1" s="1"/>
  <c r="N111" i="1" s="1"/>
  <c r="U104" i="1"/>
  <c r="U107" i="1" s="1"/>
  <c r="U109" i="1" s="1"/>
  <c r="U111" i="1" s="1"/>
  <c r="K104" i="1"/>
  <c r="Q104" i="1"/>
  <c r="Q107" i="1" s="1"/>
  <c r="Q109" i="1" s="1"/>
  <c r="Q111" i="1" s="1"/>
  <c r="M104" i="1"/>
  <c r="M107" i="1" s="1"/>
  <c r="M109" i="1" s="1"/>
  <c r="M111" i="1" s="1"/>
  <c r="S104" i="1"/>
  <c r="S107" i="1" s="1"/>
  <c r="S109" i="1" s="1"/>
  <c r="S111" i="1" s="1"/>
  <c r="R104" i="1"/>
  <c r="R107" i="1" s="1"/>
  <c r="R109" i="1" s="1"/>
  <c r="R111" i="1" s="1"/>
  <c r="T104" i="1"/>
  <c r="T107" i="1" s="1"/>
  <c r="T109" i="1" s="1"/>
  <c r="T111" i="1" s="1"/>
  <c r="F7" i="10"/>
  <c r="F54" i="10" s="1"/>
  <c r="F55" i="10" s="1"/>
  <c r="W46" i="1"/>
  <c r="P111" i="1"/>
  <c r="H46" i="1"/>
  <c r="I7" i="10"/>
  <c r="J26" i="10" s="1"/>
  <c r="J29" i="10" s="1"/>
  <c r="S7" i="10"/>
  <c r="S54" i="10" s="1"/>
  <c r="S55" i="10" s="1"/>
  <c r="Q54" i="10"/>
  <c r="Q55" i="10" s="1"/>
  <c r="H104" i="1" l="1"/>
  <c r="K107" i="1"/>
  <c r="K109" i="1" s="1"/>
  <c r="G46" i="1"/>
  <c r="E128" i="1"/>
  <c r="G7" i="10"/>
  <c r="G54" i="10"/>
  <c r="G55" i="10" s="1"/>
  <c r="I54" i="10"/>
  <c r="J7" i="10"/>
  <c r="W109" i="1" l="1"/>
  <c r="K111" i="1"/>
  <c r="W111" i="1" s="1"/>
  <c r="C138" i="1"/>
  <c r="H107" i="1"/>
  <c r="G128" i="1"/>
  <c r="I55" i="10"/>
  <c r="J54" i="10"/>
  <c r="J55" i="10" s="1"/>
  <c r="H109" i="1" l="1"/>
  <c r="H111" i="1" s="1"/>
  <c r="G107" i="1"/>
  <c r="F138" i="1"/>
  <c r="G138" i="1" s="1"/>
  <c r="G139" i="1" s="1"/>
  <c r="E138" i="1"/>
  <c r="E139" i="1" s="1"/>
  <c r="N107" i="8"/>
  <c r="N109" i="8" s="1"/>
  <c r="N111" i="8" s="1"/>
  <c r="T107" i="8"/>
  <c r="T109" i="8" s="1"/>
  <c r="T111" i="8" s="1"/>
  <c r="K107" i="8"/>
  <c r="K109" i="8" s="1"/>
  <c r="K111" i="8" s="1"/>
  <c r="Q107" i="8"/>
  <c r="Q109" i="8"/>
  <c r="Q111" i="8" s="1"/>
  <c r="H103" i="8"/>
  <c r="H107" i="8" s="1"/>
  <c r="H109" i="8" s="1"/>
  <c r="W111" i="8" l="1"/>
  <c r="H111" i="8"/>
  <c r="G107" i="8"/>
  <c r="W109" i="8"/>
  <c r="C138" i="8"/>
  <c r="E138" i="8" l="1"/>
  <c r="E139" i="8" s="1"/>
  <c r="F138" i="8"/>
  <c r="G138" i="8" s="1"/>
  <c r="G139" i="8" s="1"/>
</calcChain>
</file>

<file path=xl/sharedStrings.xml><?xml version="1.0" encoding="utf-8"?>
<sst xmlns="http://schemas.openxmlformats.org/spreadsheetml/2006/main" count="6548" uniqueCount="278">
  <si>
    <t>Input</t>
  </si>
  <si>
    <t>PRODUCTION &amp; RATE</t>
  </si>
  <si>
    <t>Total</t>
  </si>
  <si>
    <t>Roadline</t>
  </si>
  <si>
    <t>Daily production</t>
  </si>
  <si>
    <t>Days worked</t>
  </si>
  <si>
    <t>Harvesting Rate</t>
  </si>
  <si>
    <t>Groundbase</t>
  </si>
  <si>
    <t>Hauler</t>
  </si>
  <si>
    <t>Average</t>
  </si>
  <si>
    <t>Tonnes Harvested</t>
  </si>
  <si>
    <t>Vol/ha</t>
  </si>
  <si>
    <t>REVENUE</t>
  </si>
  <si>
    <t>Grade</t>
  </si>
  <si>
    <t>Grade Mix %</t>
  </si>
  <si>
    <t>Sale unit</t>
  </si>
  <si>
    <t>Sale unit/t</t>
  </si>
  <si>
    <t>Price/Unit</t>
  </si>
  <si>
    <t>TOTAL</t>
  </si>
  <si>
    <t>JAS</t>
  </si>
  <si>
    <t>P35</t>
  </si>
  <si>
    <t>Tonnes</t>
  </si>
  <si>
    <t>S30</t>
  </si>
  <si>
    <t>AO</t>
  </si>
  <si>
    <t>A</t>
  </si>
  <si>
    <t>S20</t>
  </si>
  <si>
    <t>K</t>
  </si>
  <si>
    <t>KI</t>
  </si>
  <si>
    <t>KI stub</t>
  </si>
  <si>
    <t>KIS</t>
  </si>
  <si>
    <t>Domestic Pulp</t>
  </si>
  <si>
    <t>CF+</t>
  </si>
  <si>
    <t>CF-</t>
  </si>
  <si>
    <t>CM</t>
  </si>
  <si>
    <t>FW</t>
  </si>
  <si>
    <t>Euc A</t>
  </si>
  <si>
    <t>Euc K</t>
  </si>
  <si>
    <t>Euc Pulp</t>
  </si>
  <si>
    <t>Spare grade</t>
  </si>
  <si>
    <t>Export Sales</t>
  </si>
  <si>
    <t>Domestic Sales</t>
  </si>
  <si>
    <t>COSTS</t>
  </si>
  <si>
    <t>Log and Load</t>
  </si>
  <si>
    <t>Log Transport</t>
  </si>
  <si>
    <t>Op Code</t>
  </si>
  <si>
    <t>Destination</t>
  </si>
  <si>
    <t>Cost/t</t>
  </si>
  <si>
    <t>Transport</t>
  </si>
  <si>
    <t>Non-docket costs</t>
  </si>
  <si>
    <t>Operation</t>
  </si>
  <si>
    <t>Resource</t>
  </si>
  <si>
    <t>Product</t>
  </si>
  <si>
    <t>Tracking</t>
  </si>
  <si>
    <t>Logging</t>
  </si>
  <si>
    <t>Road control</t>
  </si>
  <si>
    <t>Powerline costs</t>
  </si>
  <si>
    <t>Deadman</t>
  </si>
  <si>
    <t>Two-stage</t>
  </si>
  <si>
    <t>Other</t>
  </si>
  <si>
    <t>Infrastructure</t>
  </si>
  <si>
    <t>Skid construction</t>
  </si>
  <si>
    <t>Maintenance</t>
  </si>
  <si>
    <t>Post harvest costs</t>
  </si>
  <si>
    <t>Indirect costs</t>
  </si>
  <si>
    <t>Weighbridge</t>
  </si>
  <si>
    <t>Environmental monitoring/consents</t>
  </si>
  <si>
    <t>Forest levy</t>
  </si>
  <si>
    <t>Mgmt/Admin</t>
  </si>
  <si>
    <t>Harvest management fee</t>
  </si>
  <si>
    <t>Total non-docket costs</t>
  </si>
  <si>
    <t>Total Costs</t>
  </si>
  <si>
    <t>Net Harvest Total</t>
  </si>
  <si>
    <t>Engineering</t>
  </si>
  <si>
    <t>Metres constructed or number of skids/pads</t>
  </si>
  <si>
    <r>
      <t>Existing road upgrade-</t>
    </r>
    <r>
      <rPr>
        <i/>
        <sz val="11"/>
        <color theme="1"/>
        <rFont val="Calibri"/>
        <family val="2"/>
        <scheme val="minor"/>
      </rPr>
      <t xml:space="preserve">Substantially </t>
    </r>
    <r>
      <rPr>
        <sz val="11"/>
        <color theme="1"/>
        <rFont val="Calibri"/>
        <family val="2"/>
        <scheme val="minor"/>
      </rPr>
      <t>metalled or sealed</t>
    </r>
  </si>
  <si>
    <t>cost/m</t>
  </si>
  <si>
    <r>
      <t>New road construction-</t>
    </r>
    <r>
      <rPr>
        <i/>
        <sz val="11"/>
        <color theme="1"/>
        <rFont val="Calibri"/>
        <family val="2"/>
        <scheme val="minor"/>
      </rPr>
      <t>Substantially</t>
    </r>
    <r>
      <rPr>
        <sz val="11"/>
        <color theme="1"/>
        <rFont val="Calibri"/>
        <family val="2"/>
        <scheme val="minor"/>
      </rPr>
      <t xml:space="preserve"> metalled or sealed</t>
    </r>
  </si>
  <si>
    <r>
      <t>Existing road upgrade-</t>
    </r>
    <r>
      <rPr>
        <i/>
        <sz val="11"/>
        <color theme="1"/>
        <rFont val="Calibri"/>
        <family val="2"/>
        <scheme val="minor"/>
      </rPr>
      <t>Partially</t>
    </r>
    <r>
      <rPr>
        <sz val="11"/>
        <color theme="1"/>
        <rFont val="Calibri"/>
        <family val="2"/>
        <scheme val="minor"/>
      </rPr>
      <t xml:space="preserve"> metalled or sealed</t>
    </r>
  </si>
  <si>
    <r>
      <t>New road construction-</t>
    </r>
    <r>
      <rPr>
        <i/>
        <sz val="11"/>
        <color theme="1"/>
        <rFont val="Calibri"/>
        <family val="2"/>
        <scheme val="minor"/>
      </rPr>
      <t>Partially</t>
    </r>
    <r>
      <rPr>
        <sz val="11"/>
        <color theme="1"/>
        <rFont val="Calibri"/>
        <family val="2"/>
        <scheme val="minor"/>
      </rPr>
      <t xml:space="preserve"> metalled or sealed</t>
    </r>
  </si>
  <si>
    <t>cost/skid</t>
  </si>
  <si>
    <t>Pad construction</t>
  </si>
  <si>
    <t>cost/pad</t>
  </si>
  <si>
    <t>Summary</t>
  </si>
  <si>
    <t>Volume (t)</t>
  </si>
  <si>
    <t>Total $</t>
  </si>
  <si>
    <t>Per tonne</t>
  </si>
  <si>
    <t>Sales revenue</t>
  </si>
  <si>
    <t>Costs</t>
  </si>
  <si>
    <t>Logging costs</t>
  </si>
  <si>
    <t>Transport costs</t>
  </si>
  <si>
    <t>Road Maintenance</t>
  </si>
  <si>
    <t>Post harvest clean-up</t>
  </si>
  <si>
    <t>Admin</t>
  </si>
  <si>
    <t>Forest Management fees</t>
  </si>
  <si>
    <t>Land/Aerial Desiccation</t>
  </si>
  <si>
    <t>Survival Assessment</t>
  </si>
  <si>
    <t>Blanking</t>
  </si>
  <si>
    <t>Releasing</t>
  </si>
  <si>
    <t>Roadside Prune</t>
  </si>
  <si>
    <t>Roadway Spraying</t>
  </si>
  <si>
    <t>Quality Control</t>
  </si>
  <si>
    <t>Thinning</t>
  </si>
  <si>
    <t>W/L/Dothi control</t>
  </si>
  <si>
    <t>Forest Health</t>
  </si>
  <si>
    <t>Fire Protection/Equipment</t>
  </si>
  <si>
    <t>Power</t>
  </si>
  <si>
    <t>Security</t>
  </si>
  <si>
    <t>Other Forest Maintenance</t>
  </si>
  <si>
    <t>Management</t>
  </si>
  <si>
    <t>Windrowing</t>
  </si>
  <si>
    <t xml:space="preserve">Handfell </t>
  </si>
  <si>
    <t>Toppling Correction</t>
  </si>
  <si>
    <t>Regeneration Treatment</t>
  </si>
  <si>
    <t>Administration</t>
  </si>
  <si>
    <t>Planting/Fertilising</t>
  </si>
  <si>
    <t>Health&amp;Saftey</t>
  </si>
  <si>
    <t xml:space="preserve">Council Land Rates - PFO </t>
  </si>
  <si>
    <t>Radio Equipment</t>
  </si>
  <si>
    <t>Fence &amp; Gate</t>
  </si>
  <si>
    <t>Pre - Harvesting Inventory</t>
  </si>
  <si>
    <t>Professional Cost - Other</t>
  </si>
  <si>
    <t>Environmental - FSC</t>
  </si>
  <si>
    <t>Mapping</t>
  </si>
  <si>
    <t>YTD</t>
  </si>
  <si>
    <t>Actual</t>
  </si>
  <si>
    <t>Budget</t>
  </si>
  <si>
    <t>Variance</t>
  </si>
  <si>
    <t>a</t>
  </si>
  <si>
    <t>b</t>
  </si>
  <si>
    <t>c=b-a</t>
  </si>
  <si>
    <t>d</t>
  </si>
  <si>
    <t>e</t>
  </si>
  <si>
    <t>f=e-d</t>
  </si>
  <si>
    <t>Volume (T)</t>
  </si>
  <si>
    <t>f</t>
  </si>
  <si>
    <t>Sales/T</t>
  </si>
  <si>
    <t>g</t>
  </si>
  <si>
    <t>Logging/T</t>
  </si>
  <si>
    <t>h</t>
  </si>
  <si>
    <t>Cartage/T</t>
  </si>
  <si>
    <t>i</t>
  </si>
  <si>
    <t>Logging Subtotal</t>
  </si>
  <si>
    <t>j</t>
  </si>
  <si>
    <t>Infrastructure Subtotal</t>
  </si>
  <si>
    <t>k</t>
  </si>
  <si>
    <t>Maintenance Subtotal</t>
  </si>
  <si>
    <t>l</t>
  </si>
  <si>
    <t>Post harvest subtotal</t>
  </si>
  <si>
    <t>m</t>
  </si>
  <si>
    <t>Indirect costs subtotal</t>
  </si>
  <si>
    <t>n</t>
  </si>
  <si>
    <t>Mgmt/Admin subtotal</t>
  </si>
  <si>
    <t>o</t>
  </si>
  <si>
    <t>Total Non-docket costs/T</t>
  </si>
  <si>
    <t>p=j+k+l+m+n+o</t>
  </si>
  <si>
    <t>Total costs/T</t>
  </si>
  <si>
    <t>q=h+i+p</t>
  </si>
  <si>
    <t>Net Stumpage/T</t>
  </si>
  <si>
    <t>r=g-q</t>
  </si>
  <si>
    <t>Total net stumpage</t>
  </si>
  <si>
    <t>s=r*f</t>
  </si>
  <si>
    <t>Cost of Tree- Market value</t>
  </si>
  <si>
    <t>t</t>
  </si>
  <si>
    <t>Variance Cost of tree- Net stumpage</t>
  </si>
  <si>
    <t>u=r-t</t>
  </si>
  <si>
    <t>Region</t>
  </si>
  <si>
    <t>Volume
/T</t>
  </si>
  <si>
    <t>Volume
/Jas</t>
  </si>
  <si>
    <t>Price
/Jas</t>
  </si>
  <si>
    <t>Amount
(NZD)</t>
  </si>
  <si>
    <t>Export</t>
  </si>
  <si>
    <t xml:space="preserve">P40 </t>
  </si>
  <si>
    <t>Domestic</t>
  </si>
  <si>
    <t xml:space="preserve">P30 </t>
  </si>
  <si>
    <t>Binwood</t>
  </si>
  <si>
    <t>P40</t>
  </si>
  <si>
    <t>P30</t>
  </si>
  <si>
    <t>Stand</t>
  </si>
  <si>
    <t>Months</t>
  </si>
  <si>
    <t>January</t>
  </si>
  <si>
    <t>Remedy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</si>
  <si>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</si>
  <si>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</si>
  <si>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</si>
  <si>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</si>
  <si>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</si>
  <si>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</si>
  <si>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</si>
  <si>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</si>
  <si>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</si>
  <si>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</si>
  <si>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</si>
  <si>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300/02</t>
  </si>
  <si>
    <t>300/01</t>
  </si>
  <si>
    <t>300/05</t>
  </si>
  <si>
    <t>300/14</t>
  </si>
  <si>
    <t>300/10</t>
  </si>
  <si>
    <t>300/11</t>
  </si>
  <si>
    <t>300/03</t>
  </si>
  <si>
    <t>330/04</t>
  </si>
  <si>
    <t>300/08</t>
  </si>
  <si>
    <t>300/12</t>
  </si>
  <si>
    <t>Spare Grade</t>
  </si>
  <si>
    <t>Unit</t>
  </si>
  <si>
    <t>Amount</t>
  </si>
  <si>
    <t>Other infrastructure</t>
  </si>
  <si>
    <t>cost/unit</t>
  </si>
  <si>
    <t>Hectare (ha)</t>
  </si>
  <si>
    <t>Monthly Working Days</t>
  </si>
  <si>
    <t>Estimated Tonnes (ha)</t>
  </si>
  <si>
    <t>Conversion Rate</t>
  </si>
  <si>
    <t>Sale unit/Vol</t>
  </si>
  <si>
    <t>300/04</t>
  </si>
  <si>
    <t>300/06</t>
  </si>
  <si>
    <t>300/07</t>
  </si>
  <si>
    <t>300/09</t>
  </si>
  <si>
    <t>300/16</t>
  </si>
  <si>
    <t>300/17</t>
  </si>
  <si>
    <t>300/18</t>
  </si>
  <si>
    <t>300/19</t>
  </si>
  <si>
    <t>Activity</t>
  </si>
  <si>
    <t>AWG</t>
  </si>
  <si>
    <t>Eucalyptus</t>
  </si>
  <si>
    <t xml:space="preserve">Oji FS </t>
  </si>
  <si>
    <t>Tauranga</t>
  </si>
  <si>
    <t>New Road Metalled or sealed</t>
  </si>
  <si>
    <t>Upgrade Road metalled or sealed</t>
  </si>
  <si>
    <t>Logging Machinery establishment/transportation</t>
  </si>
  <si>
    <t>Fencing &amp; gate construction</t>
  </si>
  <si>
    <t>Harvest Planning</t>
  </si>
  <si>
    <t>Maintenance Forest Road</t>
  </si>
  <si>
    <t>Maintenance Public Road</t>
  </si>
  <si>
    <t>Skid/Pad maintenance</t>
  </si>
  <si>
    <t>Post-harvest clean-up</t>
  </si>
  <si>
    <t>Insurance Payment protection (domestic sales only)</t>
  </si>
  <si>
    <t>Health and safety and Auditing</t>
  </si>
  <si>
    <t>Pad upgrade</t>
  </si>
  <si>
    <t>Skid upgrade</t>
  </si>
  <si>
    <t>Roading machinery establishment/transportation</t>
  </si>
  <si>
    <t>Unit Rate</t>
  </si>
  <si>
    <t>Vol</t>
  </si>
  <si>
    <t>Total Monthly Working Days</t>
  </si>
  <si>
    <t>Total production</t>
  </si>
  <si>
    <t>Invoice Tonnes</t>
  </si>
  <si>
    <t>Harvested Tonnes</t>
  </si>
  <si>
    <t>Variance Tones</t>
  </si>
  <si>
    <t>Tasman</t>
  </si>
  <si>
    <t>CHH</t>
  </si>
  <si>
    <t>Pukepine</t>
  </si>
  <si>
    <t>Thames</t>
  </si>
  <si>
    <t>Katikati</t>
  </si>
  <si>
    <t>CPLY</t>
  </si>
  <si>
    <t>Kinlieth</t>
  </si>
  <si>
    <t xml:space="preserve"> </t>
  </si>
  <si>
    <t>Year</t>
  </si>
  <si>
    <t>Month</t>
  </si>
  <si>
    <t>Forest Name</t>
  </si>
  <si>
    <t>Grade Breakdown</t>
  </si>
  <si>
    <t>Species</t>
  </si>
  <si>
    <t>Customer</t>
  </si>
  <si>
    <t>Tonnes #</t>
  </si>
  <si>
    <t>JAS #</t>
  </si>
  <si>
    <t>At mill/port Door Price</t>
  </si>
  <si>
    <t>Waipuna</t>
  </si>
  <si>
    <t>Whakatikei</t>
  </si>
  <si>
    <t>Rangatira Utiku Block</t>
  </si>
  <si>
    <t>Mount Erin</t>
  </si>
  <si>
    <t>Rawhitiroa</t>
  </si>
  <si>
    <t>Kanuka</t>
  </si>
  <si>
    <t>Eastfork</t>
  </si>
  <si>
    <t>FCO</t>
  </si>
  <si>
    <t>Scragwood</t>
  </si>
  <si>
    <t>Radiata</t>
  </si>
  <si>
    <t>S40</t>
  </si>
  <si>
    <t>Amount in NZ$</t>
  </si>
  <si>
    <t>Market</t>
  </si>
  <si>
    <t>Lengh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</si>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</sst>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_-;\-* #,##0_-;_-* &quot;-&quot;??_-;_-@_-"/>
    <numFmt numFmtId="165" formatCode="_-* #,##0.0_-;\-* #,##0.0_-;_-* &quot;-&quot;??_-;_-@_-"/>
    <numFmt numFmtId="166" formatCode="_-&quot;$&quot;* #,##0_-;\-&quot;$&quot;* #,##0_-;_-&quot;$&quot;* &quot;-&quot;??_-;_-@_-"/>
    <numFmt numFmtId="167" formatCode="#,##0.00;[Red]\-#,##0.00;\-;@"/>
    <numFmt numFmtId="168" formatCode="[$-409]mmm\-yy;@"/>
    <numFmt numFmtId="169" formatCode="#,##0.00_ ;\-#,##0.00\ "/>
    <numFmt numFmtId="170" formatCode="0.0%"/>
    <numFmt numFmtId="171" formatCode="_-&quot;$&quot;* #,##0.0000_-;\-&quot;$&quot;* #,##0.0000_-;_-&quot;$&quot;* &quot;-&quot;??_-;_-@_-"/>
    <numFmt numFmtId="172" formatCode="_-* #,##0.0000_-;\-* #,##0.0000_-;_-* &quot;-&quot;??_-;_-@_-"/>
    <numFmt numFmtId="173" formatCode="_-* #,##0.000_-;\-* #,##0.00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20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</fills>
  <borders count="7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medium">
        <color indexed="64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/>
      <right style="medium">
        <color indexed="64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medium">
        <color indexed="64"/>
      </bottom>
      <diagonal/>
    </border>
    <border>
      <left style="thin">
        <color rgb="FF3F3F3F"/>
      </left>
      <right style="medium">
        <color indexed="64"/>
      </right>
      <top style="thin">
        <color rgb="FF3F3F3F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rgb="FF7F7F7F"/>
      </left>
      <right style="medium">
        <color indexed="64"/>
      </right>
      <top style="thin">
        <color rgb="FF7F7F7F"/>
      </top>
      <bottom/>
      <diagonal/>
    </border>
    <border>
      <left style="thin">
        <color indexed="64"/>
      </left>
      <right style="thin">
        <color rgb="FF3F3F3F"/>
      </right>
      <top style="thin">
        <color rgb="FF3F3F3F"/>
      </top>
      <bottom style="medium">
        <color indexed="64"/>
      </bottom>
      <diagonal/>
    </border>
    <border>
      <left style="thin">
        <color rgb="FF7F7F7F"/>
      </left>
      <right style="medium">
        <color auto="1"/>
      </right>
      <top style="thin">
        <color indexed="64"/>
      </top>
      <bottom style="thin">
        <color rgb="FF7F7F7F"/>
      </bottom>
      <diagonal/>
    </border>
    <border>
      <left/>
      <right style="medium">
        <color auto="1"/>
      </right>
      <top style="thin">
        <color rgb="FF7F7F7F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3F3F3F"/>
      </top>
      <bottom style="medium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3" fillId="3" borderId="2" applyNumberFormat="0" applyAlignment="0" applyProtection="0"/>
    <xf numFmtId="0" fontId="4" fillId="3" borderId="1" applyNumberFormat="0" applyAlignment="0" applyProtection="0"/>
    <xf numFmtId="0" fontId="5" fillId="4" borderId="3" applyNumberFormat="0" applyAlignment="0" applyProtection="0"/>
    <xf numFmtId="0" fontId="7" fillId="0" borderId="0" applyNumberFormat="0" applyFill="0" applyBorder="0" applyAlignment="0" applyProtection="0"/>
  </cellStyleXfs>
  <cellXfs count="475">
    <xf numFmtId="0" fontId="0" fillId="0" borderId="0" xfId="0"/>
    <xf numFmtId="0" fontId="1" fillId="0" borderId="0" xfId="0" applyFont="1"/>
    <xf numFmtId="0" fontId="2" fillId="5" borderId="4" xfId="4" applyFill="1" applyBorder="1"/>
    <xf numFmtId="0" fontId="0" fillId="0" borderId="5" xfId="0" applyBorder="1"/>
    <xf numFmtId="0" fontId="9" fillId="0" borderId="0" xfId="0" applyFont="1"/>
    <xf numFmtId="0" fontId="10" fillId="0" borderId="0" xfId="0" applyFont="1"/>
    <xf numFmtId="164" fontId="9" fillId="0" borderId="0" xfId="0" applyNumberFormat="1" applyFont="1"/>
    <xf numFmtId="164" fontId="1" fillId="0" borderId="0" xfId="0" applyNumberFormat="1" applyFont="1"/>
    <xf numFmtId="0" fontId="11" fillId="0" borderId="6" xfId="0" applyFont="1" applyBorder="1"/>
    <xf numFmtId="0" fontId="1" fillId="0" borderId="7" xfId="0" applyFont="1" applyBorder="1"/>
    <xf numFmtId="0" fontId="6" fillId="0" borderId="7" xfId="0" applyFont="1" applyBorder="1"/>
    <xf numFmtId="0" fontId="1" fillId="0" borderId="9" xfId="0" applyFont="1" applyBorder="1"/>
    <xf numFmtId="0" fontId="1" fillId="0" borderId="10" xfId="0" applyFont="1" applyBorder="1"/>
    <xf numFmtId="164" fontId="1" fillId="5" borderId="13" xfId="4" applyNumberFormat="1" applyFont="1" applyFill="1" applyBorder="1" applyAlignment="1" applyProtection="1">
      <alignment horizontal="center"/>
      <protection locked="0"/>
    </xf>
    <xf numFmtId="164" fontId="1" fillId="5" borderId="1" xfId="4" applyNumberFormat="1" applyFont="1" applyFill="1" applyAlignment="1" applyProtection="1">
      <alignment horizontal="center"/>
      <protection locked="0"/>
    </xf>
    <xf numFmtId="164" fontId="1" fillId="5" borderId="14" xfId="4" applyNumberFormat="1" applyFont="1" applyFill="1" applyBorder="1" applyAlignment="1" applyProtection="1">
      <alignment horizontal="center"/>
      <protection locked="0"/>
    </xf>
    <xf numFmtId="0" fontId="1" fillId="0" borderId="15" xfId="0" applyFont="1" applyBorder="1"/>
    <xf numFmtId="0" fontId="1" fillId="0" borderId="17" xfId="0" applyFont="1" applyBorder="1"/>
    <xf numFmtId="164" fontId="1" fillId="5" borderId="20" xfId="4" applyNumberFormat="1" applyFont="1" applyFill="1" applyBorder="1" applyAlignment="1" applyProtection="1">
      <alignment horizontal="center"/>
      <protection locked="0"/>
    </xf>
    <xf numFmtId="164" fontId="1" fillId="5" borderId="21" xfId="4" applyNumberFormat="1" applyFont="1" applyFill="1" applyBorder="1" applyAlignment="1" applyProtection="1">
      <alignment horizontal="center"/>
      <protection locked="0"/>
    </xf>
    <xf numFmtId="164" fontId="1" fillId="5" borderId="22" xfId="4" applyNumberFormat="1" applyFont="1" applyFill="1" applyBorder="1" applyAlignment="1" applyProtection="1">
      <alignment horizontal="center"/>
      <protection locked="0"/>
    </xf>
    <xf numFmtId="164" fontId="1" fillId="5" borderId="23" xfId="4" applyNumberFormat="1" applyFont="1" applyFill="1" applyBorder="1" applyAlignment="1" applyProtection="1">
      <alignment horizontal="center"/>
      <protection locked="0"/>
    </xf>
    <xf numFmtId="164" fontId="1" fillId="5" borderId="24" xfId="4" applyNumberFormat="1" applyFont="1" applyFill="1" applyBorder="1" applyAlignment="1" applyProtection="1">
      <alignment horizontal="center"/>
      <protection locked="0"/>
    </xf>
    <xf numFmtId="164" fontId="12" fillId="0" borderId="25" xfId="1" applyNumberFormat="1" applyFont="1" applyBorder="1" applyAlignment="1">
      <alignment horizontal="center"/>
    </xf>
    <xf numFmtId="0" fontId="0" fillId="0" borderId="9" xfId="0" applyBorder="1"/>
    <xf numFmtId="165" fontId="1" fillId="0" borderId="0" xfId="4" applyNumberFormat="1" applyFont="1" applyFill="1" applyBorder="1" applyProtection="1">
      <protection locked="0"/>
    </xf>
    <xf numFmtId="165" fontId="13" fillId="0" borderId="0" xfId="1" applyNumberFormat="1" applyFont="1"/>
    <xf numFmtId="164" fontId="12" fillId="3" borderId="1" xfId="6" applyNumberFormat="1" applyFont="1" applyAlignment="1">
      <alignment horizontal="center"/>
    </xf>
    <xf numFmtId="164" fontId="12" fillId="0" borderId="0" xfId="0" applyNumberFormat="1" applyFont="1"/>
    <xf numFmtId="164" fontId="12" fillId="0" borderId="0" xfId="5" applyNumberFormat="1" applyFont="1" applyFill="1" applyBorder="1"/>
    <xf numFmtId="164" fontId="13" fillId="0" borderId="0" xfId="1" applyNumberFormat="1" applyFont="1"/>
    <xf numFmtId="0" fontId="14" fillId="0" borderId="0" xfId="0" applyFont="1"/>
    <xf numFmtId="0" fontId="1" fillId="0" borderId="26" xfId="0" applyFont="1" applyBorder="1"/>
    <xf numFmtId="0" fontId="1" fillId="0" borderId="27" xfId="0" applyFont="1" applyBorder="1"/>
    <xf numFmtId="164" fontId="12" fillId="3" borderId="23" xfId="6" applyNumberFormat="1" applyFont="1" applyBorder="1" applyAlignment="1">
      <alignment horizontal="center"/>
    </xf>
    <xf numFmtId="44" fontId="8" fillId="0" borderId="0" xfId="2" applyFont="1" applyAlignment="1">
      <alignment horizontal="center"/>
    </xf>
    <xf numFmtId="164" fontId="1" fillId="0" borderId="0" xfId="1" applyNumberFormat="1"/>
    <xf numFmtId="43" fontId="1" fillId="0" borderId="0" xfId="0" applyNumberFormat="1" applyFont="1"/>
    <xf numFmtId="2" fontId="9" fillId="0" borderId="0" xfId="0" applyNumberFormat="1" applyFont="1"/>
    <xf numFmtId="43" fontId="1" fillId="0" borderId="7" xfId="0" applyNumberFormat="1" applyFont="1" applyBorder="1"/>
    <xf numFmtId="0" fontId="1" fillId="0" borderId="28" xfId="0" applyFont="1" applyBorder="1"/>
    <xf numFmtId="0" fontId="8" fillId="6" borderId="29" xfId="0" applyFont="1" applyFill="1" applyBorder="1" applyAlignment="1">
      <alignment horizontal="left"/>
    </xf>
    <xf numFmtId="0" fontId="8" fillId="6" borderId="25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2" fontId="9" fillId="0" borderId="25" xfId="8" applyNumberFormat="1" applyFont="1" applyFill="1" applyBorder="1" applyAlignment="1" applyProtection="1">
      <alignment horizontal="center"/>
      <protection locked="0"/>
    </xf>
    <xf numFmtId="166" fontId="12" fillId="3" borderId="2" xfId="5" applyNumberFormat="1" applyFont="1"/>
    <xf numFmtId="166" fontId="1" fillId="0" borderId="0" xfId="2" applyNumberFormat="1"/>
    <xf numFmtId="166" fontId="9" fillId="3" borderId="25" xfId="6" applyNumberFormat="1" applyFont="1" applyBorder="1"/>
    <xf numFmtId="166" fontId="9" fillId="3" borderId="30" xfId="6" applyNumberFormat="1" applyFont="1" applyBorder="1"/>
    <xf numFmtId="0" fontId="1" fillId="0" borderId="9" xfId="0" applyFont="1" applyBorder="1" applyAlignment="1">
      <alignment horizontal="left"/>
    </xf>
    <xf numFmtId="9" fontId="5" fillId="4" borderId="31" xfId="7" applyNumberFormat="1" applyBorder="1" applyAlignment="1">
      <alignment horizontal="center"/>
    </xf>
    <xf numFmtId="9" fontId="13" fillId="0" borderId="0" xfId="3" applyFont="1" applyAlignment="1">
      <alignment horizontal="center"/>
    </xf>
    <xf numFmtId="0" fontId="1" fillId="0" borderId="0" xfId="0" applyFont="1" applyAlignment="1">
      <alignment horizontal="center"/>
    </xf>
    <xf numFmtId="43" fontId="9" fillId="0" borderId="0" xfId="1" applyFont="1"/>
    <xf numFmtId="166" fontId="9" fillId="0" borderId="0" xfId="2" applyNumberFormat="1" applyFont="1"/>
    <xf numFmtId="0" fontId="0" fillId="0" borderId="9" xfId="0" applyBorder="1" applyAlignment="1">
      <alignment horizontal="left"/>
    </xf>
    <xf numFmtId="166" fontId="12" fillId="3" borderId="25" xfId="6" applyNumberFormat="1" applyFont="1" applyBorder="1"/>
    <xf numFmtId="166" fontId="12" fillId="3" borderId="30" xfId="6" applyNumberFormat="1" applyFont="1" applyBorder="1"/>
    <xf numFmtId="166" fontId="9" fillId="0" borderId="32" xfId="2" applyNumberFormat="1" applyFont="1" applyBorder="1"/>
    <xf numFmtId="0" fontId="8" fillId="0" borderId="26" xfId="0" applyFont="1" applyBorder="1" applyAlignment="1">
      <alignment horizontal="left"/>
    </xf>
    <xf numFmtId="9" fontId="13" fillId="0" borderId="27" xfId="3" applyFont="1" applyBorder="1" applyAlignment="1">
      <alignment horizontal="center"/>
    </xf>
    <xf numFmtId="0" fontId="8" fillId="0" borderId="27" xfId="0" applyFont="1" applyBorder="1"/>
    <xf numFmtId="43" fontId="12" fillId="0" borderId="27" xfId="0" applyNumberFormat="1" applyFont="1" applyBorder="1"/>
    <xf numFmtId="2" fontId="12" fillId="3" borderId="33" xfId="5" applyNumberFormat="1" applyFont="1" applyBorder="1"/>
    <xf numFmtId="166" fontId="12" fillId="3" borderId="33" xfId="5" applyNumberFormat="1" applyFont="1" applyBorder="1"/>
    <xf numFmtId="166" fontId="15" fillId="0" borderId="27" xfId="0" applyNumberFormat="1" applyFont="1" applyBorder="1"/>
    <xf numFmtId="166" fontId="12" fillId="3" borderId="34" xfId="5" applyNumberFormat="1" applyFont="1" applyBorder="1"/>
    <xf numFmtId="166" fontId="12" fillId="7" borderId="3" xfId="7" applyNumberFormat="1" applyFont="1" applyFill="1"/>
    <xf numFmtId="0" fontId="0" fillId="0" borderId="0" xfId="0" applyAlignment="1">
      <alignment horizontal="left"/>
    </xf>
    <xf numFmtId="44" fontId="8" fillId="0" borderId="0" xfId="2" applyFont="1"/>
    <xf numFmtId="0" fontId="11" fillId="0" borderId="0" xfId="0" applyFont="1"/>
    <xf numFmtId="0" fontId="15" fillId="0" borderId="6" xfId="0" applyFont="1" applyBorder="1"/>
    <xf numFmtId="0" fontId="8" fillId="0" borderId="9" xfId="0" applyFont="1" applyBorder="1" applyAlignment="1">
      <alignment horizontal="center"/>
    </xf>
    <xf numFmtId="166" fontId="1" fillId="0" borderId="26" xfId="2" applyNumberFormat="1" applyBorder="1"/>
    <xf numFmtId="166" fontId="1" fillId="0" borderId="27" xfId="2" applyNumberFormat="1" applyBorder="1"/>
    <xf numFmtId="166" fontId="12" fillId="3" borderId="35" xfId="5" applyNumberFormat="1" applyFont="1" applyBorder="1"/>
    <xf numFmtId="166" fontId="9" fillId="0" borderId="27" xfId="2" applyNumberFormat="1" applyFont="1" applyBorder="1"/>
    <xf numFmtId="166" fontId="12" fillId="0" borderId="36" xfId="2" applyNumberFormat="1" applyFont="1" applyBorder="1"/>
    <xf numFmtId="166" fontId="12" fillId="0" borderId="37" xfId="2" applyNumberFormat="1" applyFont="1" applyBorder="1"/>
    <xf numFmtId="166" fontId="1" fillId="0" borderId="0" xfId="2" applyNumberFormat="1" applyBorder="1"/>
    <xf numFmtId="0" fontId="8" fillId="6" borderId="25" xfId="0" applyFont="1" applyFill="1" applyBorder="1"/>
    <xf numFmtId="0" fontId="8" fillId="0" borderId="25" xfId="0" applyFont="1" applyBorder="1" applyAlignment="1">
      <alignment horizontal="center"/>
    </xf>
    <xf numFmtId="166" fontId="12" fillId="3" borderId="38" xfId="5" applyNumberFormat="1" applyFont="1" applyBorder="1"/>
    <xf numFmtId="1" fontId="1" fillId="0" borderId="39" xfId="2" applyNumberFormat="1" applyFont="1" applyBorder="1" applyAlignment="1">
      <alignment horizontal="center"/>
    </xf>
    <xf numFmtId="1" fontId="13" fillId="0" borderId="0" xfId="2" applyNumberFormat="1" applyFont="1" applyAlignment="1">
      <alignment horizontal="center"/>
    </xf>
    <xf numFmtId="0" fontId="1" fillId="0" borderId="26" xfId="0" applyFont="1" applyBorder="1" applyAlignment="1">
      <alignment horizontal="left"/>
    </xf>
    <xf numFmtId="1" fontId="13" fillId="0" borderId="27" xfId="2" applyNumberFormat="1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43" fontId="1" fillId="0" borderId="27" xfId="1" applyBorder="1"/>
    <xf numFmtId="44" fontId="12" fillId="3" borderId="35" xfId="5" applyNumberFormat="1" applyFont="1" applyBorder="1"/>
    <xf numFmtId="43" fontId="1" fillId="0" borderId="0" xfId="1"/>
    <xf numFmtId="44" fontId="13" fillId="0" borderId="0" xfId="2" applyFont="1"/>
    <xf numFmtId="166" fontId="8" fillId="0" borderId="0" xfId="2" applyNumberFormat="1" applyFont="1"/>
    <xf numFmtId="0" fontId="15" fillId="0" borderId="6" xfId="0" applyFont="1" applyBorder="1" applyAlignment="1">
      <alignment horizontal="left"/>
    </xf>
    <xf numFmtId="0" fontId="8" fillId="6" borderId="29" xfId="0" applyFont="1" applyFill="1" applyBorder="1"/>
    <xf numFmtId="0" fontId="0" fillId="0" borderId="40" xfId="0" applyBorder="1"/>
    <xf numFmtId="0" fontId="1" fillId="0" borderId="39" xfId="0" applyFont="1" applyBorder="1" applyAlignment="1">
      <alignment horizontal="center"/>
    </xf>
    <xf numFmtId="0" fontId="0" fillId="0" borderId="39" xfId="0" applyBorder="1" applyAlignment="1">
      <alignment horizontal="center"/>
    </xf>
    <xf numFmtId="0" fontId="1" fillId="0" borderId="39" xfId="0" applyFont="1" applyBorder="1"/>
    <xf numFmtId="166" fontId="9" fillId="3" borderId="38" xfId="5" applyNumberFormat="1" applyFont="1" applyBorder="1"/>
    <xf numFmtId="166" fontId="2" fillId="5" borderId="25" xfId="4" applyNumberFormat="1" applyFill="1" applyBorder="1" applyProtection="1">
      <protection locked="0"/>
    </xf>
    <xf numFmtId="166" fontId="2" fillId="5" borderId="30" xfId="4" applyNumberFormat="1" applyFill="1" applyBorder="1" applyProtection="1">
      <protection locked="0"/>
    </xf>
    <xf numFmtId="0" fontId="0" fillId="0" borderId="41" xfId="0" applyBorder="1" applyAlignment="1">
      <alignment horizontal="left"/>
    </xf>
    <xf numFmtId="0" fontId="1" fillId="0" borderId="42" xfId="0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1" xfId="0" applyBorder="1"/>
    <xf numFmtId="0" fontId="0" fillId="0" borderId="43" xfId="0" applyBorder="1"/>
    <xf numFmtId="0" fontId="0" fillId="0" borderId="44" xfId="0" applyBorder="1" applyAlignment="1">
      <alignment horizontal="center"/>
    </xf>
    <xf numFmtId="0" fontId="1" fillId="0" borderId="44" xfId="0" applyFont="1" applyBorder="1" applyAlignment="1">
      <alignment horizontal="center"/>
    </xf>
    <xf numFmtId="0" fontId="1" fillId="0" borderId="32" xfId="0" applyFont="1" applyBorder="1"/>
    <xf numFmtId="0" fontId="0" fillId="0" borderId="26" xfId="0" applyBorder="1"/>
    <xf numFmtId="44" fontId="12" fillId="3" borderId="33" xfId="5" applyNumberFormat="1" applyFont="1" applyBorder="1"/>
    <xf numFmtId="0" fontId="9" fillId="0" borderId="27" xfId="0" applyFont="1" applyBorder="1"/>
    <xf numFmtId="0" fontId="0" fillId="0" borderId="45" xfId="0" applyBorder="1"/>
    <xf numFmtId="0" fontId="1" fillId="0" borderId="46" xfId="0" applyFont="1" applyBorder="1"/>
    <xf numFmtId="0" fontId="9" fillId="0" borderId="46" xfId="0" applyFont="1" applyBorder="1"/>
    <xf numFmtId="166" fontId="12" fillId="3" borderId="47" xfId="5" applyNumberFormat="1" applyFont="1" applyBorder="1"/>
    <xf numFmtId="166" fontId="12" fillId="3" borderId="48" xfId="5" applyNumberFormat="1" applyFont="1" applyBorder="1"/>
    <xf numFmtId="166" fontId="1" fillId="0" borderId="7" xfId="0" applyNumberFormat="1" applyFont="1" applyBorder="1"/>
    <xf numFmtId="0" fontId="0" fillId="0" borderId="51" xfId="0" applyBorder="1"/>
    <xf numFmtId="0" fontId="1" fillId="0" borderId="52" xfId="0" applyFont="1" applyBorder="1"/>
    <xf numFmtId="0" fontId="0" fillId="0" borderId="53" xfId="0" applyBorder="1"/>
    <xf numFmtId="166" fontId="2" fillId="5" borderId="1" xfId="4" applyNumberFormat="1" applyFill="1" applyProtection="1">
      <protection locked="0"/>
    </xf>
    <xf numFmtId="0" fontId="2" fillId="5" borderId="1" xfId="4" applyFill="1" applyProtection="1">
      <protection locked="0"/>
    </xf>
    <xf numFmtId="0" fontId="2" fillId="5" borderId="14" xfId="4" applyFill="1" applyBorder="1" applyProtection="1">
      <protection locked="0"/>
    </xf>
    <xf numFmtId="0" fontId="0" fillId="0" borderId="54" xfId="0" applyBorder="1"/>
    <xf numFmtId="0" fontId="1" fillId="0" borderId="55" xfId="0" applyFont="1" applyBorder="1"/>
    <xf numFmtId="0" fontId="0" fillId="0" borderId="56" xfId="0" applyBorder="1"/>
    <xf numFmtId="166" fontId="2" fillId="5" borderId="23" xfId="4" applyNumberFormat="1" applyFill="1" applyBorder="1" applyProtection="1">
      <protection locked="0"/>
    </xf>
    <xf numFmtId="0" fontId="2" fillId="5" borderId="23" xfId="4" applyFill="1" applyBorder="1" applyProtection="1">
      <protection locked="0"/>
    </xf>
    <xf numFmtId="0" fontId="2" fillId="5" borderId="24" xfId="4" applyFill="1" applyBorder="1" applyProtection="1">
      <protection locked="0"/>
    </xf>
    <xf numFmtId="166" fontId="1" fillId="0" borderId="0" xfId="0" applyNumberFormat="1" applyFont="1"/>
    <xf numFmtId="0" fontId="8" fillId="0" borderId="9" xfId="0" applyFont="1" applyBorder="1" applyAlignment="1">
      <alignment horizontal="right"/>
    </xf>
    <xf numFmtId="164" fontId="16" fillId="0" borderId="9" xfId="1" applyNumberFormat="1" applyFont="1" applyBorder="1" applyAlignment="1"/>
    <xf numFmtId="0" fontId="1" fillId="8" borderId="0" xfId="0" applyFont="1" applyFill="1"/>
    <xf numFmtId="0" fontId="1" fillId="9" borderId="0" xfId="0" applyFont="1" applyFill="1"/>
    <xf numFmtId="0" fontId="1" fillId="9" borderId="32" xfId="0" applyFont="1" applyFill="1" applyBorder="1"/>
    <xf numFmtId="0" fontId="8" fillId="0" borderId="9" xfId="0" applyFont="1" applyBorder="1"/>
    <xf numFmtId="166" fontId="1" fillId="8" borderId="0" xfId="0" applyNumberFormat="1" applyFont="1" applyFill="1"/>
    <xf numFmtId="2" fontId="1" fillId="9" borderId="32" xfId="0" applyNumberFormat="1" applyFont="1" applyFill="1" applyBorder="1"/>
    <xf numFmtId="2" fontId="1" fillId="9" borderId="0" xfId="0" applyNumberFormat="1" applyFont="1" applyFill="1"/>
    <xf numFmtId="166" fontId="1" fillId="8" borderId="18" xfId="0" applyNumberFormat="1" applyFont="1" applyFill="1" applyBorder="1"/>
    <xf numFmtId="2" fontId="1" fillId="9" borderId="18" xfId="0" applyNumberFormat="1" applyFont="1" applyFill="1" applyBorder="1"/>
    <xf numFmtId="2" fontId="1" fillId="9" borderId="57" xfId="0" applyNumberFormat="1" applyFont="1" applyFill="1" applyBorder="1"/>
    <xf numFmtId="0" fontId="1" fillId="8" borderId="27" xfId="0" applyFont="1" applyFill="1" applyBorder="1"/>
    <xf numFmtId="166" fontId="17" fillId="8" borderId="27" xfId="2" applyNumberFormat="1" applyFont="1" applyFill="1" applyBorder="1"/>
    <xf numFmtId="0" fontId="17" fillId="9" borderId="27" xfId="0" applyFont="1" applyFill="1" applyBorder="1"/>
    <xf numFmtId="2" fontId="17" fillId="9" borderId="58" xfId="0" applyNumberFormat="1" applyFont="1" applyFill="1" applyBorder="1"/>
    <xf numFmtId="43" fontId="1" fillId="0" borderId="0" xfId="1" applyFont="1"/>
    <xf numFmtId="0" fontId="0" fillId="10" borderId="0" xfId="0" applyFill="1"/>
    <xf numFmtId="0" fontId="8" fillId="0" borderId="0" xfId="0" applyFont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1" borderId="0" xfId="0" applyFill="1"/>
    <xf numFmtId="0" fontId="1" fillId="11" borderId="0" xfId="0" applyFont="1" applyFill="1"/>
    <xf numFmtId="166" fontId="1" fillId="11" borderId="0" xfId="0" applyNumberFormat="1" applyFont="1" applyFill="1"/>
    <xf numFmtId="167" fontId="0" fillId="10" borderId="0" xfId="0" applyNumberFormat="1" applyFill="1"/>
    <xf numFmtId="167" fontId="15" fillId="10" borderId="0" xfId="0" applyNumberFormat="1" applyFont="1" applyFill="1"/>
    <xf numFmtId="167" fontId="0" fillId="10" borderId="0" xfId="0" applyNumberFormat="1" applyFill="1" applyAlignment="1">
      <alignment vertical="top"/>
    </xf>
    <xf numFmtId="167" fontId="15" fillId="10" borderId="0" xfId="0" applyNumberFormat="1" applyFont="1" applyFill="1" applyAlignment="1">
      <alignment vertical="top"/>
    </xf>
    <xf numFmtId="167" fontId="8" fillId="11" borderId="7" xfId="0" applyNumberFormat="1" applyFont="1" applyFill="1" applyBorder="1" applyAlignment="1">
      <alignment vertical="top"/>
    </xf>
    <xf numFmtId="167" fontId="8" fillId="11" borderId="7" xfId="0" applyNumberFormat="1" applyFont="1" applyFill="1" applyBorder="1" applyAlignment="1">
      <alignment horizontal="right" vertical="top"/>
    </xf>
    <xf numFmtId="167" fontId="8" fillId="11" borderId="28" xfId="0" applyNumberFormat="1" applyFont="1" applyFill="1" applyBorder="1" applyAlignment="1">
      <alignment horizontal="right" vertical="top"/>
    </xf>
    <xf numFmtId="167" fontId="0" fillId="10" borderId="0" xfId="0" applyNumberFormat="1" applyFill="1" applyAlignment="1">
      <alignment horizontal="center"/>
    </xf>
    <xf numFmtId="167" fontId="15" fillId="10" borderId="0" xfId="0" applyNumberFormat="1" applyFont="1" applyFill="1" applyAlignment="1">
      <alignment horizontal="center"/>
    </xf>
    <xf numFmtId="167" fontId="15" fillId="11" borderId="27" xfId="1" applyNumberFormat="1" applyFont="1" applyFill="1" applyBorder="1" applyAlignment="1">
      <alignment horizontal="center"/>
    </xf>
    <xf numFmtId="167" fontId="15" fillId="11" borderId="27" xfId="0" applyNumberFormat="1" applyFont="1" applyFill="1" applyBorder="1" applyAlignment="1">
      <alignment horizontal="center"/>
    </xf>
    <xf numFmtId="167" fontId="15" fillId="11" borderId="58" xfId="0" applyNumberFormat="1" applyFont="1" applyFill="1" applyBorder="1" applyAlignment="1">
      <alignment horizontal="center"/>
    </xf>
    <xf numFmtId="167" fontId="8" fillId="10" borderId="0" xfId="0" applyNumberFormat="1" applyFont="1" applyFill="1"/>
    <xf numFmtId="167" fontId="8" fillId="10" borderId="18" xfId="0" applyNumberFormat="1" applyFont="1" applyFill="1" applyBorder="1"/>
    <xf numFmtId="167" fontId="15" fillId="10" borderId="18" xfId="0" applyNumberFormat="1" applyFont="1" applyFill="1" applyBorder="1"/>
    <xf numFmtId="167" fontId="0" fillId="10" borderId="18" xfId="0" applyNumberFormat="1" applyFill="1" applyBorder="1"/>
    <xf numFmtId="167" fontId="8" fillId="13" borderId="0" xfId="0" applyNumberFormat="1" applyFont="1" applyFill="1"/>
    <xf numFmtId="167" fontId="15" fillId="13" borderId="0" xfId="0" applyNumberFormat="1" applyFont="1" applyFill="1"/>
    <xf numFmtId="17" fontId="0" fillId="10" borderId="0" xfId="0" applyNumberFormat="1" applyFill="1"/>
    <xf numFmtId="43" fontId="0" fillId="10" borderId="18" xfId="0" applyNumberFormat="1" applyFill="1" applyBorder="1"/>
    <xf numFmtId="164" fontId="0" fillId="10" borderId="18" xfId="0" applyNumberFormat="1" applyFill="1" applyBorder="1"/>
    <xf numFmtId="14" fontId="8" fillId="6" borderId="8" xfId="0" applyNumberFormat="1" applyFont="1" applyFill="1" applyBorder="1" applyAlignment="1">
      <alignment horizontal="center"/>
    </xf>
    <xf numFmtId="167" fontId="0" fillId="10" borderId="18" xfId="1" applyNumberFormat="1" applyFont="1" applyFill="1" applyBorder="1"/>
    <xf numFmtId="167" fontId="8" fillId="11" borderId="0" xfId="0" applyNumberFormat="1" applyFont="1" applyFill="1" applyAlignment="1">
      <alignment horizontal="right" vertical="top"/>
    </xf>
    <xf numFmtId="167" fontId="8" fillId="11" borderId="32" xfId="0" applyNumberFormat="1" applyFont="1" applyFill="1" applyBorder="1" applyAlignment="1">
      <alignment horizontal="right" vertical="top"/>
    </xf>
    <xf numFmtId="43" fontId="0" fillId="10" borderId="0" xfId="1" applyFont="1" applyFill="1" applyBorder="1"/>
    <xf numFmtId="167" fontId="0" fillId="10" borderId="0" xfId="1" applyNumberFormat="1" applyFont="1" applyFill="1" applyBorder="1"/>
    <xf numFmtId="43" fontId="0" fillId="10" borderId="32" xfId="1" applyFont="1" applyFill="1" applyBorder="1"/>
    <xf numFmtId="0" fontId="0" fillId="10" borderId="32" xfId="0" applyFill="1" applyBorder="1"/>
    <xf numFmtId="164" fontId="0" fillId="10" borderId="57" xfId="0" applyNumberFormat="1" applyFill="1" applyBorder="1"/>
    <xf numFmtId="43" fontId="0" fillId="10" borderId="57" xfId="0" applyNumberFormat="1" applyFill="1" applyBorder="1"/>
    <xf numFmtId="43" fontId="0" fillId="10" borderId="0" xfId="0" applyNumberFormat="1" applyFill="1"/>
    <xf numFmtId="43" fontId="0" fillId="10" borderId="32" xfId="0" applyNumberFormat="1" applyFill="1" applyBorder="1"/>
    <xf numFmtId="164" fontId="0" fillId="10" borderId="0" xfId="0" applyNumberFormat="1" applyFill="1"/>
    <xf numFmtId="164" fontId="0" fillId="10" borderId="32" xfId="0" applyNumberFormat="1" applyFill="1" applyBorder="1"/>
    <xf numFmtId="43" fontId="0" fillId="13" borderId="0" xfId="0" applyNumberFormat="1" applyFill="1"/>
    <xf numFmtId="167" fontId="0" fillId="13" borderId="0" xfId="1" applyNumberFormat="1" applyFont="1" applyFill="1" applyBorder="1"/>
    <xf numFmtId="43" fontId="0" fillId="13" borderId="32" xfId="0" applyNumberFormat="1" applyFill="1" applyBorder="1"/>
    <xf numFmtId="167" fontId="0" fillId="13" borderId="0" xfId="0" applyNumberFormat="1" applyFill="1"/>
    <xf numFmtId="0" fontId="0" fillId="13" borderId="32" xfId="0" applyFill="1" applyBorder="1"/>
    <xf numFmtId="0" fontId="0" fillId="10" borderId="27" xfId="0" applyFill="1" applyBorder="1"/>
    <xf numFmtId="167" fontId="0" fillId="10" borderId="27" xfId="0" applyNumberFormat="1" applyFill="1" applyBorder="1"/>
    <xf numFmtId="0" fontId="0" fillId="10" borderId="58" xfId="0" applyFill="1" applyBorder="1"/>
    <xf numFmtId="164" fontId="12" fillId="0" borderId="64" xfId="1" applyNumberFormat="1" applyFont="1" applyBorder="1" applyAlignment="1">
      <alignment horizontal="center"/>
    </xf>
    <xf numFmtId="164" fontId="12" fillId="0" borderId="30" xfId="1" applyNumberFormat="1" applyFont="1" applyBorder="1" applyAlignment="1">
      <alignment horizontal="center"/>
    </xf>
    <xf numFmtId="164" fontId="12" fillId="3" borderId="24" xfId="6" applyNumberFormat="1" applyFont="1" applyBorder="1" applyAlignment="1">
      <alignment horizontal="center"/>
    </xf>
    <xf numFmtId="0" fontId="0" fillId="0" borderId="40" xfId="0" applyBorder="1" applyAlignment="1">
      <alignment horizontal="left"/>
    </xf>
    <xf numFmtId="0" fontId="1" fillId="0" borderId="10" xfId="0" applyFont="1" applyBorder="1" applyAlignment="1">
      <alignment horizontal="center"/>
    </xf>
    <xf numFmtId="0" fontId="1" fillId="0" borderId="39" xfId="1" applyNumberFormat="1" applyFont="1" applyFill="1" applyBorder="1" applyAlignment="1">
      <alignment horizontal="center"/>
    </xf>
    <xf numFmtId="44" fontId="1" fillId="0" borderId="25" xfId="4" applyNumberFormat="1" applyFont="1" applyFill="1" applyBorder="1" applyProtection="1">
      <protection locked="0"/>
    </xf>
    <xf numFmtId="1" fontId="1" fillId="0" borderId="42" xfId="2" applyNumberFormat="1" applyFont="1" applyBorder="1" applyAlignment="1">
      <alignment horizontal="center"/>
    </xf>
    <xf numFmtId="0" fontId="1" fillId="0" borderId="15" xfId="4" applyFont="1" applyFill="1" applyBorder="1" applyAlignment="1" applyProtection="1">
      <alignment horizontal="center"/>
      <protection locked="0"/>
    </xf>
    <xf numFmtId="0" fontId="1" fillId="0" borderId="42" xfId="4" applyFont="1" applyFill="1" applyBorder="1" applyAlignment="1" applyProtection="1">
      <alignment horizontal="center"/>
      <protection locked="0"/>
    </xf>
    <xf numFmtId="0" fontId="1" fillId="0" borderId="15" xfId="0" applyFont="1" applyBorder="1" applyAlignment="1">
      <alignment horizontal="center"/>
    </xf>
    <xf numFmtId="0" fontId="1" fillId="0" borderId="42" xfId="1" applyNumberFormat="1" applyFont="1" applyFill="1" applyBorder="1" applyAlignment="1">
      <alignment horizontal="center"/>
    </xf>
    <xf numFmtId="0" fontId="1" fillId="0" borderId="41" xfId="0" applyFont="1" applyBorder="1" applyAlignment="1">
      <alignment horizontal="left"/>
    </xf>
    <xf numFmtId="0" fontId="1" fillId="0" borderId="42" xfId="4" applyFont="1" applyFill="1" applyBorder="1" applyAlignment="1" applyProtection="1">
      <alignment horizontal="left"/>
      <protection locked="0"/>
    </xf>
    <xf numFmtId="0" fontId="0" fillId="0" borderId="43" xfId="0" applyBorder="1" applyAlignment="1">
      <alignment horizontal="left"/>
    </xf>
    <xf numFmtId="1" fontId="1" fillId="0" borderId="44" xfId="2" applyNumberFormat="1" applyFont="1" applyBorder="1" applyAlignment="1">
      <alignment horizontal="center"/>
    </xf>
    <xf numFmtId="0" fontId="1" fillId="0" borderId="17" xfId="4" applyFont="1" applyFill="1" applyBorder="1" applyAlignment="1" applyProtection="1">
      <alignment horizontal="center"/>
      <protection locked="0"/>
    </xf>
    <xf numFmtId="0" fontId="1" fillId="0" borderId="44" xfId="4" applyFont="1" applyFill="1" applyBorder="1" applyAlignment="1" applyProtection="1">
      <alignment horizontal="left"/>
      <protection locked="0"/>
    </xf>
    <xf numFmtId="43" fontId="0" fillId="12" borderId="18" xfId="1" applyFont="1" applyFill="1" applyBorder="1"/>
    <xf numFmtId="43" fontId="0" fillId="12" borderId="63" xfId="1" applyFont="1" applyFill="1" applyBorder="1"/>
    <xf numFmtId="43" fontId="0" fillId="12" borderId="9" xfId="1" applyFont="1" applyFill="1" applyBorder="1"/>
    <xf numFmtId="43" fontId="0" fillId="12" borderId="0" xfId="1" applyFont="1" applyFill="1" applyBorder="1"/>
    <xf numFmtId="4" fontId="1" fillId="0" borderId="0" xfId="0" applyNumberFormat="1" applyFont="1"/>
    <xf numFmtId="43" fontId="0" fillId="10" borderId="0" xfId="1" applyFont="1" applyFill="1"/>
    <xf numFmtId="43" fontId="8" fillId="11" borderId="9" xfId="1" applyFont="1" applyFill="1" applyBorder="1" applyAlignment="1">
      <alignment horizontal="right" vertical="top"/>
    </xf>
    <xf numFmtId="43" fontId="15" fillId="11" borderId="26" xfId="1" applyFont="1" applyFill="1" applyBorder="1" applyAlignment="1">
      <alignment horizontal="center"/>
    </xf>
    <xf numFmtId="43" fontId="0" fillId="10" borderId="9" xfId="1" applyFont="1" applyFill="1" applyBorder="1"/>
    <xf numFmtId="43" fontId="0" fillId="10" borderId="63" xfId="1" applyFont="1" applyFill="1" applyBorder="1"/>
    <xf numFmtId="43" fontId="0" fillId="13" borderId="9" xfId="1" applyFont="1" applyFill="1" applyBorder="1"/>
    <xf numFmtId="43" fontId="0" fillId="10" borderId="26" xfId="1" applyFont="1" applyFill="1" applyBorder="1"/>
    <xf numFmtId="43" fontId="8" fillId="11" borderId="59" xfId="1" applyFont="1" applyFill="1" applyBorder="1" applyAlignment="1">
      <alignment horizontal="right" vertical="top"/>
    </xf>
    <xf numFmtId="43" fontId="8" fillId="11" borderId="15" xfId="1" applyFont="1" applyFill="1" applyBorder="1" applyAlignment="1">
      <alignment horizontal="right" vertical="top"/>
    </xf>
    <xf numFmtId="43" fontId="15" fillId="11" borderId="60" xfId="1" applyFont="1" applyFill="1" applyBorder="1" applyAlignment="1">
      <alignment horizontal="center"/>
    </xf>
    <xf numFmtId="43" fontId="0" fillId="10" borderId="59" xfId="1" applyFont="1" applyFill="1" applyBorder="1"/>
    <xf numFmtId="43" fontId="0" fillId="10" borderId="15" xfId="1" applyFont="1" applyFill="1" applyBorder="1"/>
    <xf numFmtId="43" fontId="0" fillId="10" borderId="17" xfId="1" applyFont="1" applyFill="1" applyBorder="1"/>
    <xf numFmtId="43" fontId="0" fillId="13" borderId="15" xfId="1" applyFont="1" applyFill="1" applyBorder="1"/>
    <xf numFmtId="43" fontId="0" fillId="10" borderId="60" xfId="1" applyFont="1" applyFill="1" applyBorder="1"/>
    <xf numFmtId="168" fontId="8" fillId="11" borderId="6" xfId="1" applyNumberFormat="1" applyFont="1" applyFill="1" applyBorder="1"/>
    <xf numFmtId="0" fontId="0" fillId="11" borderId="29" xfId="0" applyFill="1" applyBorder="1" applyAlignment="1">
      <alignment horizontal="left"/>
    </xf>
    <xf numFmtId="9" fontId="1" fillId="11" borderId="25" xfId="4" applyNumberFormat="1" applyFont="1" applyFill="1" applyBorder="1" applyAlignment="1" applyProtection="1">
      <alignment horizontal="center"/>
      <protection locked="0"/>
    </xf>
    <xf numFmtId="2" fontId="9" fillId="11" borderId="25" xfId="8" applyNumberFormat="1" applyFont="1" applyFill="1" applyBorder="1" applyAlignment="1" applyProtection="1">
      <alignment horizontal="center"/>
      <protection locked="0"/>
    </xf>
    <xf numFmtId="0" fontId="1" fillId="11" borderId="29" xfId="0" applyFont="1" applyFill="1" applyBorder="1" applyAlignment="1">
      <alignment horizontal="left"/>
    </xf>
    <xf numFmtId="0" fontId="0" fillId="16" borderId="29" xfId="0" applyFill="1" applyBorder="1" applyAlignment="1">
      <alignment horizontal="left"/>
    </xf>
    <xf numFmtId="9" fontId="1" fillId="16" borderId="25" xfId="4" applyNumberFormat="1" applyFont="1" applyFill="1" applyBorder="1" applyAlignment="1" applyProtection="1">
      <alignment horizontal="center"/>
      <protection locked="0"/>
    </xf>
    <xf numFmtId="2" fontId="9" fillId="16" borderId="25" xfId="8" applyNumberFormat="1" applyFont="1" applyFill="1" applyBorder="1" applyAlignment="1" applyProtection="1">
      <alignment horizontal="center"/>
      <protection locked="0"/>
    </xf>
    <xf numFmtId="0" fontId="1" fillId="16" borderId="29" xfId="0" applyFont="1" applyFill="1" applyBorder="1" applyAlignment="1">
      <alignment horizontal="left"/>
    </xf>
    <xf numFmtId="0" fontId="0" fillId="10" borderId="0" xfId="0" applyFill="1" applyAlignment="1">
      <alignment horizontal="left"/>
    </xf>
    <xf numFmtId="14" fontId="0" fillId="10" borderId="0" xfId="0" applyNumberFormat="1" applyFill="1"/>
    <xf numFmtId="168" fontId="1" fillId="11" borderId="0" xfId="1" applyNumberFormat="1" applyFont="1" applyFill="1" applyBorder="1"/>
    <xf numFmtId="43" fontId="8" fillId="11" borderId="65" xfId="1" applyFont="1" applyFill="1" applyBorder="1" applyAlignment="1">
      <alignment horizontal="right" vertical="top"/>
    </xf>
    <xf numFmtId="43" fontId="15" fillId="11" borderId="66" xfId="1" applyFont="1" applyFill="1" applyBorder="1" applyAlignment="1">
      <alignment horizontal="center"/>
    </xf>
    <xf numFmtId="43" fontId="0" fillId="0" borderId="67" xfId="1" applyFont="1" applyFill="1" applyBorder="1"/>
    <xf numFmtId="43" fontId="0" fillId="0" borderId="68" xfId="1" applyFont="1" applyFill="1" applyBorder="1"/>
    <xf numFmtId="43" fontId="0" fillId="10" borderId="66" xfId="1" applyFont="1" applyFill="1" applyBorder="1"/>
    <xf numFmtId="0" fontId="8" fillId="11" borderId="6" xfId="0" applyFont="1" applyFill="1" applyBorder="1"/>
    <xf numFmtId="0" fontId="8" fillId="11" borderId="7" xfId="0" applyFont="1" applyFill="1" applyBorder="1"/>
    <xf numFmtId="17" fontId="8" fillId="11" borderId="59" xfId="0" applyNumberFormat="1" applyFont="1" applyFill="1" applyBorder="1"/>
    <xf numFmtId="0" fontId="8" fillId="11" borderId="61" xfId="0" applyFont="1" applyFill="1" applyBorder="1"/>
    <xf numFmtId="2" fontId="8" fillId="11" borderId="7" xfId="0" applyNumberFormat="1" applyFont="1" applyFill="1" applyBorder="1"/>
    <xf numFmtId="0" fontId="8" fillId="11" borderId="28" xfId="0" applyFont="1" applyFill="1" applyBorder="1"/>
    <xf numFmtId="0" fontId="8" fillId="11" borderId="26" xfId="0" applyFont="1" applyFill="1" applyBorder="1" applyAlignment="1">
      <alignment vertical="top"/>
    </xf>
    <xf numFmtId="0" fontId="8" fillId="11" borderId="27" xfId="0" applyFont="1" applyFill="1" applyBorder="1" applyAlignment="1">
      <alignment vertical="top"/>
    </xf>
    <xf numFmtId="0" fontId="8" fillId="11" borderId="60" xfId="0" applyFont="1" applyFill="1" applyBorder="1" applyAlignment="1">
      <alignment horizontal="right" vertical="top" wrapText="1"/>
    </xf>
    <xf numFmtId="0" fontId="8" fillId="11" borderId="27" xfId="0" applyFont="1" applyFill="1" applyBorder="1" applyAlignment="1">
      <alignment horizontal="right" vertical="top" wrapText="1"/>
    </xf>
    <xf numFmtId="0" fontId="8" fillId="11" borderId="62" xfId="0" applyFont="1" applyFill="1" applyBorder="1" applyAlignment="1">
      <alignment horizontal="right" vertical="top" wrapText="1"/>
    </xf>
    <xf numFmtId="2" fontId="8" fillId="11" borderId="60" xfId="0" applyNumberFormat="1" applyFont="1" applyFill="1" applyBorder="1" applyAlignment="1">
      <alignment horizontal="right" vertical="top" wrapText="1"/>
    </xf>
    <xf numFmtId="2" fontId="8" fillId="11" borderId="27" xfId="0" applyNumberFormat="1" applyFont="1" applyFill="1" applyBorder="1" applyAlignment="1">
      <alignment horizontal="right" vertical="top" wrapText="1"/>
    </xf>
    <xf numFmtId="0" fontId="8" fillId="11" borderId="58" xfId="0" applyFont="1" applyFill="1" applyBorder="1" applyAlignment="1">
      <alignment horizontal="right" vertical="top" wrapText="1"/>
    </xf>
    <xf numFmtId="0" fontId="8" fillId="0" borderId="0" xfId="0" applyFont="1" applyAlignment="1">
      <alignment vertical="top"/>
    </xf>
    <xf numFmtId="0" fontId="0" fillId="15" borderId="9" xfId="0" applyFill="1" applyBorder="1"/>
    <xf numFmtId="43" fontId="0" fillId="0" borderId="15" xfId="1" applyFont="1" applyFill="1" applyBorder="1" applyProtection="1"/>
    <xf numFmtId="43" fontId="0" fillId="0" borderId="0" xfId="1" applyFont="1" applyFill="1" applyBorder="1" applyProtection="1"/>
    <xf numFmtId="43" fontId="0" fillId="0" borderId="16" xfId="1" applyFont="1" applyFill="1" applyBorder="1" applyProtection="1"/>
    <xf numFmtId="2" fontId="0" fillId="0" borderId="15" xfId="0" applyNumberFormat="1" applyBorder="1"/>
    <xf numFmtId="2" fontId="0" fillId="0" borderId="0" xfId="0" applyNumberFormat="1"/>
    <xf numFmtId="2" fontId="0" fillId="0" borderId="16" xfId="0" applyNumberFormat="1" applyBorder="1"/>
    <xf numFmtId="0" fontId="0" fillId="0" borderId="15" xfId="0" applyBorder="1"/>
    <xf numFmtId="0" fontId="0" fillId="0" borderId="16" xfId="0" applyBorder="1"/>
    <xf numFmtId="43" fontId="0" fillId="0" borderId="32" xfId="1" applyFont="1" applyFill="1" applyBorder="1" applyProtection="1"/>
    <xf numFmtId="2" fontId="0" fillId="0" borderId="0" xfId="1" applyNumberFormat="1" applyFont="1" applyFill="1" applyBorder="1" applyProtection="1"/>
    <xf numFmtId="0" fontId="0" fillId="11" borderId="26" xfId="0" applyFill="1" applyBorder="1"/>
    <xf numFmtId="0" fontId="0" fillId="11" borderId="27" xfId="0" applyFill="1" applyBorder="1"/>
    <xf numFmtId="43" fontId="0" fillId="11" borderId="60" xfId="1" applyFont="1" applyFill="1" applyBorder="1" applyProtection="1"/>
    <xf numFmtId="43" fontId="0" fillId="11" borderId="27" xfId="1" applyFont="1" applyFill="1" applyBorder="1" applyProtection="1"/>
    <xf numFmtId="43" fontId="0" fillId="11" borderId="62" xfId="1" applyFont="1" applyFill="1" applyBorder="1" applyProtection="1"/>
    <xf numFmtId="43" fontId="0" fillId="11" borderId="27" xfId="0" applyNumberFormat="1" applyFill="1" applyBorder="1"/>
    <xf numFmtId="43" fontId="0" fillId="11" borderId="58" xfId="0" applyNumberFormat="1" applyFill="1" applyBorder="1"/>
    <xf numFmtId="43" fontId="0" fillId="0" borderId="0" xfId="0" applyNumberFormat="1"/>
    <xf numFmtId="43" fontId="0" fillId="15" borderId="0" xfId="1" applyFont="1" applyFill="1" applyBorder="1" applyProtection="1"/>
    <xf numFmtId="43" fontId="0" fillId="0" borderId="27" xfId="1" applyFont="1" applyFill="1" applyBorder="1" applyProtection="1"/>
    <xf numFmtId="41" fontId="0" fillId="0" borderId="0" xfId="0" applyNumberFormat="1"/>
    <xf numFmtId="41" fontId="8" fillId="11" borderId="61" xfId="0" applyNumberFormat="1" applyFont="1" applyFill="1" applyBorder="1"/>
    <xf numFmtId="41" fontId="8" fillId="11" borderId="62" xfId="0" applyNumberFormat="1" applyFont="1" applyFill="1" applyBorder="1" applyAlignment="1">
      <alignment horizontal="right" vertical="top" wrapText="1"/>
    </xf>
    <xf numFmtId="164" fontId="0" fillId="0" borderId="0" xfId="0" applyNumberFormat="1"/>
    <xf numFmtId="164" fontId="8" fillId="11" borderId="61" xfId="0" applyNumberFormat="1" applyFont="1" applyFill="1" applyBorder="1"/>
    <xf numFmtId="164" fontId="8" fillId="11" borderId="62" xfId="0" applyNumberFormat="1" applyFont="1" applyFill="1" applyBorder="1" applyAlignment="1">
      <alignment horizontal="right" vertical="top" wrapText="1"/>
    </xf>
    <xf numFmtId="164" fontId="0" fillId="0" borderId="16" xfId="0" applyNumberFormat="1" applyBorder="1"/>
    <xf numFmtId="169" fontId="0" fillId="0" borderId="16" xfId="0" applyNumberFormat="1" applyBorder="1"/>
    <xf numFmtId="165" fontId="0" fillId="0" borderId="16" xfId="0" applyNumberFormat="1" applyBorder="1"/>
    <xf numFmtId="43" fontId="13" fillId="0" borderId="15" xfId="1" applyFont="1" applyFill="1" applyBorder="1" applyProtection="1"/>
    <xf numFmtId="0" fontId="0" fillId="0" borderId="11" xfId="0" applyBorder="1"/>
    <xf numFmtId="0" fontId="1" fillId="0" borderId="18" xfId="0" applyFont="1" applyBorder="1"/>
    <xf numFmtId="164" fontId="12" fillId="7" borderId="30" xfId="1" applyNumberFormat="1" applyFont="1" applyFill="1" applyBorder="1" applyAlignment="1">
      <alignment horizontal="center"/>
    </xf>
    <xf numFmtId="164" fontId="6" fillId="0" borderId="7" xfId="0" applyNumberFormat="1" applyFont="1" applyBorder="1"/>
    <xf numFmtId="0" fontId="8" fillId="0" borderId="0" xfId="0" applyFont="1" applyAlignment="1">
      <alignment horizontal="left"/>
    </xf>
    <xf numFmtId="164" fontId="8" fillId="0" borderId="0" xfId="0" applyNumberFormat="1" applyFont="1"/>
    <xf numFmtId="44" fontId="8" fillId="0" borderId="0" xfId="2" applyFont="1" applyAlignment="1">
      <alignment horizontal="left"/>
    </xf>
    <xf numFmtId="164" fontId="12" fillId="0" borderId="8" xfId="1" applyNumberFormat="1" applyFont="1" applyBorder="1" applyAlignment="1">
      <alignment horizontal="center"/>
    </xf>
    <xf numFmtId="164" fontId="12" fillId="3" borderId="69" xfId="6" applyNumberFormat="1" applyFont="1" applyBorder="1" applyAlignment="1">
      <alignment horizontal="center"/>
    </xf>
    <xf numFmtId="164" fontId="12" fillId="3" borderId="70" xfId="6" applyNumberFormat="1" applyFont="1" applyBorder="1" applyAlignment="1">
      <alignment horizontal="center"/>
    </xf>
    <xf numFmtId="0" fontId="1" fillId="0" borderId="60" xfId="0" applyFont="1" applyBorder="1"/>
    <xf numFmtId="170" fontId="1" fillId="11" borderId="25" xfId="4" applyNumberFormat="1" applyFont="1" applyFill="1" applyBorder="1" applyAlignment="1" applyProtection="1">
      <alignment horizontal="center"/>
      <protection locked="0"/>
    </xf>
    <xf numFmtId="170" fontId="1" fillId="16" borderId="25" xfId="4" applyNumberFormat="1" applyFont="1" applyFill="1" applyBorder="1" applyAlignment="1" applyProtection="1">
      <alignment horizontal="center"/>
      <protection locked="0"/>
    </xf>
    <xf numFmtId="9" fontId="19" fillId="0" borderId="31" xfId="7" applyNumberFormat="1" applyFont="1" applyFill="1" applyBorder="1" applyAlignment="1">
      <alignment horizontal="center"/>
    </xf>
    <xf numFmtId="43" fontId="9" fillId="11" borderId="25" xfId="1" applyFont="1" applyFill="1" applyBorder="1" applyAlignment="1" applyProtection="1">
      <alignment horizontal="center"/>
      <protection locked="0"/>
    </xf>
    <xf numFmtId="43" fontId="9" fillId="16" borderId="25" xfId="1" applyFont="1" applyFill="1" applyBorder="1" applyAlignment="1" applyProtection="1">
      <alignment horizontal="center"/>
      <protection locked="0"/>
    </xf>
    <xf numFmtId="14" fontId="8" fillId="6" borderId="64" xfId="0" applyNumberFormat="1" applyFont="1" applyFill="1" applyBorder="1" applyAlignment="1">
      <alignment horizontal="center"/>
    </xf>
    <xf numFmtId="166" fontId="1" fillId="0" borderId="72" xfId="2" applyNumberFormat="1" applyBorder="1"/>
    <xf numFmtId="0" fontId="8" fillId="0" borderId="42" xfId="0" applyFont="1" applyBorder="1" applyAlignment="1">
      <alignment horizontal="center"/>
    </xf>
    <xf numFmtId="166" fontId="1" fillId="0" borderId="71" xfId="2" applyNumberFormat="1" applyBorder="1"/>
    <xf numFmtId="1" fontId="1" fillId="0" borderId="39" xfId="2" quotePrefix="1" applyNumberFormat="1" applyFont="1" applyBorder="1" applyAlignment="1">
      <alignment horizontal="center"/>
    </xf>
    <xf numFmtId="1" fontId="1" fillId="0" borderId="42" xfId="2" quotePrefix="1" applyNumberFormat="1" applyFont="1" applyBorder="1" applyAlignment="1">
      <alignment horizontal="center"/>
    </xf>
    <xf numFmtId="1" fontId="1" fillId="0" borderId="44" xfId="2" quotePrefix="1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6" fontId="9" fillId="7" borderId="25" xfId="2" applyNumberFormat="1" applyFont="1" applyFill="1" applyBorder="1"/>
    <xf numFmtId="166" fontId="9" fillId="7" borderId="30" xfId="2" applyNumberFormat="1" applyFont="1" applyFill="1" applyBorder="1"/>
    <xf numFmtId="166" fontId="12" fillId="7" borderId="36" xfId="2" applyNumberFormat="1" applyFont="1" applyFill="1" applyBorder="1"/>
    <xf numFmtId="166" fontId="12" fillId="7" borderId="37" xfId="2" applyNumberFormat="1" applyFont="1" applyFill="1" applyBorder="1"/>
    <xf numFmtId="167" fontId="0" fillId="17" borderId="0" xfId="0" applyNumberFormat="1" applyFill="1"/>
    <xf numFmtId="0" fontId="1" fillId="0" borderId="39" xfId="0" quotePrefix="1" applyFont="1" applyBorder="1" applyAlignment="1">
      <alignment horizontal="center"/>
    </xf>
    <xf numFmtId="0" fontId="1" fillId="0" borderId="42" xfId="0" quotePrefix="1" applyFont="1" applyBorder="1" applyAlignment="1">
      <alignment horizontal="center"/>
    </xf>
    <xf numFmtId="0" fontId="0" fillId="0" borderId="42" xfId="0" applyBorder="1" applyAlignment="1">
      <alignment horizontal="left"/>
    </xf>
    <xf numFmtId="0" fontId="0" fillId="0" borderId="44" xfId="0" quotePrefix="1" applyBorder="1" applyAlignment="1">
      <alignment horizontal="center"/>
    </xf>
    <xf numFmtId="0" fontId="0" fillId="0" borderId="42" xfId="0" quotePrefix="1" applyBorder="1" applyAlignment="1">
      <alignment horizontal="center"/>
    </xf>
    <xf numFmtId="0" fontId="0" fillId="0" borderId="44" xfId="0" applyBorder="1" applyAlignment="1">
      <alignment horizontal="left"/>
    </xf>
    <xf numFmtId="0" fontId="0" fillId="0" borderId="73" xfId="0" applyBorder="1"/>
    <xf numFmtId="0" fontId="1" fillId="0" borderId="11" xfId="0" applyFont="1" applyBorder="1"/>
    <xf numFmtId="0" fontId="0" fillId="0" borderId="12" xfId="0" applyBorder="1"/>
    <xf numFmtId="0" fontId="2" fillId="5" borderId="74" xfId="4" applyFill="1" applyBorder="1" applyProtection="1">
      <protection locked="0"/>
    </xf>
    <xf numFmtId="0" fontId="1" fillId="0" borderId="52" xfId="0" applyFont="1" applyBorder="1" applyAlignment="1">
      <alignment horizontal="center"/>
    </xf>
    <xf numFmtId="0" fontId="1" fillId="0" borderId="52" xfId="0" quotePrefix="1" applyFont="1" applyBorder="1" applyAlignment="1">
      <alignment horizontal="center"/>
    </xf>
    <xf numFmtId="0" fontId="1" fillId="0" borderId="11" xfId="0" quotePrefix="1" applyFont="1" applyBorder="1" applyAlignment="1">
      <alignment horizontal="center"/>
    </xf>
    <xf numFmtId="0" fontId="1" fillId="0" borderId="55" xfId="0" quotePrefix="1" applyFont="1" applyBorder="1" applyAlignment="1">
      <alignment horizontal="center"/>
    </xf>
    <xf numFmtId="44" fontId="6" fillId="7" borderId="25" xfId="4" applyNumberFormat="1" applyFont="1" applyFill="1" applyBorder="1" applyProtection="1">
      <protection locked="0"/>
    </xf>
    <xf numFmtId="166" fontId="9" fillId="7" borderId="38" xfId="5" applyNumberFormat="1" applyFont="1" applyFill="1" applyBorder="1"/>
    <xf numFmtId="166" fontId="9" fillId="7" borderId="75" xfId="5" applyNumberFormat="1" applyFont="1" applyFill="1" applyBorder="1"/>
    <xf numFmtId="166" fontId="2" fillId="7" borderId="25" xfId="4" applyNumberFormat="1" applyFill="1" applyBorder="1" applyProtection="1">
      <protection locked="0"/>
    </xf>
    <xf numFmtId="166" fontId="2" fillId="7" borderId="30" xfId="4" applyNumberFormat="1" applyFill="1" applyBorder="1" applyProtection="1">
      <protection locked="0"/>
    </xf>
    <xf numFmtId="171" fontId="6" fillId="7" borderId="25" xfId="4" applyNumberFormat="1" applyFont="1" applyFill="1" applyBorder="1" applyProtection="1">
      <protection locked="0"/>
    </xf>
    <xf numFmtId="166" fontId="9" fillId="3" borderId="36" xfId="6" applyNumberFormat="1" applyFont="1" applyBorder="1"/>
    <xf numFmtId="166" fontId="9" fillId="3" borderId="37" xfId="6" applyNumberFormat="1" applyFont="1" applyBorder="1"/>
    <xf numFmtId="164" fontId="1" fillId="14" borderId="13" xfId="4" applyNumberFormat="1" applyFont="1" applyFill="1" applyBorder="1" applyAlignment="1" applyProtection="1">
      <alignment horizontal="center"/>
      <protection locked="0"/>
    </xf>
    <xf numFmtId="164" fontId="1" fillId="14" borderId="1" xfId="4" applyNumberFormat="1" applyFont="1" applyFill="1" applyAlignment="1" applyProtection="1">
      <alignment horizontal="center"/>
      <protection locked="0"/>
    </xf>
    <xf numFmtId="164" fontId="1" fillId="14" borderId="14" xfId="4" applyNumberFormat="1" applyFont="1" applyFill="1" applyBorder="1" applyAlignment="1" applyProtection="1">
      <alignment horizontal="center"/>
      <protection locked="0"/>
    </xf>
    <xf numFmtId="164" fontId="1" fillId="14" borderId="20" xfId="4" applyNumberFormat="1" applyFont="1" applyFill="1" applyBorder="1" applyAlignment="1" applyProtection="1">
      <alignment horizontal="center"/>
      <protection locked="0"/>
    </xf>
    <xf numFmtId="164" fontId="1" fillId="14" borderId="23" xfId="4" applyNumberFormat="1" applyFont="1" applyFill="1" applyBorder="1" applyAlignment="1" applyProtection="1">
      <alignment horizontal="center"/>
      <protection locked="0"/>
    </xf>
    <xf numFmtId="164" fontId="1" fillId="14" borderId="24" xfId="4" applyNumberFormat="1" applyFont="1" applyFill="1" applyBorder="1" applyAlignment="1" applyProtection="1">
      <alignment horizontal="center"/>
      <protection locked="0"/>
    </xf>
    <xf numFmtId="164" fontId="1" fillId="14" borderId="21" xfId="4" applyNumberFormat="1" applyFont="1" applyFill="1" applyBorder="1" applyAlignment="1" applyProtection="1">
      <alignment horizontal="center"/>
      <protection locked="0"/>
    </xf>
    <xf numFmtId="164" fontId="1" fillId="14" borderId="22" xfId="4" applyNumberFormat="1" applyFont="1" applyFill="1" applyBorder="1" applyAlignment="1" applyProtection="1">
      <alignment horizontal="center"/>
      <protection locked="0"/>
    </xf>
    <xf numFmtId="44" fontId="1" fillId="14" borderId="25" xfId="4" applyNumberFormat="1" applyFont="1" applyFill="1" applyBorder="1" applyProtection="1">
      <protection locked="0"/>
    </xf>
    <xf numFmtId="0" fontId="1" fillId="14" borderId="42" xfId="4" applyFont="1" applyFill="1" applyBorder="1" applyAlignment="1" applyProtection="1">
      <alignment horizontal="center"/>
      <protection locked="0"/>
    </xf>
    <xf numFmtId="0" fontId="1" fillId="14" borderId="42" xfId="4" applyFont="1" applyFill="1" applyBorder="1" applyAlignment="1" applyProtection="1">
      <alignment horizontal="left"/>
      <protection locked="0"/>
    </xf>
    <xf numFmtId="0" fontId="1" fillId="14" borderId="44" xfId="4" applyFont="1" applyFill="1" applyBorder="1" applyAlignment="1" applyProtection="1">
      <alignment horizontal="left"/>
      <protection locked="0"/>
    </xf>
    <xf numFmtId="166" fontId="2" fillId="14" borderId="25" xfId="4" applyNumberFormat="1" applyFill="1" applyBorder="1" applyProtection="1">
      <protection locked="0"/>
    </xf>
    <xf numFmtId="166" fontId="2" fillId="14" borderId="30" xfId="4" applyNumberFormat="1" applyFill="1" applyBorder="1" applyProtection="1">
      <protection locked="0"/>
    </xf>
    <xf numFmtId="0" fontId="2" fillId="14" borderId="1" xfId="4" applyFill="1" applyProtection="1">
      <protection locked="0"/>
    </xf>
    <xf numFmtId="0" fontId="2" fillId="14" borderId="76" xfId="4" applyFill="1" applyBorder="1" applyProtection="1">
      <protection locked="0"/>
    </xf>
    <xf numFmtId="0" fontId="2" fillId="14" borderId="14" xfId="4" applyFill="1" applyBorder="1" applyProtection="1">
      <protection locked="0"/>
    </xf>
    <xf numFmtId="0" fontId="2" fillId="14" borderId="74" xfId="4" applyFill="1" applyBorder="1" applyProtection="1">
      <protection locked="0"/>
    </xf>
    <xf numFmtId="0" fontId="2" fillId="14" borderId="23" xfId="4" applyFill="1" applyBorder="1" applyProtection="1">
      <protection locked="0"/>
    </xf>
    <xf numFmtId="0" fontId="2" fillId="14" borderId="24" xfId="4" applyFill="1" applyBorder="1" applyProtection="1">
      <protection locked="0"/>
    </xf>
    <xf numFmtId="164" fontId="6" fillId="7" borderId="7" xfId="0" applyNumberFormat="1" applyFont="1" applyFill="1" applyBorder="1"/>
    <xf numFmtId="43" fontId="0" fillId="12" borderId="0" xfId="1" applyFont="1" applyFill="1"/>
    <xf numFmtId="172" fontId="0" fillId="12" borderId="0" xfId="1" applyNumberFormat="1" applyFont="1" applyFill="1" applyBorder="1"/>
    <xf numFmtId="43" fontId="0" fillId="12" borderId="6" xfId="1" applyFont="1" applyFill="1" applyBorder="1"/>
    <xf numFmtId="0" fontId="0" fillId="0" borderId="29" xfId="0" applyBorder="1" applyAlignment="1">
      <alignment horizontal="left"/>
    </xf>
    <xf numFmtId="9" fontId="1" fillId="0" borderId="25" xfId="4" applyNumberFormat="1" applyFont="1" applyFill="1" applyBorder="1" applyAlignment="1" applyProtection="1">
      <alignment horizontal="center"/>
      <protection locked="0"/>
    </xf>
    <xf numFmtId="170" fontId="1" fillId="0" borderId="25" xfId="4" applyNumberFormat="1" applyFont="1" applyFill="1" applyBorder="1" applyAlignment="1" applyProtection="1">
      <alignment horizontal="center"/>
      <protection locked="0"/>
    </xf>
    <xf numFmtId="43" fontId="9" fillId="0" borderId="25" xfId="1" applyFont="1" applyFill="1" applyBorder="1" applyAlignment="1" applyProtection="1">
      <alignment horizontal="center"/>
      <protection locked="0"/>
    </xf>
    <xf numFmtId="164" fontId="1" fillId="5" borderId="77" xfId="4" applyNumberFormat="1" applyFont="1" applyFill="1" applyBorder="1" applyAlignment="1" applyProtection="1">
      <alignment horizontal="center"/>
      <protection locked="0"/>
    </xf>
    <xf numFmtId="0" fontId="2" fillId="5" borderId="70" xfId="4" applyFill="1" applyBorder="1" applyProtection="1">
      <protection locked="0"/>
    </xf>
    <xf numFmtId="172" fontId="0" fillId="12" borderId="9" xfId="1" applyNumberFormat="1" applyFont="1" applyFill="1" applyBorder="1"/>
    <xf numFmtId="172" fontId="0" fillId="10" borderId="0" xfId="0" applyNumberFormat="1" applyFill="1"/>
    <xf numFmtId="172" fontId="0" fillId="10" borderId="15" xfId="1" applyNumberFormat="1" applyFont="1" applyFill="1" applyBorder="1"/>
    <xf numFmtId="172" fontId="0" fillId="10" borderId="0" xfId="1" applyNumberFormat="1" applyFont="1" applyFill="1" applyBorder="1"/>
    <xf numFmtId="172" fontId="0" fillId="10" borderId="32" xfId="0" applyNumberFormat="1" applyFill="1" applyBorder="1"/>
    <xf numFmtId="172" fontId="0" fillId="0" borderId="67" xfId="1" applyNumberFormat="1" applyFont="1" applyFill="1" applyBorder="1"/>
    <xf numFmtId="0" fontId="0" fillId="7" borderId="25" xfId="0" applyFill="1" applyBorder="1" applyAlignment="1">
      <alignment horizontal="center"/>
    </xf>
    <xf numFmtId="43" fontId="9" fillId="7" borderId="25" xfId="1" applyFont="1" applyFill="1" applyBorder="1" applyAlignment="1" applyProtection="1">
      <alignment horizontal="center"/>
    </xf>
    <xf numFmtId="0" fontId="0" fillId="0" borderId="25" xfId="0" applyBorder="1" applyAlignment="1">
      <alignment horizontal="center"/>
    </xf>
    <xf numFmtId="43" fontId="9" fillId="0" borderId="25" xfId="1" applyFont="1" applyFill="1" applyBorder="1" applyAlignment="1" applyProtection="1">
      <alignment horizontal="center"/>
    </xf>
    <xf numFmtId="0" fontId="1" fillId="7" borderId="25" xfId="0" applyFont="1" applyFill="1" applyBorder="1" applyAlignment="1">
      <alignment horizontal="center"/>
    </xf>
    <xf numFmtId="1" fontId="1" fillId="14" borderId="39" xfId="2" applyNumberFormat="1" applyFont="1" applyFill="1" applyBorder="1" applyAlignment="1" applyProtection="1">
      <alignment horizontal="center"/>
      <protection locked="0"/>
    </xf>
    <xf numFmtId="0" fontId="1" fillId="14" borderId="39" xfId="1" applyNumberFormat="1" applyFont="1" applyFill="1" applyBorder="1" applyAlignment="1" applyProtection="1">
      <alignment horizontal="center"/>
      <protection locked="0"/>
    </xf>
    <xf numFmtId="1" fontId="1" fillId="14" borderId="42" xfId="2" applyNumberFormat="1" applyFont="1" applyFill="1" applyBorder="1" applyAlignment="1" applyProtection="1">
      <alignment horizontal="center"/>
      <protection locked="0"/>
    </xf>
    <xf numFmtId="0" fontId="1" fillId="14" borderId="42" xfId="1" applyNumberFormat="1" applyFont="1" applyFill="1" applyBorder="1" applyAlignment="1" applyProtection="1">
      <alignment horizontal="center"/>
      <protection locked="0"/>
    </xf>
    <xf numFmtId="1" fontId="1" fillId="14" borderId="44" xfId="2" applyNumberFormat="1" applyFont="1" applyFill="1" applyBorder="1" applyAlignment="1" applyProtection="1">
      <alignment horizontal="center"/>
      <protection locked="0"/>
    </xf>
    <xf numFmtId="44" fontId="9" fillId="14" borderId="25" xfId="4" applyNumberFormat="1" applyFont="1" applyFill="1" applyBorder="1" applyProtection="1">
      <protection locked="0"/>
    </xf>
    <xf numFmtId="171" fontId="9" fillId="14" borderId="25" xfId="4" applyNumberFormat="1" applyFont="1" applyFill="1" applyBorder="1" applyProtection="1">
      <protection locked="0"/>
    </xf>
    <xf numFmtId="44" fontId="6" fillId="7" borderId="25" xfId="4" applyNumberFormat="1" applyFont="1" applyFill="1" applyBorder="1" applyProtection="1"/>
    <xf numFmtId="0" fontId="0" fillId="14" borderId="53" xfId="0" applyFill="1" applyBorder="1" applyProtection="1">
      <protection locked="0"/>
    </xf>
    <xf numFmtId="0" fontId="0" fillId="14" borderId="12" xfId="0" applyFill="1" applyBorder="1" applyProtection="1">
      <protection locked="0"/>
    </xf>
    <xf numFmtId="0" fontId="0" fillId="14" borderId="56" xfId="0" applyFill="1" applyBorder="1" applyProtection="1">
      <protection locked="0"/>
    </xf>
    <xf numFmtId="0" fontId="8" fillId="14" borderId="0" xfId="0" applyFont="1" applyFill="1" applyProtection="1">
      <protection locked="0"/>
    </xf>
    <xf numFmtId="0" fontId="8" fillId="6" borderId="25" xfId="0" applyFont="1" applyFill="1" applyBorder="1" applyAlignment="1" applyProtection="1">
      <alignment horizontal="center"/>
      <protection locked="0"/>
    </xf>
    <xf numFmtId="43" fontId="2" fillId="11" borderId="13" xfId="1" applyFont="1" applyFill="1" applyBorder="1" applyAlignment="1" applyProtection="1">
      <alignment horizontal="center"/>
      <protection locked="0"/>
    </xf>
    <xf numFmtId="43" fontId="2" fillId="0" borderId="13" xfId="1" applyFont="1" applyFill="1" applyBorder="1" applyAlignment="1" applyProtection="1">
      <alignment horizontal="center"/>
      <protection locked="0"/>
    </xf>
    <xf numFmtId="43" fontId="2" fillId="16" borderId="13" xfId="1" applyFont="1" applyFill="1" applyBorder="1" applyAlignment="1" applyProtection="1">
      <alignment horizontal="center"/>
      <protection locked="0"/>
    </xf>
    <xf numFmtId="0" fontId="0" fillId="11" borderId="25" xfId="0" applyFill="1" applyBorder="1" applyAlignment="1">
      <alignment horizontal="center"/>
    </xf>
    <xf numFmtId="0" fontId="0" fillId="16" borderId="25" xfId="0" applyFill="1" applyBorder="1" applyAlignment="1">
      <alignment horizontal="center"/>
    </xf>
    <xf numFmtId="0" fontId="1" fillId="16" borderId="25" xfId="0" applyFont="1" applyFill="1" applyBorder="1" applyAlignment="1">
      <alignment horizontal="center"/>
    </xf>
    <xf numFmtId="164" fontId="12" fillId="0" borderId="25" xfId="1" applyNumberFormat="1" applyFont="1" applyBorder="1" applyAlignment="1" applyProtection="1">
      <alignment horizontal="center"/>
    </xf>
    <xf numFmtId="164" fontId="12" fillId="0" borderId="30" xfId="1" applyNumberFormat="1" applyFont="1" applyBorder="1" applyAlignment="1" applyProtection="1">
      <alignment horizontal="center"/>
    </xf>
    <xf numFmtId="43" fontId="12" fillId="3" borderId="1" xfId="1" applyFont="1" applyFill="1" applyBorder="1" applyAlignment="1" applyProtection="1">
      <alignment horizontal="center"/>
    </xf>
    <xf numFmtId="43" fontId="12" fillId="3" borderId="14" xfId="1" applyFont="1" applyFill="1" applyBorder="1" applyAlignment="1" applyProtection="1">
      <alignment horizontal="center"/>
    </xf>
    <xf numFmtId="164" fontId="12" fillId="3" borderId="23" xfId="6" applyNumberFormat="1" applyFont="1" applyBorder="1" applyAlignment="1" applyProtection="1">
      <alignment horizontal="center"/>
    </xf>
    <xf numFmtId="164" fontId="12" fillId="3" borderId="24" xfId="6" applyNumberFormat="1" applyFont="1" applyBorder="1" applyAlignment="1" applyProtection="1">
      <alignment horizontal="center"/>
    </xf>
    <xf numFmtId="166" fontId="12" fillId="3" borderId="2" xfId="5" applyNumberFormat="1" applyFont="1" applyProtection="1"/>
    <xf numFmtId="166" fontId="1" fillId="0" borderId="0" xfId="2" applyNumberFormat="1" applyProtection="1"/>
    <xf numFmtId="166" fontId="9" fillId="3" borderId="25" xfId="6" applyNumberFormat="1" applyFont="1" applyBorder="1" applyProtection="1"/>
    <xf numFmtId="166" fontId="9" fillId="0" borderId="0" xfId="2" applyNumberFormat="1" applyFont="1" applyProtection="1"/>
    <xf numFmtId="166" fontId="1" fillId="0" borderId="32" xfId="2" applyNumberFormat="1" applyBorder="1" applyProtection="1"/>
    <xf numFmtId="166" fontId="12" fillId="3" borderId="25" xfId="6" applyNumberFormat="1" applyFont="1" applyBorder="1" applyProtection="1"/>
    <xf numFmtId="166" fontId="9" fillId="0" borderId="32" xfId="2" applyNumberFormat="1" applyFont="1" applyBorder="1" applyProtection="1"/>
    <xf numFmtId="166" fontId="12" fillId="3" borderId="33" xfId="5" applyNumberFormat="1" applyFont="1" applyBorder="1" applyProtection="1"/>
    <xf numFmtId="166" fontId="12" fillId="3" borderId="34" xfId="5" applyNumberFormat="1" applyFont="1" applyBorder="1" applyProtection="1"/>
    <xf numFmtId="2" fontId="12" fillId="3" borderId="33" xfId="5" applyNumberFormat="1" applyFont="1" applyBorder="1" applyProtection="1"/>
    <xf numFmtId="166" fontId="9" fillId="0" borderId="25" xfId="2" applyNumberFormat="1" applyFont="1" applyBorder="1" applyProtection="1"/>
    <xf numFmtId="166" fontId="9" fillId="3" borderId="30" xfId="6" applyNumberFormat="1" applyFont="1" applyBorder="1" applyProtection="1"/>
    <xf numFmtId="166" fontId="9" fillId="3" borderId="38" xfId="5" applyNumberFormat="1" applyFont="1" applyBorder="1" applyProtection="1"/>
    <xf numFmtId="166" fontId="12" fillId="3" borderId="47" xfId="5" applyNumberFormat="1" applyFont="1" applyBorder="1" applyProtection="1"/>
    <xf numFmtId="166" fontId="12" fillId="3" borderId="48" xfId="5" applyNumberFormat="1" applyFont="1" applyBorder="1" applyProtection="1"/>
    <xf numFmtId="166" fontId="1" fillId="0" borderId="27" xfId="2" applyNumberFormat="1" applyBorder="1" applyProtection="1"/>
    <xf numFmtId="166" fontId="12" fillId="3" borderId="35" xfId="5" applyNumberFormat="1" applyFont="1" applyBorder="1" applyProtection="1"/>
    <xf numFmtId="166" fontId="12" fillId="3" borderId="38" xfId="5" applyNumberFormat="1" applyFont="1" applyBorder="1" applyProtection="1"/>
    <xf numFmtId="44" fontId="12" fillId="3" borderId="33" xfId="5" applyNumberFormat="1" applyFont="1" applyBorder="1" applyProtection="1"/>
    <xf numFmtId="166" fontId="9" fillId="7" borderId="78" xfId="5" applyNumberFormat="1" applyFont="1" applyFill="1" applyBorder="1"/>
    <xf numFmtId="0" fontId="1" fillId="0" borderId="10" xfId="0" applyFont="1" applyBorder="1" applyAlignment="1" applyProtection="1">
      <alignment horizontal="center"/>
      <protection locked="0"/>
    </xf>
    <xf numFmtId="0" fontId="1" fillId="0" borderId="39" xfId="1" applyNumberFormat="1" applyFont="1" applyFill="1" applyBorder="1" applyAlignment="1" applyProtection="1">
      <alignment horizontal="center"/>
      <protection locked="0"/>
    </xf>
    <xf numFmtId="0" fontId="1" fillId="0" borderId="15" xfId="0" applyFont="1" applyBorder="1" applyAlignment="1" applyProtection="1">
      <alignment horizontal="center"/>
      <protection locked="0"/>
    </xf>
    <xf numFmtId="0" fontId="1" fillId="0" borderId="42" xfId="1" applyNumberFormat="1" applyFont="1" applyFill="1" applyBorder="1" applyAlignment="1" applyProtection="1">
      <alignment horizontal="center"/>
      <protection locked="0"/>
    </xf>
    <xf numFmtId="0" fontId="0" fillId="10" borderId="6" xfId="0" applyFill="1" applyBorder="1"/>
    <xf numFmtId="43" fontId="0" fillId="10" borderId="28" xfId="0" applyNumberFormat="1" applyFill="1" applyBorder="1"/>
    <xf numFmtId="0" fontId="0" fillId="10" borderId="9" xfId="0" applyFill="1" applyBorder="1"/>
    <xf numFmtId="0" fontId="0" fillId="10" borderId="26" xfId="0" applyFill="1" applyBorder="1"/>
    <xf numFmtId="43" fontId="0" fillId="10" borderId="58" xfId="0" applyNumberFormat="1" applyFill="1" applyBorder="1"/>
    <xf numFmtId="43" fontId="8" fillId="11" borderId="65" xfId="1" applyFont="1" applyFill="1" applyBorder="1" applyAlignment="1">
      <alignment horizontal="center" vertical="top"/>
    </xf>
    <xf numFmtId="166" fontId="0" fillId="0" borderId="49" xfId="0" applyNumberFormat="1" applyBorder="1" applyAlignment="1">
      <alignment horizontal="center"/>
    </xf>
    <xf numFmtId="166" fontId="0" fillId="0" borderId="50" xfId="0" applyNumberForma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32" xfId="0" applyFont="1" applyBorder="1" applyAlignment="1">
      <alignment horizontal="center"/>
    </xf>
    <xf numFmtId="9" fontId="1" fillId="7" borderId="39" xfId="3" applyFont="1" applyFill="1" applyBorder="1" applyAlignment="1">
      <alignment horizontal="center" vertical="center"/>
    </xf>
    <xf numFmtId="9" fontId="1" fillId="7" borderId="42" xfId="3" applyFont="1" applyFill="1" applyBorder="1" applyAlignment="1">
      <alignment horizontal="center" vertical="center"/>
    </xf>
    <xf numFmtId="9" fontId="1" fillId="7" borderId="44" xfId="3" applyFont="1" applyFill="1" applyBorder="1" applyAlignment="1">
      <alignment horizontal="center" vertical="center"/>
    </xf>
    <xf numFmtId="9" fontId="1" fillId="7" borderId="39" xfId="0" applyNumberFormat="1" applyFont="1" applyFill="1" applyBorder="1" applyAlignment="1">
      <alignment horizontal="center" vertical="center"/>
    </xf>
    <xf numFmtId="0" fontId="1" fillId="7" borderId="42" xfId="0" applyFont="1" applyFill="1" applyBorder="1" applyAlignment="1">
      <alignment horizontal="center" vertical="center"/>
    </xf>
    <xf numFmtId="0" fontId="1" fillId="7" borderId="71" xfId="0" applyFont="1" applyFill="1" applyBorder="1" applyAlignment="1">
      <alignment horizontal="center" vertical="center"/>
    </xf>
    <xf numFmtId="9" fontId="1" fillId="7" borderId="12" xfId="3" applyFont="1" applyFill="1" applyBorder="1" applyAlignment="1" applyProtection="1">
      <alignment horizontal="center"/>
    </xf>
    <xf numFmtId="9" fontId="1" fillId="7" borderId="16" xfId="3" applyFont="1" applyFill="1" applyBorder="1" applyAlignment="1" applyProtection="1">
      <alignment horizontal="center"/>
    </xf>
    <xf numFmtId="9" fontId="1" fillId="7" borderId="19" xfId="3" applyFont="1" applyFill="1" applyBorder="1" applyAlignment="1" applyProtection="1">
      <alignment horizontal="center"/>
    </xf>
    <xf numFmtId="9" fontId="1" fillId="7" borderId="11" xfId="0" applyNumberFormat="1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7" borderId="27" xfId="0" applyFont="1" applyFill="1" applyBorder="1" applyAlignment="1">
      <alignment horizontal="center"/>
    </xf>
    <xf numFmtId="43" fontId="0" fillId="0" borderId="0" xfId="1" applyFont="1"/>
    <xf numFmtId="0" fontId="0" fillId="0" borderId="0" xfId="0" applyAlignment="1">
      <alignment horizontal="center"/>
    </xf>
    <xf numFmtId="43" fontId="0" fillId="11" borderId="0" xfId="1" applyFont="1" applyFill="1"/>
    <xf numFmtId="173" fontId="0" fillId="11" borderId="0" xfId="1" applyNumberFormat="1" applyFont="1" applyFill="1"/>
    <xf numFmtId="43" fontId="0" fillId="11" borderId="0" xfId="0" applyNumberFormat="1" applyFill="1"/>
    <xf numFmtId="17" fontId="0" fillId="0" borderId="0" xfId="0" applyNumberFormat="1"/>
    <xf numFmtId="0" fontId="0" fillId="0" borderId="25" xfId="0" applyFill="1" applyBorder="1" applyAlignment="1">
      <alignment horizontal="center"/>
    </xf>
    <xf numFmtId="0" fontId="8" fillId="0" borderId="27" xfId="0" applyFont="1" applyBorder="1" applyAlignment="1">
      <alignment horizontal="right"/>
    </xf>
    <xf numFmtId="43" fontId="1" fillId="11" borderId="25" xfId="1" applyFont="1" applyFill="1" applyBorder="1" applyAlignment="1" applyProtection="1">
      <alignment horizontal="center"/>
      <protection locked="0"/>
    </xf>
    <xf numFmtId="43" fontId="1" fillId="0" borderId="25" xfId="1" applyFont="1" applyFill="1" applyBorder="1" applyAlignment="1" applyProtection="1">
      <alignment horizontal="center"/>
      <protection locked="0"/>
    </xf>
    <xf numFmtId="43" fontId="1" fillId="16" borderId="25" xfId="1" applyFont="1" applyFill="1" applyBorder="1" applyAlignment="1" applyProtection="1">
      <alignment horizontal="center"/>
      <protection locked="0"/>
    </xf>
  </cellXfs>
  <cellStyles count="9">
    <cellStyle name="Calculation" xfId="6" builtinId="22"/>
    <cellStyle name="Check Cell" xfId="7" builtinId="23"/>
    <cellStyle name="Comma" xfId="1" builtinId="3"/>
    <cellStyle name="Currency" xfId="2" builtinId="4"/>
    <cellStyle name="Explanatory Text" xfId="8" builtinId="53"/>
    <cellStyle name="Input" xfId="4" builtinId="20"/>
    <cellStyle name="Normal" xfId="0" builtinId="0"/>
    <cellStyle name="Output" xfId="5" builtinId="21"/>
    <cellStyle name="Percent" xfId="3" builtinId="5"/>
  </cellStyles>
  <dxfs count="1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numFmt numFmtId="35" formatCode="_-* #,##0.00_-;\-* #,##0.00_-;_-* &quot;-&quot;??_-;_-@_-"/>
      <fill>
        <patternFill patternType="solid">
          <fgColor indexed="64"/>
          <bgColor theme="9" tint="0.79998168889431442"/>
        </patternFill>
      </fill>
    </dxf>
    <dxf>
      <numFmt numFmtId="35" formatCode="_-* #,##0.00_-;\-* #,##0.00_-;_-* &quot;-&quot;??_-;_-@_-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0397C3-96A2-423E-8E1C-5FCAE23B3E49}" name="Table223" displayName="Table223" ref="A1:M57" totalsRowShown="0">
  <autoFilter ref="A1:M57" xr:uid="{DEC0F924-41DF-4E36-AE13-C85946A12200}"/>
  <tableColumns count="13">
    <tableColumn id="1" xr3:uid="{F8EF0BEA-A672-4F5A-80BD-D264B65C261D}" name="Year"/>
    <tableColumn id="2" xr3:uid="{FBA10170-3023-4CEB-A592-61D056655EEE}" name="Month"/>
    <tableColumn id="3" xr3:uid="{FBE0654E-3DA7-41D8-9F16-C4B409120580}" name="Forest Name"/>
    <tableColumn id="4" xr3:uid="{AA32D4DD-8211-4B4F-AB48-28AFA12D6E55}" name="Grade Breakdown"/>
    <tableColumn id="11" xr3:uid="{77D97C66-9E5A-4690-BEE9-67C3E354D35A}" name="Lengh" dataDxfId="18"/>
    <tableColumn id="5" xr3:uid="{18D7A0A6-A4E8-449D-8B60-464D1D2426C9}" name="Species"/>
    <tableColumn id="12" xr3:uid="{166F78A1-140B-4601-BB91-52F85CA70BEA}" name="Market"/>
    <tableColumn id="6" xr3:uid="{7DF10E14-E755-478A-88B6-A61EBB8D9CC7}" name="Customer"/>
    <tableColumn id="7" xr3:uid="{670E52B9-18F8-49D6-8768-FCC3F590EB65}" name="Tonnes #" dataDxfId="17"/>
    <tableColumn id="13" xr3:uid="{D4CD1F31-3638-44AC-A18B-EC0796C01B7B}" name="Conversion Rate" dataDxfId="16">
      <calculatedColumnFormula>_xlfn.XLOOKUP(Table223[[#This Row],[Grade Breakdown]],AA:AA,AB:AB,0,0)</calculatedColumnFormula>
    </tableColumn>
    <tableColumn id="8" xr3:uid="{1C2DEEF8-A2B6-4014-B064-7B15303B1494}" name="JAS #" dataDxfId="15">
      <calculatedColumnFormula>Table223[[#This Row],[Tonnes '#]]*Table223[[#This Row],[Conversion Rate]]</calculatedColumnFormula>
    </tableColumn>
    <tableColumn id="9" xr3:uid="{E0C15733-E399-40E9-AD2E-1724C788F8C7}" name="At mill/port Door Price"/>
    <tableColumn id="10" xr3:uid="{60BC3AA0-0CA9-46A1-8054-C680C8AB5547}" name="Amount in NZ$" dataDxfId="14" dataCellStyle="Comma">
      <calculatedColumnFormula>Table223[[#This Row],[Tonnes '#]]*Table223[[#This Row],[At mill/port Door Price]]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C579F-7F7A-49DD-8C46-CF30B9ADBB71}">
  <sheetPr>
    <tabColor rgb="FF0070C0"/>
  </sheetPr>
  <dimension ref="A1:AG57"/>
  <sheetViews>
    <sheetView workbookViewId="0">
      <selection activeCell="B44" sqref="B44"/>
    </sheetView>
  </sheetViews>
  <sheetFormatPr defaultRowHeight="15" x14ac:dyDescent="0.25"/>
  <cols>
    <col min="1" max="1" width="12.5703125" customWidth="1"/>
    <col min="2" max="2" width="13.7109375" customWidth="1"/>
    <col min="3" max="3" width="16.85546875" customWidth="1"/>
    <col min="4" max="4" width="15" customWidth="1"/>
    <col min="5" max="5" width="12.28515625" style="465" customWidth="1"/>
    <col min="6" max="8" width="14.28515625" customWidth="1"/>
    <col min="9" max="9" width="14.85546875" customWidth="1"/>
    <col min="10" max="10" width="17.5703125" customWidth="1"/>
    <col min="11" max="11" width="14.28515625" customWidth="1"/>
    <col min="12" max="12" width="20.5703125" customWidth="1"/>
    <col min="13" max="13" width="21.7109375" style="464" customWidth="1"/>
    <col min="27" max="27" width="13.7109375" customWidth="1"/>
    <col min="28" max="28" width="18.140625" customWidth="1"/>
  </cols>
  <sheetData>
    <row r="1" spans="1:33" x14ac:dyDescent="0.25">
      <c r="A1" t="s">
        <v>254</v>
      </c>
      <c r="B1" t="s">
        <v>255</v>
      </c>
      <c r="C1" t="s">
        <v>256</v>
      </c>
      <c r="D1" t="s">
        <v>257</v>
      </c>
      <c r="E1" s="465" t="s">
        <v>276</v>
      </c>
      <c r="F1" t="s">
        <v>258</v>
      </c>
      <c r="G1" t="s">
        <v>275</v>
      </c>
      <c r="H1" t="s">
        <v>259</v>
      </c>
      <c r="I1" t="s">
        <v>260</v>
      </c>
      <c r="J1" t="s">
        <v>210</v>
      </c>
      <c r="K1" t="s">
        <v>261</v>
      </c>
      <c r="L1" t="s">
        <v>262</v>
      </c>
      <c r="M1" s="464" t="s">
        <v>274</v>
      </c>
      <c r="AA1" t="s">
        <v>13</v>
      </c>
      <c r="AB1" t="s">
        <v>210</v>
      </c>
    </row>
    <row r="2" spans="1:33" x14ac:dyDescent="0.25">
      <c r="A2">
        <v>2025</v>
      </c>
      <c r="B2" s="469">
        <v>45658</v>
      </c>
      <c r="C2" t="s">
        <v>269</v>
      </c>
      <c r="D2" t="s">
        <v>175</v>
      </c>
      <c r="E2" s="465">
        <v>5.9</v>
      </c>
      <c r="F2" t="s">
        <v>272</v>
      </c>
      <c r="G2" t="s">
        <v>170</v>
      </c>
      <c r="H2" t="s">
        <v>270</v>
      </c>
      <c r="I2" s="464">
        <v>200</v>
      </c>
      <c r="J2" s="466">
        <f>_xlfn.XLOOKUP(Table223[[#This Row],[Grade Breakdown]],AA:AA,AB:AB,0,0)</f>
        <v>1.0900000000000001</v>
      </c>
      <c r="K2" s="467">
        <f>Table223[[#This Row],[Tonnes '#]]*Table223[[#This Row],[Conversion Rate]]</f>
        <v>218.00000000000003</v>
      </c>
      <c r="L2">
        <v>195</v>
      </c>
      <c r="M2" s="466">
        <f>Table223[[#This Row],[Tonnes '#]]*Table223[[#This Row],[At mill/port Door Price]]</f>
        <v>39000</v>
      </c>
      <c r="AA2" t="s">
        <v>273</v>
      </c>
      <c r="AB2">
        <v>1.06</v>
      </c>
      <c r="AG2" s="464"/>
    </row>
    <row r="3" spans="1:33" x14ac:dyDescent="0.25">
      <c r="A3">
        <v>2025</v>
      </c>
      <c r="B3" s="469">
        <v>45658</v>
      </c>
      <c r="C3" t="s">
        <v>269</v>
      </c>
      <c r="D3" t="s">
        <v>24</v>
      </c>
      <c r="E3" s="465">
        <v>5.9</v>
      </c>
      <c r="F3" t="s">
        <v>272</v>
      </c>
      <c r="G3" t="s">
        <v>170</v>
      </c>
      <c r="H3" t="s">
        <v>270</v>
      </c>
      <c r="I3" s="464">
        <v>400</v>
      </c>
      <c r="J3" s="466">
        <f>_xlfn.XLOOKUP(Table223[[#This Row],[Grade Breakdown]],AA:AA,AB:AB,0,0)</f>
        <v>1.03</v>
      </c>
      <c r="K3" s="467">
        <f>Table223[[#This Row],[Tonnes '#]]*Table223[[#This Row],[Conversion Rate]]</f>
        <v>412</v>
      </c>
      <c r="L3">
        <v>127</v>
      </c>
      <c r="M3" s="466">
        <f>Table223[[#This Row],[Tonnes '#]]*Table223[[#This Row],[At mill/port Door Price]]</f>
        <v>50800</v>
      </c>
      <c r="AA3" t="s">
        <v>22</v>
      </c>
      <c r="AB3">
        <v>1.03</v>
      </c>
      <c r="AG3" s="464"/>
    </row>
    <row r="4" spans="1:33" x14ac:dyDescent="0.25">
      <c r="A4">
        <v>2025</v>
      </c>
      <c r="B4" s="469">
        <v>45658</v>
      </c>
      <c r="C4" t="s">
        <v>269</v>
      </c>
      <c r="D4" t="s">
        <v>26</v>
      </c>
      <c r="E4" s="465">
        <v>5.9</v>
      </c>
      <c r="F4" t="s">
        <v>272</v>
      </c>
      <c r="G4" t="s">
        <v>170</v>
      </c>
      <c r="H4" t="s">
        <v>270</v>
      </c>
      <c r="I4" s="464">
        <v>600</v>
      </c>
      <c r="J4" s="466">
        <f>_xlfn.XLOOKUP(Table223[[#This Row],[Grade Breakdown]],AA:AA,AB:AB,0,0)</f>
        <v>0.99</v>
      </c>
      <c r="K4" s="467">
        <f>Table223[[#This Row],[Tonnes '#]]*Table223[[#This Row],[Conversion Rate]]</f>
        <v>594</v>
      </c>
      <c r="L4">
        <v>120</v>
      </c>
      <c r="M4" s="466">
        <f>Table223[[#This Row],[Tonnes '#]]*Table223[[#This Row],[At mill/port Door Price]]</f>
        <v>72000</v>
      </c>
      <c r="AA4" t="s">
        <v>25</v>
      </c>
      <c r="AB4">
        <v>0.99</v>
      </c>
      <c r="AG4" s="464"/>
    </row>
    <row r="5" spans="1:33" x14ac:dyDescent="0.25">
      <c r="A5">
        <v>2025</v>
      </c>
      <c r="B5" s="469">
        <v>45658</v>
      </c>
      <c r="C5" t="s">
        <v>269</v>
      </c>
      <c r="D5" t="s">
        <v>175</v>
      </c>
      <c r="E5" s="465">
        <v>5.9</v>
      </c>
      <c r="F5" t="s">
        <v>272</v>
      </c>
      <c r="G5" t="s">
        <v>170</v>
      </c>
      <c r="H5" t="s">
        <v>270</v>
      </c>
      <c r="I5" s="464">
        <v>250</v>
      </c>
      <c r="J5" s="466">
        <f>_xlfn.XLOOKUP(Table223[[#This Row],[Grade Breakdown]],AA:AA,AB:AB,0,0)</f>
        <v>1.0900000000000001</v>
      </c>
      <c r="K5" s="467">
        <f>Table223[[#This Row],[Tonnes '#]]*Table223[[#This Row],[Conversion Rate]]</f>
        <v>272.5</v>
      </c>
      <c r="L5">
        <v>195</v>
      </c>
      <c r="M5" s="466">
        <f>Table223[[#This Row],[Tonnes '#]]*Table223[[#This Row],[At mill/port Door Price]]</f>
        <v>48750</v>
      </c>
      <c r="AA5" t="s">
        <v>30</v>
      </c>
      <c r="AB5">
        <v>0.88</v>
      </c>
      <c r="AG5" s="464"/>
    </row>
    <row r="6" spans="1:33" x14ac:dyDescent="0.25">
      <c r="A6">
        <v>2025</v>
      </c>
      <c r="B6" s="469">
        <v>45658</v>
      </c>
      <c r="C6" t="s">
        <v>269</v>
      </c>
      <c r="D6" t="s">
        <v>24</v>
      </c>
      <c r="E6" s="465">
        <v>5.9</v>
      </c>
      <c r="F6" t="s">
        <v>272</v>
      </c>
      <c r="G6" t="s">
        <v>170</v>
      </c>
      <c r="H6" t="s">
        <v>270</v>
      </c>
      <c r="I6" s="464">
        <v>450</v>
      </c>
      <c r="J6" s="466">
        <f>_xlfn.XLOOKUP(Table223[[#This Row],[Grade Breakdown]],AA:AA,AB:AB,0,0)</f>
        <v>1.03</v>
      </c>
      <c r="K6" s="467">
        <f>Table223[[#This Row],[Tonnes '#]]*Table223[[#This Row],[Conversion Rate]]</f>
        <v>463.5</v>
      </c>
      <c r="L6">
        <v>127</v>
      </c>
      <c r="M6" s="466">
        <f>Table223[[#This Row],[Tonnes '#]]*Table223[[#This Row],[At mill/port Door Price]]</f>
        <v>57150</v>
      </c>
      <c r="AA6" t="s">
        <v>222</v>
      </c>
      <c r="AB6">
        <v>0.95</v>
      </c>
      <c r="AG6" s="464"/>
    </row>
    <row r="7" spans="1:33" x14ac:dyDescent="0.25">
      <c r="A7">
        <v>2025</v>
      </c>
      <c r="B7" s="469">
        <v>45658</v>
      </c>
      <c r="C7" t="s">
        <v>269</v>
      </c>
      <c r="D7" t="s">
        <v>26</v>
      </c>
      <c r="E7" s="465">
        <v>5.9</v>
      </c>
      <c r="F7" t="s">
        <v>272</v>
      </c>
      <c r="G7" t="s">
        <v>170</v>
      </c>
      <c r="H7" t="s">
        <v>270</v>
      </c>
      <c r="I7" s="464">
        <v>650</v>
      </c>
      <c r="J7" s="466">
        <f>_xlfn.XLOOKUP(Table223[[#This Row],[Grade Breakdown]],AA:AA,AB:AB,0,0)</f>
        <v>0.99</v>
      </c>
      <c r="K7" s="467">
        <f>Table223[[#This Row],[Tonnes '#]]*Table223[[#This Row],[Conversion Rate]]</f>
        <v>643.5</v>
      </c>
      <c r="L7">
        <v>120</v>
      </c>
      <c r="M7" s="466">
        <f>Table223[[#This Row],[Tonnes '#]]*Table223[[#This Row],[At mill/port Door Price]]</f>
        <v>78000</v>
      </c>
      <c r="AA7" t="s">
        <v>34</v>
      </c>
      <c r="AB7">
        <v>0.95</v>
      </c>
      <c r="AG7" s="464"/>
    </row>
    <row r="8" spans="1:33" x14ac:dyDescent="0.25">
      <c r="A8">
        <v>2025</v>
      </c>
      <c r="B8" s="469">
        <v>45658</v>
      </c>
      <c r="C8" t="s">
        <v>269</v>
      </c>
      <c r="D8" t="s">
        <v>20</v>
      </c>
      <c r="E8" s="465">
        <v>5.9</v>
      </c>
      <c r="F8" t="s">
        <v>272</v>
      </c>
      <c r="G8" t="s">
        <v>172</v>
      </c>
      <c r="H8" t="s">
        <v>270</v>
      </c>
      <c r="I8" s="464">
        <v>190</v>
      </c>
      <c r="J8" s="466">
        <f>_xlfn.XLOOKUP(Table223[[#This Row],[Grade Breakdown]],AA:AA,AB:AB,0,0)</f>
        <v>1.08</v>
      </c>
      <c r="K8" s="467">
        <f>Table223[[#This Row],[Tonnes '#]]*Table223[[#This Row],[Conversion Rate]]</f>
        <v>205.20000000000002</v>
      </c>
      <c r="L8">
        <v>195</v>
      </c>
      <c r="M8" s="466">
        <f>Table223[[#This Row],[Tonnes '#]]*Table223[[#This Row],[At mill/port Door Price]]</f>
        <v>37050</v>
      </c>
      <c r="AA8" t="s">
        <v>37</v>
      </c>
      <c r="AB8">
        <v>0.88</v>
      </c>
      <c r="AG8" s="464"/>
    </row>
    <row r="9" spans="1:33" x14ac:dyDescent="0.25">
      <c r="A9">
        <v>2025</v>
      </c>
      <c r="B9" s="469">
        <v>45658</v>
      </c>
      <c r="C9" t="s">
        <v>269</v>
      </c>
      <c r="D9" t="s">
        <v>22</v>
      </c>
      <c r="E9" s="465">
        <v>5.9</v>
      </c>
      <c r="F9" t="s">
        <v>272</v>
      </c>
      <c r="G9" t="s">
        <v>172</v>
      </c>
      <c r="H9" t="s">
        <v>270</v>
      </c>
      <c r="I9" s="464">
        <v>390</v>
      </c>
      <c r="J9" s="466">
        <f>_xlfn.XLOOKUP(Table223[[#This Row],[Grade Breakdown]],AA:AA,AB:AB,0,0)</f>
        <v>1.03</v>
      </c>
      <c r="K9" s="467">
        <f>Table223[[#This Row],[Tonnes '#]]*Table223[[#This Row],[Conversion Rate]]</f>
        <v>401.7</v>
      </c>
      <c r="L9">
        <v>127</v>
      </c>
      <c r="M9" s="466">
        <f>Table223[[#This Row],[Tonnes '#]]*Table223[[#This Row],[At mill/port Door Price]]</f>
        <v>49530</v>
      </c>
      <c r="AA9" t="s">
        <v>174</v>
      </c>
      <c r="AB9">
        <v>0.88</v>
      </c>
      <c r="AG9" s="464"/>
    </row>
    <row r="10" spans="1:33" x14ac:dyDescent="0.25">
      <c r="A10">
        <v>2025</v>
      </c>
      <c r="B10" s="469">
        <v>45658</v>
      </c>
      <c r="C10" t="s">
        <v>269</v>
      </c>
      <c r="D10" t="s">
        <v>25</v>
      </c>
      <c r="E10" s="465">
        <v>5.9</v>
      </c>
      <c r="F10" t="s">
        <v>272</v>
      </c>
      <c r="G10" t="s">
        <v>172</v>
      </c>
      <c r="H10" t="s">
        <v>270</v>
      </c>
      <c r="I10" s="464">
        <v>590</v>
      </c>
      <c r="J10" s="466">
        <f>_xlfn.XLOOKUP(Table223[[#This Row],[Grade Breakdown]],AA:AA,AB:AB,0,0)</f>
        <v>0.99</v>
      </c>
      <c r="K10" s="467">
        <f>Table223[[#This Row],[Tonnes '#]]*Table223[[#This Row],[Conversion Rate]]</f>
        <v>584.1</v>
      </c>
      <c r="L10">
        <v>120</v>
      </c>
      <c r="M10" s="466">
        <f>Table223[[#This Row],[Tonnes '#]]*Table223[[#This Row],[At mill/port Door Price]]</f>
        <v>70800</v>
      </c>
      <c r="AA10" t="s">
        <v>175</v>
      </c>
      <c r="AB10">
        <v>1.0900000000000001</v>
      </c>
      <c r="AG10" s="464"/>
    </row>
    <row r="11" spans="1:33" x14ac:dyDescent="0.25">
      <c r="A11">
        <v>2025</v>
      </c>
      <c r="B11" s="469">
        <v>45658</v>
      </c>
      <c r="C11" t="s">
        <v>269</v>
      </c>
      <c r="D11" t="s">
        <v>20</v>
      </c>
      <c r="E11" s="465">
        <v>5.9</v>
      </c>
      <c r="F11" t="s">
        <v>272</v>
      </c>
      <c r="G11" t="s">
        <v>172</v>
      </c>
      <c r="H11" t="s">
        <v>270</v>
      </c>
      <c r="I11" s="464">
        <v>240</v>
      </c>
      <c r="J11" s="466">
        <f>_xlfn.XLOOKUP(Table223[[#This Row],[Grade Breakdown]],AA:AA,AB:AB,0,0)</f>
        <v>1.08</v>
      </c>
      <c r="K11" s="467">
        <f>Table223[[#This Row],[Tonnes '#]]*Table223[[#This Row],[Conversion Rate]]</f>
        <v>259.20000000000005</v>
      </c>
      <c r="L11">
        <v>195</v>
      </c>
      <c r="M11" s="466">
        <f>Table223[[#This Row],[Tonnes '#]]*Table223[[#This Row],[At mill/port Door Price]]</f>
        <v>46800</v>
      </c>
      <c r="AA11" t="s">
        <v>20</v>
      </c>
      <c r="AB11">
        <v>1.08</v>
      </c>
      <c r="AG11" s="464"/>
    </row>
    <row r="12" spans="1:33" x14ac:dyDescent="0.25">
      <c r="A12">
        <v>2025</v>
      </c>
      <c r="B12" s="469">
        <v>45658</v>
      </c>
      <c r="C12" t="s">
        <v>269</v>
      </c>
      <c r="D12" t="s">
        <v>22</v>
      </c>
      <c r="E12" s="465">
        <v>5.9</v>
      </c>
      <c r="F12" t="s">
        <v>272</v>
      </c>
      <c r="G12" t="s">
        <v>172</v>
      </c>
      <c r="H12" t="s">
        <v>270</v>
      </c>
      <c r="I12" s="464">
        <v>440</v>
      </c>
      <c r="J12" s="466">
        <f>_xlfn.XLOOKUP(Table223[[#This Row],[Grade Breakdown]],AA:AA,AB:AB,0,0)</f>
        <v>1.03</v>
      </c>
      <c r="K12" s="467">
        <f>Table223[[#This Row],[Tonnes '#]]*Table223[[#This Row],[Conversion Rate]]</f>
        <v>453.2</v>
      </c>
      <c r="L12">
        <v>127</v>
      </c>
      <c r="M12" s="466">
        <f>Table223[[#This Row],[Tonnes '#]]*Table223[[#This Row],[At mill/port Door Price]]</f>
        <v>55880</v>
      </c>
      <c r="AA12" t="s">
        <v>176</v>
      </c>
      <c r="AB12">
        <v>1.07</v>
      </c>
      <c r="AG12" s="464"/>
    </row>
    <row r="13" spans="1:33" x14ac:dyDescent="0.25">
      <c r="A13">
        <v>2025</v>
      </c>
      <c r="B13" s="469">
        <v>45658</v>
      </c>
      <c r="C13" t="s">
        <v>269</v>
      </c>
      <c r="D13" t="s">
        <v>25</v>
      </c>
      <c r="E13" s="465">
        <v>5.9</v>
      </c>
      <c r="F13" t="s">
        <v>272</v>
      </c>
      <c r="G13" t="s">
        <v>172</v>
      </c>
      <c r="H13" t="s">
        <v>270</v>
      </c>
      <c r="I13" s="464">
        <v>640</v>
      </c>
      <c r="J13" s="466">
        <f>_xlfn.XLOOKUP(Table223[[#This Row],[Grade Breakdown]],AA:AA,AB:AB,0,0)</f>
        <v>0.99</v>
      </c>
      <c r="K13" s="467">
        <f>Table223[[#This Row],[Tonnes '#]]*Table223[[#This Row],[Conversion Rate]]</f>
        <v>633.6</v>
      </c>
      <c r="L13">
        <v>120</v>
      </c>
      <c r="M13" s="466">
        <f>Table223[[#This Row],[Tonnes '#]]*Table223[[#This Row],[At mill/port Door Price]]</f>
        <v>76800</v>
      </c>
      <c r="AA13" t="s">
        <v>23</v>
      </c>
      <c r="AB13">
        <v>1.03</v>
      </c>
      <c r="AG13" s="464"/>
    </row>
    <row r="14" spans="1:33" x14ac:dyDescent="0.25">
      <c r="A14">
        <v>2025</v>
      </c>
      <c r="I14" s="288"/>
      <c r="J14" s="468">
        <f>_xlfn.XLOOKUP(Table223[[#This Row],[Grade Breakdown]],AA:AA,AB:AB,0,0)</f>
        <v>0</v>
      </c>
      <c r="K14" s="467">
        <f>Table223[[#This Row],[Tonnes '#]]*Table223[[#This Row],[Conversion Rate]]</f>
        <v>0</v>
      </c>
      <c r="M14" s="466">
        <f>Table223[[#This Row],[Tonnes '#]]*Table223[[#This Row],[At mill/port Door Price]]</f>
        <v>0</v>
      </c>
      <c r="AA14" t="s">
        <v>24</v>
      </c>
      <c r="AB14">
        <v>1.03</v>
      </c>
      <c r="AG14" s="464"/>
    </row>
    <row r="15" spans="1:33" x14ac:dyDescent="0.25">
      <c r="A15">
        <v>2025</v>
      </c>
      <c r="I15" s="288"/>
      <c r="J15" s="468">
        <f>_xlfn.XLOOKUP(Table223[[#This Row],[Grade Breakdown]],AA:AA,AB:AB,0,0)</f>
        <v>0</v>
      </c>
      <c r="K15" s="467">
        <f>Table223[[#This Row],[Tonnes '#]]*Table223[[#This Row],[Conversion Rate]]</f>
        <v>0</v>
      </c>
      <c r="M15" s="466">
        <f>Table223[[#This Row],[Tonnes '#]]*Table223[[#This Row],[At mill/port Door Price]]</f>
        <v>0</v>
      </c>
      <c r="AA15" t="s">
        <v>26</v>
      </c>
      <c r="AB15">
        <v>0.99</v>
      </c>
      <c r="AG15" s="464"/>
    </row>
    <row r="16" spans="1:33" x14ac:dyDescent="0.25">
      <c r="A16">
        <v>2025</v>
      </c>
      <c r="I16" s="288"/>
      <c r="J16" s="468">
        <f>_xlfn.XLOOKUP(Table223[[#This Row],[Grade Breakdown]],AA:AA,AB:AB,0,0)</f>
        <v>0</v>
      </c>
      <c r="K16" s="467">
        <f>Table223[[#This Row],[Tonnes '#]]*Table223[[#This Row],[Conversion Rate]]</f>
        <v>0</v>
      </c>
      <c r="M16" s="466">
        <f>Table223[[#This Row],[Tonnes '#]]*Table223[[#This Row],[At mill/port Door Price]]</f>
        <v>0</v>
      </c>
      <c r="AA16" t="s">
        <v>27</v>
      </c>
      <c r="AB16">
        <v>0.97</v>
      </c>
    </row>
    <row r="17" spans="1:28" x14ac:dyDescent="0.25">
      <c r="A17">
        <v>2025</v>
      </c>
      <c r="I17" s="288"/>
      <c r="J17" s="468">
        <f>_xlfn.XLOOKUP(Table223[[#This Row],[Grade Breakdown]],AA:AA,AB:AB,0,0)</f>
        <v>0</v>
      </c>
      <c r="K17" s="467">
        <f>Table223[[#This Row],[Tonnes '#]]*Table223[[#This Row],[Conversion Rate]]</f>
        <v>0</v>
      </c>
      <c r="M17" s="466">
        <f>Table223[[#This Row],[Tonnes '#]]*Table223[[#This Row],[At mill/port Door Price]]</f>
        <v>0</v>
      </c>
      <c r="AA17" t="s">
        <v>29</v>
      </c>
      <c r="AB17">
        <v>0.88</v>
      </c>
    </row>
    <row r="18" spans="1:28" x14ac:dyDescent="0.25">
      <c r="A18">
        <v>2025</v>
      </c>
      <c r="I18" s="288"/>
      <c r="J18" s="468">
        <f>_xlfn.XLOOKUP(Table223[[#This Row],[Grade Breakdown]],AA:AA,AB:AB,0,0)</f>
        <v>0</v>
      </c>
      <c r="K18" s="467">
        <f>Table223[[#This Row],[Tonnes '#]]*Table223[[#This Row],[Conversion Rate]]</f>
        <v>0</v>
      </c>
      <c r="M18" s="466">
        <f>Table223[[#This Row],[Tonnes '#]]*Table223[[#This Row],[At mill/port Door Price]]</f>
        <v>0</v>
      </c>
      <c r="AA18" t="s">
        <v>28</v>
      </c>
      <c r="AB18">
        <v>0.97</v>
      </c>
    </row>
    <row r="19" spans="1:28" x14ac:dyDescent="0.25">
      <c r="A19">
        <v>2025</v>
      </c>
      <c r="I19" s="288"/>
      <c r="J19" s="468">
        <f>_xlfn.XLOOKUP(Table223[[#This Row],[Grade Breakdown]],AA:AA,AB:AB,0,0)</f>
        <v>0</v>
      </c>
      <c r="K19" s="467">
        <f>Table223[[#This Row],[Tonnes '#]]*Table223[[#This Row],[Conversion Rate]]</f>
        <v>0</v>
      </c>
      <c r="M19" s="466">
        <f>Table223[[#This Row],[Tonnes '#]]*Table223[[#This Row],[At mill/port Door Price]]</f>
        <v>0</v>
      </c>
      <c r="AA19" t="s">
        <v>271</v>
      </c>
      <c r="AB19">
        <v>0.95</v>
      </c>
    </row>
    <row r="20" spans="1:28" x14ac:dyDescent="0.25">
      <c r="A20">
        <v>2025</v>
      </c>
      <c r="I20" s="288"/>
      <c r="J20" s="468">
        <f>_xlfn.XLOOKUP(Table223[[#This Row],[Grade Breakdown]],AA:AA,AB:AB,0,0)</f>
        <v>0</v>
      </c>
      <c r="K20" s="467">
        <f>Table223[[#This Row],[Tonnes '#]]*Table223[[#This Row],[Conversion Rate]]</f>
        <v>0</v>
      </c>
      <c r="M20" s="466">
        <f>Table223[[#This Row],[Tonnes '#]]*Table223[[#This Row],[At mill/port Door Price]]</f>
        <v>0</v>
      </c>
      <c r="AA20" t="s">
        <v>31</v>
      </c>
      <c r="AB20">
        <v>1.03</v>
      </c>
    </row>
    <row r="21" spans="1:28" x14ac:dyDescent="0.25">
      <c r="A21">
        <v>2025</v>
      </c>
      <c r="I21" s="288"/>
      <c r="J21" s="468">
        <f>_xlfn.XLOOKUP(Table223[[#This Row],[Grade Breakdown]],AA:AA,AB:AB,0,0)</f>
        <v>0</v>
      </c>
      <c r="K21" s="467">
        <f>Table223[[#This Row],[Tonnes '#]]*Table223[[#This Row],[Conversion Rate]]</f>
        <v>0</v>
      </c>
      <c r="M21" s="466">
        <f>Table223[[#This Row],[Tonnes '#]]*Table223[[#This Row],[At mill/port Door Price]]</f>
        <v>0</v>
      </c>
      <c r="AA21" t="s">
        <v>32</v>
      </c>
      <c r="AB21">
        <v>0.99</v>
      </c>
    </row>
    <row r="22" spans="1:28" x14ac:dyDescent="0.25">
      <c r="A22">
        <v>2025</v>
      </c>
      <c r="I22" s="288"/>
      <c r="J22" s="468">
        <f>_xlfn.XLOOKUP(Table223[[#This Row],[Grade Breakdown]],AA:AA,AB:AB,0,0)</f>
        <v>0</v>
      </c>
      <c r="K22" s="467">
        <f>Table223[[#This Row],[Tonnes '#]]*Table223[[#This Row],[Conversion Rate]]</f>
        <v>0</v>
      </c>
      <c r="M22" s="466">
        <f>Table223[[#This Row],[Tonnes '#]]*Table223[[#This Row],[At mill/port Door Price]]</f>
        <v>0</v>
      </c>
      <c r="AA22" t="s">
        <v>33</v>
      </c>
      <c r="AB22">
        <v>0.97</v>
      </c>
    </row>
    <row r="23" spans="1:28" x14ac:dyDescent="0.25">
      <c r="A23">
        <v>2025</v>
      </c>
      <c r="I23" s="288"/>
      <c r="J23" s="468">
        <f>_xlfn.XLOOKUP(Table223[[#This Row],[Grade Breakdown]],AA:AA,AB:AB,0,0)</f>
        <v>0</v>
      </c>
      <c r="K23" s="467">
        <f>Table223[[#This Row],[Tonnes '#]]*Table223[[#This Row],[Conversion Rate]]</f>
        <v>0</v>
      </c>
      <c r="M23" s="466">
        <f>Table223[[#This Row],[Tonnes '#]]*Table223[[#This Row],[At mill/port Door Price]]</f>
        <v>0</v>
      </c>
      <c r="AA23" t="s">
        <v>35</v>
      </c>
      <c r="AB23">
        <v>0.95</v>
      </c>
    </row>
    <row r="24" spans="1:28" x14ac:dyDescent="0.25">
      <c r="A24">
        <v>2025</v>
      </c>
      <c r="I24" s="288"/>
      <c r="J24" s="468">
        <f>_xlfn.XLOOKUP(Table223[[#This Row],[Grade Breakdown]],AA:AA,AB:AB,0,0)</f>
        <v>0</v>
      </c>
      <c r="K24" s="467">
        <f>Table223[[#This Row],[Tonnes '#]]*Table223[[#This Row],[Conversion Rate]]</f>
        <v>0</v>
      </c>
      <c r="M24" s="466">
        <f>Table223[[#This Row],[Tonnes '#]]*Table223[[#This Row],[At mill/port Door Price]]</f>
        <v>0</v>
      </c>
      <c r="AA24" t="s">
        <v>36</v>
      </c>
      <c r="AB24">
        <v>0.93</v>
      </c>
    </row>
    <row r="25" spans="1:28" x14ac:dyDescent="0.25">
      <c r="A25">
        <v>2025</v>
      </c>
      <c r="I25" s="288"/>
      <c r="J25" s="468">
        <f>_xlfn.XLOOKUP(Table223[[#This Row],[Grade Breakdown]],AA:AA,AB:AB,0,0)</f>
        <v>0</v>
      </c>
      <c r="K25" s="467">
        <f>Table223[[#This Row],[Tonnes '#]]*Table223[[#This Row],[Conversion Rate]]</f>
        <v>0</v>
      </c>
      <c r="M25" s="466">
        <f>Table223[[#This Row],[Tonnes '#]]*Table223[[#This Row],[At mill/port Door Price]]</f>
        <v>0</v>
      </c>
    </row>
    <row r="26" spans="1:28" x14ac:dyDescent="0.25">
      <c r="A26">
        <v>2025</v>
      </c>
      <c r="I26" s="288"/>
      <c r="J26" s="468">
        <f>_xlfn.XLOOKUP(Table223[[#This Row],[Grade Breakdown]],AA:AA,AB:AB,0,0)</f>
        <v>0</v>
      </c>
      <c r="K26" s="467">
        <f>Table223[[#This Row],[Tonnes '#]]*Table223[[#This Row],[Conversion Rate]]</f>
        <v>0</v>
      </c>
      <c r="M26" s="466">
        <f>Table223[[#This Row],[Tonnes '#]]*Table223[[#This Row],[At mill/port Door Price]]</f>
        <v>0</v>
      </c>
    </row>
    <row r="27" spans="1:28" x14ac:dyDescent="0.25">
      <c r="A27">
        <v>2025</v>
      </c>
      <c r="I27" s="288"/>
      <c r="J27" s="468">
        <f>_xlfn.XLOOKUP(Table223[[#This Row],[Grade Breakdown]],AA:AA,AB:AB,0,0)</f>
        <v>0</v>
      </c>
      <c r="K27" s="467">
        <f>Table223[[#This Row],[Tonnes '#]]*Table223[[#This Row],[Conversion Rate]]</f>
        <v>0</v>
      </c>
      <c r="M27" s="466">
        <f>Table223[[#This Row],[Tonnes '#]]*Table223[[#This Row],[At mill/port Door Price]]</f>
        <v>0</v>
      </c>
    </row>
    <row r="28" spans="1:28" x14ac:dyDescent="0.25">
      <c r="A28">
        <v>2025</v>
      </c>
      <c r="I28" s="288"/>
      <c r="J28" s="468">
        <f>_xlfn.XLOOKUP(Table223[[#This Row],[Grade Breakdown]],AA:AA,AB:AB,0,0)</f>
        <v>0</v>
      </c>
      <c r="K28" s="467">
        <f>Table223[[#This Row],[Tonnes '#]]*Table223[[#This Row],[Conversion Rate]]</f>
        <v>0</v>
      </c>
      <c r="M28" s="466">
        <f>Table223[[#This Row],[Tonnes '#]]*Table223[[#This Row],[At mill/port Door Price]]</f>
        <v>0</v>
      </c>
    </row>
    <row r="29" spans="1:28" x14ac:dyDescent="0.25">
      <c r="A29">
        <v>2025</v>
      </c>
      <c r="I29" s="288"/>
      <c r="J29" s="468">
        <f>_xlfn.XLOOKUP(Table223[[#This Row],[Grade Breakdown]],AA:AA,AB:AB,0,0)</f>
        <v>0</v>
      </c>
      <c r="K29" s="467">
        <f>Table223[[#This Row],[Tonnes '#]]*Table223[[#This Row],[Conversion Rate]]</f>
        <v>0</v>
      </c>
      <c r="M29" s="466">
        <f>Table223[[#This Row],[Tonnes '#]]*Table223[[#This Row],[At mill/port Door Price]]</f>
        <v>0</v>
      </c>
    </row>
    <row r="30" spans="1:28" x14ac:dyDescent="0.25">
      <c r="A30">
        <v>2025</v>
      </c>
      <c r="I30" s="288"/>
      <c r="J30" s="468">
        <f>_xlfn.XLOOKUP(Table223[[#This Row],[Grade Breakdown]],AA:AA,AB:AB,0,0)</f>
        <v>0</v>
      </c>
      <c r="K30" s="467">
        <f>Table223[[#This Row],[Tonnes '#]]*Table223[[#This Row],[Conversion Rate]]</f>
        <v>0</v>
      </c>
      <c r="M30" s="466">
        <f>Table223[[#This Row],[Tonnes '#]]*Table223[[#This Row],[At mill/port Door Price]]</f>
        <v>0</v>
      </c>
    </row>
    <row r="31" spans="1:28" x14ac:dyDescent="0.25">
      <c r="A31">
        <v>2025</v>
      </c>
      <c r="I31" s="288"/>
      <c r="J31" s="468">
        <f>_xlfn.XLOOKUP(Table223[[#This Row],[Grade Breakdown]],AA:AA,AB:AB,0,0)</f>
        <v>0</v>
      </c>
      <c r="K31" s="467">
        <f>Table223[[#This Row],[Tonnes '#]]*Table223[[#This Row],[Conversion Rate]]</f>
        <v>0</v>
      </c>
      <c r="M31" s="466">
        <f>Table223[[#This Row],[Tonnes '#]]*Table223[[#This Row],[At mill/port Door Price]]</f>
        <v>0</v>
      </c>
    </row>
    <row r="32" spans="1:28" x14ac:dyDescent="0.25">
      <c r="A32">
        <v>2025</v>
      </c>
      <c r="I32" s="288"/>
      <c r="J32" s="468">
        <f>_xlfn.XLOOKUP(Table223[[#This Row],[Grade Breakdown]],AA:AA,AB:AB,0,0)</f>
        <v>0</v>
      </c>
      <c r="K32" s="467">
        <f>Table223[[#This Row],[Tonnes '#]]*Table223[[#This Row],[Conversion Rate]]</f>
        <v>0</v>
      </c>
      <c r="M32" s="466">
        <f>Table223[[#This Row],[Tonnes '#]]*Table223[[#This Row],[At mill/port Door Price]]</f>
        <v>0</v>
      </c>
    </row>
    <row r="33" spans="1:13" x14ac:dyDescent="0.25">
      <c r="A33">
        <v>2025</v>
      </c>
      <c r="I33" s="288"/>
      <c r="J33" s="468">
        <f>_xlfn.XLOOKUP(Table223[[#This Row],[Grade Breakdown]],AA:AA,AB:AB,0,0)</f>
        <v>0</v>
      </c>
      <c r="K33" s="467">
        <f>Table223[[#This Row],[Tonnes '#]]*Table223[[#This Row],[Conversion Rate]]</f>
        <v>0</v>
      </c>
      <c r="M33" s="466">
        <f>Table223[[#This Row],[Tonnes '#]]*Table223[[#This Row],[At mill/port Door Price]]</f>
        <v>0</v>
      </c>
    </row>
    <row r="34" spans="1:13" x14ac:dyDescent="0.25">
      <c r="A34">
        <v>2025</v>
      </c>
      <c r="I34" s="288"/>
      <c r="J34" s="468">
        <f>_xlfn.XLOOKUP(Table223[[#This Row],[Grade Breakdown]],AA:AA,AB:AB,0,0)</f>
        <v>0</v>
      </c>
      <c r="K34" s="467">
        <f>Table223[[#This Row],[Tonnes '#]]*Table223[[#This Row],[Conversion Rate]]</f>
        <v>0</v>
      </c>
      <c r="M34" s="466">
        <f>Table223[[#This Row],[Tonnes '#]]*Table223[[#This Row],[At mill/port Door Price]]</f>
        <v>0</v>
      </c>
    </row>
    <row r="35" spans="1:13" x14ac:dyDescent="0.25">
      <c r="A35">
        <v>2025</v>
      </c>
      <c r="I35" s="288"/>
      <c r="J35" s="468">
        <f>_xlfn.XLOOKUP(Table223[[#This Row],[Grade Breakdown]],AA:AA,AB:AB,0,0)</f>
        <v>0</v>
      </c>
      <c r="K35" s="467">
        <f>Table223[[#This Row],[Tonnes '#]]*Table223[[#This Row],[Conversion Rate]]</f>
        <v>0</v>
      </c>
      <c r="M35" s="466">
        <f>Table223[[#This Row],[Tonnes '#]]*Table223[[#This Row],[At mill/port Door Price]]</f>
        <v>0</v>
      </c>
    </row>
    <row r="36" spans="1:13" x14ac:dyDescent="0.25">
      <c r="A36">
        <v>2025</v>
      </c>
      <c r="I36" s="288"/>
      <c r="J36" s="468">
        <f>_xlfn.XLOOKUP(Table223[[#This Row],[Grade Breakdown]],AA:AA,AB:AB,0,0)</f>
        <v>0</v>
      </c>
      <c r="K36" s="467">
        <f>Table223[[#This Row],[Tonnes '#]]*Table223[[#This Row],[Conversion Rate]]</f>
        <v>0</v>
      </c>
      <c r="M36" s="466">
        <f>Table223[[#This Row],[Tonnes '#]]*Table223[[#This Row],[At mill/port Door Price]]</f>
        <v>0</v>
      </c>
    </row>
    <row r="37" spans="1:13" x14ac:dyDescent="0.25">
      <c r="A37">
        <v>2025</v>
      </c>
      <c r="I37" s="288"/>
      <c r="J37" s="468">
        <f>_xlfn.XLOOKUP(Table223[[#This Row],[Grade Breakdown]],AA:AA,AB:AB,0,0)</f>
        <v>0</v>
      </c>
      <c r="K37" s="467">
        <f>Table223[[#This Row],[Tonnes '#]]*Table223[[#This Row],[Conversion Rate]]</f>
        <v>0</v>
      </c>
      <c r="M37" s="466">
        <f>Table223[[#This Row],[Tonnes '#]]*Table223[[#This Row],[At mill/port Door Price]]</f>
        <v>0</v>
      </c>
    </row>
    <row r="38" spans="1:13" x14ac:dyDescent="0.25">
      <c r="A38">
        <v>2025</v>
      </c>
      <c r="I38" s="288"/>
      <c r="J38" s="468">
        <f>_xlfn.XLOOKUP(Table223[[#This Row],[Grade Breakdown]],AA:AA,AB:AB,0,0)</f>
        <v>0</v>
      </c>
      <c r="K38" s="467">
        <f>Table223[[#This Row],[Tonnes '#]]*Table223[[#This Row],[Conversion Rate]]</f>
        <v>0</v>
      </c>
      <c r="M38" s="466">
        <f>Table223[[#This Row],[Tonnes '#]]*Table223[[#This Row],[At mill/port Door Price]]</f>
        <v>0</v>
      </c>
    </row>
    <row r="39" spans="1:13" x14ac:dyDescent="0.25">
      <c r="A39">
        <v>2025</v>
      </c>
      <c r="I39" s="288"/>
      <c r="J39" s="468">
        <f>_xlfn.XLOOKUP(Table223[[#This Row],[Grade Breakdown]],AA:AA,AB:AB,0,0)</f>
        <v>0</v>
      </c>
      <c r="K39" s="467">
        <f>Table223[[#This Row],[Tonnes '#]]*Table223[[#This Row],[Conversion Rate]]</f>
        <v>0</v>
      </c>
      <c r="M39" s="466">
        <f>Table223[[#This Row],[Tonnes '#]]*Table223[[#This Row],[At mill/port Door Price]]</f>
        <v>0</v>
      </c>
    </row>
    <row r="40" spans="1:13" x14ac:dyDescent="0.25">
      <c r="A40">
        <v>2025</v>
      </c>
      <c r="I40" s="288"/>
      <c r="J40" s="468">
        <f>_xlfn.XLOOKUP(Table223[[#This Row],[Grade Breakdown]],AA:AA,AB:AB,0,0)</f>
        <v>0</v>
      </c>
      <c r="K40" s="467">
        <f>Table223[[#This Row],[Tonnes '#]]*Table223[[#This Row],[Conversion Rate]]</f>
        <v>0</v>
      </c>
      <c r="M40" s="466">
        <f>Table223[[#This Row],[Tonnes '#]]*Table223[[#This Row],[At mill/port Door Price]]</f>
        <v>0</v>
      </c>
    </row>
    <row r="41" spans="1:13" x14ac:dyDescent="0.25">
      <c r="A41">
        <v>2025</v>
      </c>
      <c r="I41" s="288"/>
      <c r="J41" s="468">
        <f>_xlfn.XLOOKUP(Table223[[#This Row],[Grade Breakdown]],AA:AA,AB:AB,0,0)</f>
        <v>0</v>
      </c>
      <c r="K41" s="467">
        <f>Table223[[#This Row],[Tonnes '#]]*Table223[[#This Row],[Conversion Rate]]</f>
        <v>0</v>
      </c>
      <c r="M41" s="466">
        <f>Table223[[#This Row],[Tonnes '#]]*Table223[[#This Row],[At mill/port Door Price]]</f>
        <v>0</v>
      </c>
    </row>
    <row r="42" spans="1:13" x14ac:dyDescent="0.25">
      <c r="A42">
        <v>2025</v>
      </c>
      <c r="I42" s="288"/>
      <c r="J42" s="468">
        <f>_xlfn.XLOOKUP(Table223[[#This Row],[Grade Breakdown]],AA:AA,AB:AB,0,0)</f>
        <v>0</v>
      </c>
      <c r="K42" s="467">
        <f>Table223[[#This Row],[Tonnes '#]]*Table223[[#This Row],[Conversion Rate]]</f>
        <v>0</v>
      </c>
      <c r="M42" s="466">
        <f>Table223[[#This Row],[Tonnes '#]]*Table223[[#This Row],[At mill/port Door Price]]</f>
        <v>0</v>
      </c>
    </row>
    <row r="43" spans="1:13" x14ac:dyDescent="0.25">
      <c r="A43">
        <v>2025</v>
      </c>
      <c r="I43" s="288"/>
      <c r="J43" s="468">
        <f>_xlfn.XLOOKUP(Table223[[#This Row],[Grade Breakdown]],AA:AA,AB:AB,0,0)</f>
        <v>0</v>
      </c>
      <c r="K43" s="467">
        <f>Table223[[#This Row],[Tonnes '#]]*Table223[[#This Row],[Conversion Rate]]</f>
        <v>0</v>
      </c>
      <c r="M43" s="466">
        <f>Table223[[#This Row],[Tonnes '#]]*Table223[[#This Row],[At mill/port Door Price]]</f>
        <v>0</v>
      </c>
    </row>
    <row r="44" spans="1:13" x14ac:dyDescent="0.25">
      <c r="A44">
        <v>2025</v>
      </c>
      <c r="I44" s="288"/>
      <c r="J44" s="468">
        <f>_xlfn.XLOOKUP(Table223[[#This Row],[Grade Breakdown]],AA:AA,AB:AB,0,0)</f>
        <v>0</v>
      </c>
      <c r="K44" s="467">
        <f>Table223[[#This Row],[Tonnes '#]]*Table223[[#This Row],[Conversion Rate]]</f>
        <v>0</v>
      </c>
      <c r="M44" s="466">
        <f>Table223[[#This Row],[Tonnes '#]]*Table223[[#This Row],[At mill/port Door Price]]</f>
        <v>0</v>
      </c>
    </row>
    <row r="45" spans="1:13" x14ac:dyDescent="0.25">
      <c r="A45">
        <v>2025</v>
      </c>
      <c r="I45" s="288"/>
      <c r="J45" s="468">
        <f>_xlfn.XLOOKUP(Table223[[#This Row],[Grade Breakdown]],AA:AA,AB:AB,0,0)</f>
        <v>0</v>
      </c>
      <c r="K45" s="467">
        <f>Table223[[#This Row],[Tonnes '#]]*Table223[[#This Row],[Conversion Rate]]</f>
        <v>0</v>
      </c>
      <c r="M45" s="466">
        <f>Table223[[#This Row],[Tonnes '#]]*Table223[[#This Row],[At mill/port Door Price]]</f>
        <v>0</v>
      </c>
    </row>
    <row r="46" spans="1:13" x14ac:dyDescent="0.25">
      <c r="A46">
        <v>2025</v>
      </c>
      <c r="I46" s="288"/>
      <c r="J46" s="468">
        <f>_xlfn.XLOOKUP(Table223[[#This Row],[Grade Breakdown]],AA:AA,AB:AB,0,0)</f>
        <v>0</v>
      </c>
      <c r="K46" s="467">
        <f>Table223[[#This Row],[Tonnes '#]]*Table223[[#This Row],[Conversion Rate]]</f>
        <v>0</v>
      </c>
      <c r="M46" s="466">
        <f>Table223[[#This Row],[Tonnes '#]]*Table223[[#This Row],[At mill/port Door Price]]</f>
        <v>0</v>
      </c>
    </row>
    <row r="47" spans="1:13" x14ac:dyDescent="0.25">
      <c r="A47">
        <v>2025</v>
      </c>
      <c r="I47" s="288"/>
      <c r="J47" s="468">
        <f>_xlfn.XLOOKUP(Table223[[#This Row],[Grade Breakdown]],AA:AA,AB:AB,0,0)</f>
        <v>0</v>
      </c>
      <c r="K47" s="467">
        <f>Table223[[#This Row],[Tonnes '#]]*Table223[[#This Row],[Conversion Rate]]</f>
        <v>0</v>
      </c>
      <c r="M47" s="466">
        <f>Table223[[#This Row],[Tonnes '#]]*Table223[[#This Row],[At mill/port Door Price]]</f>
        <v>0</v>
      </c>
    </row>
    <row r="48" spans="1:13" x14ac:dyDescent="0.25">
      <c r="A48">
        <v>2025</v>
      </c>
      <c r="I48" s="288"/>
      <c r="J48" s="468">
        <f>_xlfn.XLOOKUP(Table223[[#This Row],[Grade Breakdown]],AA:AA,AB:AB,0,0)</f>
        <v>0</v>
      </c>
      <c r="K48" s="467">
        <f>Table223[[#This Row],[Tonnes '#]]*Table223[[#This Row],[Conversion Rate]]</f>
        <v>0</v>
      </c>
      <c r="M48" s="466">
        <f>Table223[[#This Row],[Tonnes '#]]*Table223[[#This Row],[At mill/port Door Price]]</f>
        <v>0</v>
      </c>
    </row>
    <row r="49" spans="1:13" x14ac:dyDescent="0.25">
      <c r="A49">
        <v>2025</v>
      </c>
      <c r="I49" s="288"/>
      <c r="J49" s="468">
        <f>_xlfn.XLOOKUP(Table223[[#This Row],[Grade Breakdown]],AA:AA,AB:AB,0,0)</f>
        <v>0</v>
      </c>
      <c r="K49" s="467">
        <f>Table223[[#This Row],[Tonnes '#]]*Table223[[#This Row],[Conversion Rate]]</f>
        <v>0</v>
      </c>
      <c r="M49" s="466">
        <f>Table223[[#This Row],[Tonnes '#]]*Table223[[#This Row],[At mill/port Door Price]]</f>
        <v>0</v>
      </c>
    </row>
    <row r="50" spans="1:13" x14ac:dyDescent="0.25">
      <c r="A50">
        <v>2025</v>
      </c>
      <c r="I50" s="288"/>
      <c r="J50" s="468">
        <f>_xlfn.XLOOKUP(Table223[[#This Row],[Grade Breakdown]],AA:AA,AB:AB,0,0)</f>
        <v>0</v>
      </c>
      <c r="K50" s="467">
        <f>Table223[[#This Row],[Tonnes '#]]*Table223[[#This Row],[Conversion Rate]]</f>
        <v>0</v>
      </c>
      <c r="M50" s="466">
        <f>Table223[[#This Row],[Tonnes '#]]*Table223[[#This Row],[At mill/port Door Price]]</f>
        <v>0</v>
      </c>
    </row>
    <row r="51" spans="1:13" x14ac:dyDescent="0.25">
      <c r="A51">
        <v>2025</v>
      </c>
      <c r="I51" s="288"/>
      <c r="J51" s="468">
        <f>_xlfn.XLOOKUP(Table223[[#This Row],[Grade Breakdown]],AA:AA,AB:AB,0,0)</f>
        <v>0</v>
      </c>
      <c r="K51" s="467">
        <f>Table223[[#This Row],[Tonnes '#]]*Table223[[#This Row],[Conversion Rate]]</f>
        <v>0</v>
      </c>
      <c r="M51" s="466">
        <f>Table223[[#This Row],[Tonnes '#]]*Table223[[#This Row],[At mill/port Door Price]]</f>
        <v>0</v>
      </c>
    </row>
    <row r="52" spans="1:13" x14ac:dyDescent="0.25">
      <c r="A52">
        <v>2025</v>
      </c>
      <c r="I52" s="288"/>
      <c r="J52" s="468">
        <f>_xlfn.XLOOKUP(Table223[[#This Row],[Grade Breakdown]],AA:AA,AB:AB,0,0)</f>
        <v>0</v>
      </c>
      <c r="K52" s="467">
        <f>Table223[[#This Row],[Tonnes '#]]*Table223[[#This Row],[Conversion Rate]]</f>
        <v>0</v>
      </c>
      <c r="M52" s="466">
        <f>Table223[[#This Row],[Tonnes '#]]*Table223[[#This Row],[At mill/port Door Price]]</f>
        <v>0</v>
      </c>
    </row>
    <row r="53" spans="1:13" x14ac:dyDescent="0.25">
      <c r="A53">
        <v>2025</v>
      </c>
      <c r="I53" s="288"/>
      <c r="J53" s="468">
        <f>_xlfn.XLOOKUP(Table223[[#This Row],[Grade Breakdown]],AA:AA,AB:AB,0,0)</f>
        <v>0</v>
      </c>
      <c r="K53" s="467">
        <f>Table223[[#This Row],[Tonnes '#]]*Table223[[#This Row],[Conversion Rate]]</f>
        <v>0</v>
      </c>
      <c r="M53" s="466">
        <f>Table223[[#This Row],[Tonnes '#]]*Table223[[#This Row],[At mill/port Door Price]]</f>
        <v>0</v>
      </c>
    </row>
    <row r="54" spans="1:13" x14ac:dyDescent="0.25">
      <c r="A54">
        <v>2025</v>
      </c>
      <c r="I54" s="288"/>
      <c r="J54" s="468">
        <f>_xlfn.XLOOKUP(Table223[[#This Row],[Grade Breakdown]],AA:AA,AB:AB,0,0)</f>
        <v>0</v>
      </c>
      <c r="K54" s="467">
        <f>Table223[[#This Row],[Tonnes '#]]*Table223[[#This Row],[Conversion Rate]]</f>
        <v>0</v>
      </c>
      <c r="M54" s="466">
        <f>Table223[[#This Row],[Tonnes '#]]*Table223[[#This Row],[At mill/port Door Price]]</f>
        <v>0</v>
      </c>
    </row>
    <row r="55" spans="1:13" x14ac:dyDescent="0.25">
      <c r="A55">
        <v>2025</v>
      </c>
      <c r="I55" s="288"/>
      <c r="J55" s="468">
        <f>_xlfn.XLOOKUP(Table223[[#This Row],[Grade Breakdown]],AA:AA,AB:AB,0,0)</f>
        <v>0</v>
      </c>
      <c r="K55" s="467">
        <f>Table223[[#This Row],[Tonnes '#]]*Table223[[#This Row],[Conversion Rate]]</f>
        <v>0</v>
      </c>
      <c r="M55" s="466">
        <f>Table223[[#This Row],[Tonnes '#]]*Table223[[#This Row],[At mill/port Door Price]]</f>
        <v>0</v>
      </c>
    </row>
    <row r="56" spans="1:13" x14ac:dyDescent="0.25">
      <c r="A56">
        <v>2025</v>
      </c>
      <c r="I56" s="288"/>
      <c r="J56" s="468">
        <f>_xlfn.XLOOKUP(Table223[[#This Row],[Grade Breakdown]],AA:AA,AB:AB,0,0)</f>
        <v>0</v>
      </c>
      <c r="K56" s="467">
        <f>Table223[[#This Row],[Tonnes '#]]*Table223[[#This Row],[Conversion Rate]]</f>
        <v>0</v>
      </c>
      <c r="M56" s="466">
        <f>Table223[[#This Row],[Tonnes '#]]*Table223[[#This Row],[At mill/port Door Price]]</f>
        <v>0</v>
      </c>
    </row>
    <row r="57" spans="1:13" x14ac:dyDescent="0.25">
      <c r="A57">
        <v>2025</v>
      </c>
      <c r="I57" s="288"/>
      <c r="J57" s="468">
        <f>_xlfn.XLOOKUP(Table223[[#This Row],[Grade Breakdown]],AA:AA,AB:AB,0,0)</f>
        <v>0</v>
      </c>
      <c r="K57" s="467">
        <f>Table223[[#This Row],[Tonnes '#]]*Table223[[#This Row],[Conversion Rate]]</f>
        <v>0</v>
      </c>
      <c r="M57" s="466">
        <f>Table223[[#This Row],[Tonnes '#]]*Table223[[#This Row],[At mill/port Door Price]]</f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07AC0-2925-4B0B-B189-C214B324EB5F}">
  <sheetPr codeName="Sheet1">
    <tabColor theme="5" tint="0.79998168889431442"/>
    <pageSetUpPr fitToPage="1"/>
  </sheetPr>
  <dimension ref="A1:X142"/>
  <sheetViews>
    <sheetView zoomScale="80" zoomScaleNormal="80" workbookViewId="0">
      <selection activeCell="G20" sqref="G20"/>
    </sheetView>
  </sheetViews>
  <sheetFormatPr defaultColWidth="9" defaultRowHeight="15" x14ac:dyDescent="0.25"/>
  <cols>
    <col min="1" max="1" width="2.28515625" style="1" customWidth="1"/>
    <col min="2" max="2" width="44" style="1" customWidth="1"/>
    <col min="3" max="3" width="13.85546875" style="1" customWidth="1"/>
    <col min="4" max="4" width="16.140625" style="1" customWidth="1"/>
    <col min="5" max="5" width="17" style="1" customWidth="1"/>
    <col min="6" max="6" width="12.7109375" style="1" customWidth="1"/>
    <col min="7" max="7" width="13.28515625" style="1" bestFit="1" customWidth="1"/>
    <col min="8" max="8" width="21.28515625" style="1" customWidth="1"/>
    <col min="9" max="9" width="10.140625" style="1" customWidth="1"/>
    <col min="10" max="21" width="15.7109375" style="1" bestFit="1" customWidth="1"/>
    <col min="22" max="22" width="5" style="1" customWidth="1"/>
    <col min="23" max="23" width="15.28515625" style="4" bestFit="1" customWidth="1"/>
    <col min="24" max="24" width="17.5703125" style="1" customWidth="1"/>
    <col min="25" max="16384" width="9" style="1"/>
  </cols>
  <sheetData>
    <row r="1" spans="2:24" ht="15.75" thickBot="1" x14ac:dyDescent="0.3">
      <c r="C1" s="2">
        <v>2025</v>
      </c>
      <c r="D1" s="3" t="s">
        <v>0</v>
      </c>
    </row>
    <row r="2" spans="2:24" ht="27" thickBot="1" x14ac:dyDescent="0.45">
      <c r="B2" s="5" t="s">
        <v>269</v>
      </c>
      <c r="G2" s="305"/>
      <c r="H2" s="43" t="s">
        <v>209</v>
      </c>
      <c r="I2" s="404"/>
      <c r="W2" s="6"/>
      <c r="X2" s="7"/>
    </row>
    <row r="3" spans="2:24" ht="15.75" x14ac:dyDescent="0.25">
      <c r="B3" s="8" t="s">
        <v>1</v>
      </c>
      <c r="C3" s="9"/>
      <c r="D3" s="9"/>
      <c r="E3" s="9"/>
      <c r="F3" s="9"/>
      <c r="G3" s="9" t="s">
        <v>241</v>
      </c>
      <c r="H3" s="10"/>
      <c r="I3" s="372">
        <f>SUM(J5:U5)+SUM(J8:U8)+SUM(J11:U11)</f>
        <v>0</v>
      </c>
      <c r="J3" s="178">
        <v>45658</v>
      </c>
      <c r="K3" s="178">
        <v>45689</v>
      </c>
      <c r="L3" s="178">
        <v>45717</v>
      </c>
      <c r="M3" s="178">
        <v>45748</v>
      </c>
      <c r="N3" s="178">
        <v>45778</v>
      </c>
      <c r="O3" s="178">
        <v>45809</v>
      </c>
      <c r="P3" s="178">
        <v>45839</v>
      </c>
      <c r="Q3" s="178">
        <v>45870</v>
      </c>
      <c r="R3" s="178">
        <v>45901</v>
      </c>
      <c r="S3" s="178">
        <v>45931</v>
      </c>
      <c r="T3" s="178">
        <v>45962</v>
      </c>
      <c r="U3" s="178">
        <v>45992</v>
      </c>
      <c r="W3" s="6" t="s">
        <v>2</v>
      </c>
      <c r="X3" s="7"/>
    </row>
    <row r="4" spans="2:24" x14ac:dyDescent="0.25">
      <c r="B4" s="11"/>
      <c r="G4" s="12" t="s">
        <v>7</v>
      </c>
      <c r="H4" s="301" t="s">
        <v>4</v>
      </c>
      <c r="I4" s="452">
        <f>IFERROR((J4*J5+K4*K5+L4*L5+M4*M5+N4*N5+O4*O5+P4*P5+Q4*Q5+R4*R5+S4*S5+T4*T5+U4*U5)/$W$16,0)</f>
        <v>0</v>
      </c>
      <c r="J4" s="352"/>
      <c r="K4" s="352"/>
      <c r="L4" s="352"/>
      <c r="M4" s="352"/>
      <c r="N4" s="353"/>
      <c r="O4" s="353"/>
      <c r="P4" s="353"/>
      <c r="Q4" s="353"/>
      <c r="R4" s="353"/>
      <c r="S4" s="353"/>
      <c r="T4" s="353"/>
      <c r="U4" s="354"/>
      <c r="W4" s="6"/>
      <c r="X4" s="7"/>
    </row>
    <row r="5" spans="2:24" x14ac:dyDescent="0.25">
      <c r="B5" s="11"/>
      <c r="G5" s="16"/>
      <c r="H5" s="1" t="s">
        <v>5</v>
      </c>
      <c r="I5" s="453"/>
      <c r="J5" s="352"/>
      <c r="K5" s="352"/>
      <c r="L5" s="353"/>
      <c r="M5" s="353"/>
      <c r="N5" s="353"/>
      <c r="O5" s="353"/>
      <c r="P5" s="353"/>
      <c r="Q5" s="353"/>
      <c r="R5" s="353"/>
      <c r="S5" s="353"/>
      <c r="T5" s="353"/>
      <c r="U5" s="354"/>
      <c r="W5" s="6"/>
      <c r="X5" s="7"/>
    </row>
    <row r="6" spans="2:24" ht="15.75" thickBot="1" x14ac:dyDescent="0.3">
      <c r="B6" s="11"/>
      <c r="G6" s="17"/>
      <c r="H6" s="302" t="s">
        <v>6</v>
      </c>
      <c r="I6" s="454"/>
      <c r="J6" s="355"/>
      <c r="K6" s="355"/>
      <c r="L6" s="356"/>
      <c r="M6" s="356"/>
      <c r="N6" s="356"/>
      <c r="O6" s="356"/>
      <c r="P6" s="356"/>
      <c r="Q6" s="356"/>
      <c r="R6" s="356"/>
      <c r="S6" s="356"/>
      <c r="T6" s="356"/>
      <c r="U6" s="357"/>
      <c r="W6" s="6"/>
      <c r="X6" s="7"/>
    </row>
    <row r="7" spans="2:24" x14ac:dyDescent="0.25">
      <c r="B7" s="11"/>
      <c r="G7" s="12" t="s">
        <v>3</v>
      </c>
      <c r="H7" s="301" t="s">
        <v>4</v>
      </c>
      <c r="I7" s="452">
        <f>IFERROR((J7*J8+K7*K8+L7*L8+M7*M8+N7*N8+O7*O8+P7*P8+Q7*Q8+R7*R8+S7*S8+T7*T8+U7*U8)/$W$16,0)</f>
        <v>0</v>
      </c>
      <c r="J7" s="358"/>
      <c r="K7" s="358"/>
      <c r="L7" s="358"/>
      <c r="M7" s="358"/>
      <c r="N7" s="358"/>
      <c r="O7" s="358"/>
      <c r="P7" s="358"/>
      <c r="Q7" s="358"/>
      <c r="R7" s="358"/>
      <c r="S7" s="358"/>
      <c r="T7" s="358"/>
      <c r="U7" s="359"/>
      <c r="W7" s="6"/>
      <c r="X7" s="7"/>
    </row>
    <row r="8" spans="2:24" x14ac:dyDescent="0.25">
      <c r="B8" s="11"/>
      <c r="G8" s="16"/>
      <c r="H8" s="1" t="s">
        <v>5</v>
      </c>
      <c r="I8" s="453"/>
      <c r="J8" s="353"/>
      <c r="K8" s="353"/>
      <c r="L8" s="353"/>
      <c r="M8" s="353"/>
      <c r="N8" s="353"/>
      <c r="O8" s="353"/>
      <c r="P8" s="353"/>
      <c r="Q8" s="353"/>
      <c r="R8" s="353"/>
      <c r="S8" s="353"/>
      <c r="T8" s="353"/>
      <c r="U8" s="354"/>
      <c r="W8" s="6"/>
      <c r="X8" s="7"/>
    </row>
    <row r="9" spans="2:24" ht="15.75" thickBot="1" x14ac:dyDescent="0.3">
      <c r="B9" s="11"/>
      <c r="G9" s="17"/>
      <c r="H9" s="302" t="s">
        <v>6</v>
      </c>
      <c r="I9" s="454"/>
      <c r="J9" s="356"/>
      <c r="K9" s="356"/>
      <c r="L9" s="356"/>
      <c r="M9" s="356"/>
      <c r="N9" s="356"/>
      <c r="O9" s="356"/>
      <c r="P9" s="356"/>
      <c r="Q9" s="356"/>
      <c r="R9" s="356"/>
      <c r="S9" s="356"/>
      <c r="T9" s="356"/>
      <c r="U9" s="357"/>
      <c r="W9" s="6"/>
      <c r="X9" s="7"/>
    </row>
    <row r="10" spans="2:24" x14ac:dyDescent="0.25">
      <c r="B10" s="11"/>
      <c r="G10" s="12" t="s">
        <v>8</v>
      </c>
      <c r="H10" s="301" t="s">
        <v>4</v>
      </c>
      <c r="I10" s="452">
        <f>IFERROR((J10*J11+K10*K11+L10*L11+M10*M11+N10*N11+O10*O11+P10*P11+Q10*Q11+R10*R11+S10*S11+T10*T11+U10*U11)/$W$16,0)</f>
        <v>0</v>
      </c>
      <c r="J10" s="353"/>
      <c r="K10" s="353"/>
      <c r="L10" s="353"/>
      <c r="M10" s="353"/>
      <c r="N10" s="353"/>
      <c r="O10" s="353"/>
      <c r="P10" s="353"/>
      <c r="Q10" s="353"/>
      <c r="R10" s="353"/>
      <c r="S10" s="353"/>
      <c r="T10" s="353"/>
      <c r="U10" s="354"/>
      <c r="W10" s="6"/>
      <c r="X10" s="7"/>
    </row>
    <row r="11" spans="2:24" x14ac:dyDescent="0.25">
      <c r="B11" s="11"/>
      <c r="G11" s="16"/>
      <c r="H11" s="1" t="s">
        <v>5</v>
      </c>
      <c r="I11" s="453"/>
      <c r="J11" s="353"/>
      <c r="K11" s="353"/>
      <c r="L11" s="353"/>
      <c r="M11" s="353"/>
      <c r="N11" s="353"/>
      <c r="O11" s="353"/>
      <c r="P11" s="353"/>
      <c r="Q11" s="353"/>
      <c r="R11" s="353"/>
      <c r="S11" s="353"/>
      <c r="T11" s="353"/>
      <c r="U11" s="354"/>
      <c r="W11" s="6"/>
      <c r="X11" s="7"/>
    </row>
    <row r="12" spans="2:24" ht="15.75" thickBot="1" x14ac:dyDescent="0.3">
      <c r="B12" s="11"/>
      <c r="G12" s="17"/>
      <c r="H12" s="302" t="s">
        <v>6</v>
      </c>
      <c r="I12" s="454"/>
      <c r="J12" s="356"/>
      <c r="K12" s="356"/>
      <c r="L12" s="356"/>
      <c r="M12" s="356"/>
      <c r="N12" s="356"/>
      <c r="O12" s="356"/>
      <c r="P12" s="356"/>
      <c r="Q12" s="356"/>
      <c r="R12" s="356"/>
      <c r="S12" s="356"/>
      <c r="T12" s="356"/>
      <c r="U12" s="357"/>
      <c r="V12" s="7"/>
      <c r="W12" s="6"/>
      <c r="X12" s="7"/>
    </row>
    <row r="13" spans="2:24" x14ac:dyDescent="0.25">
      <c r="B13" s="11"/>
      <c r="G13" s="12" t="s">
        <v>9</v>
      </c>
      <c r="H13" s="1" t="s">
        <v>6</v>
      </c>
      <c r="I13" s="455">
        <f>SUM(I4:I12)</f>
        <v>0</v>
      </c>
      <c r="J13" s="308">
        <f>IFERROR((J4*J5*J6+J7*J8*J9+J10*J11*J12)/J16,0)</f>
        <v>0</v>
      </c>
      <c r="K13" s="23">
        <f t="shared" ref="K13:T13" si="0">IFERROR((K4*K5*K6+K7*K8*K9+K10*K11*K12)/K16,0)</f>
        <v>0</v>
      </c>
      <c r="L13" s="23">
        <f t="shared" si="0"/>
        <v>0</v>
      </c>
      <c r="M13" s="23">
        <f t="shared" si="0"/>
        <v>0</v>
      </c>
      <c r="N13" s="23">
        <f t="shared" si="0"/>
        <v>0</v>
      </c>
      <c r="O13" s="23">
        <f t="shared" si="0"/>
        <v>0</v>
      </c>
      <c r="P13" s="23">
        <f t="shared" si="0"/>
        <v>0</v>
      </c>
      <c r="Q13" s="23">
        <f t="shared" si="0"/>
        <v>0</v>
      </c>
      <c r="R13" s="23">
        <f t="shared" si="0"/>
        <v>0</v>
      </c>
      <c r="S13" s="23">
        <f t="shared" si="0"/>
        <v>0</v>
      </c>
      <c r="T13" s="23">
        <f t="shared" si="0"/>
        <v>0</v>
      </c>
      <c r="U13" s="200">
        <f>IFERROR((U4*U5*U6+U7*U8*U9+U10*U11*U12)/U16,0)</f>
        <v>0</v>
      </c>
      <c r="V13" s="7"/>
      <c r="W13" s="6">
        <f>I3</f>
        <v>0</v>
      </c>
      <c r="X13" s="306" t="s">
        <v>208</v>
      </c>
    </row>
    <row r="14" spans="2:24" x14ac:dyDescent="0.25">
      <c r="B14" s="24"/>
      <c r="C14" s="25"/>
      <c r="D14" s="26"/>
      <c r="G14" s="16" t="s">
        <v>9</v>
      </c>
      <c r="H14" t="s">
        <v>4</v>
      </c>
      <c r="I14" s="456"/>
      <c r="J14" s="309">
        <f>J4+J7+J10</f>
        <v>0</v>
      </c>
      <c r="K14" s="27">
        <f t="shared" ref="K14:U14" si="1">K4+K7+K10</f>
        <v>0</v>
      </c>
      <c r="L14" s="27">
        <f t="shared" si="1"/>
        <v>0</v>
      </c>
      <c r="M14" s="27">
        <f t="shared" si="1"/>
        <v>0</v>
      </c>
      <c r="N14" s="27">
        <f t="shared" si="1"/>
        <v>0</v>
      </c>
      <c r="O14" s="27">
        <f t="shared" si="1"/>
        <v>0</v>
      </c>
      <c r="P14" s="27">
        <f t="shared" si="1"/>
        <v>0</v>
      </c>
      <c r="Q14" s="27">
        <f t="shared" si="1"/>
        <v>0</v>
      </c>
      <c r="R14" s="27">
        <f t="shared" si="1"/>
        <v>0</v>
      </c>
      <c r="S14" s="27">
        <f t="shared" si="1"/>
        <v>0</v>
      </c>
      <c r="T14" s="27">
        <f t="shared" si="1"/>
        <v>0</v>
      </c>
      <c r="U14" s="303">
        <f t="shared" si="1"/>
        <v>0</v>
      </c>
      <c r="W14" s="28">
        <f>IF(W16=0,0,W16/W15)</f>
        <v>0</v>
      </c>
      <c r="X14" s="306" t="str">
        <f>H2</f>
        <v>Estimated Tonnes (ha)</v>
      </c>
    </row>
    <row r="15" spans="2:24" x14ac:dyDescent="0.25">
      <c r="B15" s="24"/>
      <c r="C15" s="29"/>
      <c r="D15" s="30"/>
      <c r="G15" s="16" t="s">
        <v>2</v>
      </c>
      <c r="H15" s="1" t="s">
        <v>207</v>
      </c>
      <c r="I15" s="456"/>
      <c r="J15" s="23">
        <f>IFERROR(J16/$I$2,0)</f>
        <v>0</v>
      </c>
      <c r="K15" s="23">
        <f t="shared" ref="K15:U15" si="2">IFERROR(K16/$I$2,0)</f>
        <v>0</v>
      </c>
      <c r="L15" s="23">
        <f t="shared" si="2"/>
        <v>0</v>
      </c>
      <c r="M15" s="23">
        <f t="shared" si="2"/>
        <v>0</v>
      </c>
      <c r="N15" s="23">
        <f t="shared" si="2"/>
        <v>0</v>
      </c>
      <c r="O15" s="23">
        <f t="shared" si="2"/>
        <v>0</v>
      </c>
      <c r="P15" s="23">
        <f t="shared" si="2"/>
        <v>0</v>
      </c>
      <c r="Q15" s="23">
        <f t="shared" si="2"/>
        <v>0</v>
      </c>
      <c r="R15" s="23">
        <f t="shared" si="2"/>
        <v>0</v>
      </c>
      <c r="S15" s="23">
        <f t="shared" si="2"/>
        <v>0</v>
      </c>
      <c r="T15" s="23">
        <f t="shared" si="2"/>
        <v>0</v>
      </c>
      <c r="U15" s="201">
        <f t="shared" si="2"/>
        <v>0</v>
      </c>
      <c r="V15" s="31"/>
      <c r="W15" s="28">
        <f>SUM(J15:U15)</f>
        <v>0</v>
      </c>
      <c r="X15" s="306" t="str">
        <f>H15</f>
        <v>Hectare (ha)</v>
      </c>
    </row>
    <row r="16" spans="2:24" ht="15.75" thickBot="1" x14ac:dyDescent="0.3">
      <c r="B16" s="32"/>
      <c r="C16" s="33"/>
      <c r="D16" s="33"/>
      <c r="E16" s="33"/>
      <c r="F16" s="33"/>
      <c r="G16" s="311" t="s">
        <v>2</v>
      </c>
      <c r="H16" s="33" t="s">
        <v>10</v>
      </c>
      <c r="I16" s="457"/>
      <c r="J16" s="310">
        <f>IFERROR((J4*J5+J7*J8+J10*J11),0)</f>
        <v>0</v>
      </c>
      <c r="K16" s="34">
        <f t="shared" ref="K16:U16" si="3">IFERROR((K4*K5+K7*K8+K10*K11),0)</f>
        <v>0</v>
      </c>
      <c r="L16" s="34">
        <f t="shared" si="3"/>
        <v>0</v>
      </c>
      <c r="M16" s="34">
        <f t="shared" si="3"/>
        <v>0</v>
      </c>
      <c r="N16" s="34">
        <f t="shared" si="3"/>
        <v>0</v>
      </c>
      <c r="O16" s="34">
        <f t="shared" si="3"/>
        <v>0</v>
      </c>
      <c r="P16" s="34">
        <f t="shared" si="3"/>
        <v>0</v>
      </c>
      <c r="Q16" s="34">
        <f t="shared" si="3"/>
        <v>0</v>
      </c>
      <c r="R16" s="34">
        <f t="shared" si="3"/>
        <v>0</v>
      </c>
      <c r="S16" s="34">
        <f t="shared" si="3"/>
        <v>0</v>
      </c>
      <c r="T16" s="34">
        <f t="shared" si="3"/>
        <v>0</v>
      </c>
      <c r="U16" s="202">
        <f t="shared" si="3"/>
        <v>0</v>
      </c>
      <c r="W16" s="28">
        <f>SUM(J16:U16)</f>
        <v>0</v>
      </c>
      <c r="X16" s="35" t="str">
        <f>H16</f>
        <v>Tonnes Harvested</v>
      </c>
    </row>
    <row r="17" spans="1:24" ht="25.5" customHeight="1" thickBot="1" x14ac:dyDescent="0.3">
      <c r="C17" s="7"/>
      <c r="D17" s="7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7"/>
      <c r="W17" s="38" t="e">
        <f>W16/W15</f>
        <v>#DIV/0!</v>
      </c>
      <c r="X17" s="307" t="s">
        <v>11</v>
      </c>
    </row>
    <row r="18" spans="1:24" ht="16.5" thickBot="1" x14ac:dyDescent="0.3">
      <c r="B18" s="8" t="s">
        <v>12</v>
      </c>
      <c r="C18" s="9"/>
      <c r="D18" s="9"/>
      <c r="E18" s="9"/>
      <c r="F18" s="9"/>
      <c r="G18" s="9"/>
      <c r="H18" s="9"/>
      <c r="I18" s="9"/>
      <c r="J18" s="39"/>
      <c r="K18" s="9"/>
      <c r="L18" s="9"/>
      <c r="M18" s="9"/>
      <c r="N18" s="9"/>
      <c r="O18" s="9"/>
      <c r="P18" s="9"/>
      <c r="Q18" s="9"/>
      <c r="R18" s="9"/>
      <c r="S18" s="9"/>
      <c r="T18" s="9"/>
      <c r="U18" s="40"/>
    </row>
    <row r="19" spans="1:24" x14ac:dyDescent="0.25">
      <c r="B19" s="41" t="s">
        <v>13</v>
      </c>
      <c r="C19" s="42" t="s">
        <v>14</v>
      </c>
      <c r="D19" s="405" t="s">
        <v>210</v>
      </c>
      <c r="E19" s="42" t="s">
        <v>15</v>
      </c>
      <c r="F19" s="42" t="s">
        <v>211</v>
      </c>
      <c r="G19" s="42" t="s">
        <v>17</v>
      </c>
      <c r="H19" s="42" t="s">
        <v>18</v>
      </c>
      <c r="I19" s="43"/>
      <c r="J19" s="178">
        <v>45658</v>
      </c>
      <c r="K19" s="178">
        <v>45689</v>
      </c>
      <c r="L19" s="178">
        <v>45717</v>
      </c>
      <c r="M19" s="178">
        <v>45748</v>
      </c>
      <c r="N19" s="178">
        <v>45778</v>
      </c>
      <c r="O19" s="178">
        <v>45809</v>
      </c>
      <c r="P19" s="178">
        <v>45839</v>
      </c>
      <c r="Q19" s="178">
        <v>45870</v>
      </c>
      <c r="R19" s="178">
        <v>45901</v>
      </c>
      <c r="S19" s="178">
        <v>45931</v>
      </c>
      <c r="T19" s="178">
        <v>45962</v>
      </c>
      <c r="U19" s="317">
        <v>45992</v>
      </c>
    </row>
    <row r="20" spans="1:24" x14ac:dyDescent="0.25">
      <c r="A20" s="11"/>
      <c r="B20" s="239" t="s">
        <v>20</v>
      </c>
      <c r="C20" s="312">
        <v>0.11412433298869637</v>
      </c>
      <c r="D20" s="406">
        <v>1</v>
      </c>
      <c r="E20" s="388" t="s">
        <v>21</v>
      </c>
      <c r="F20" s="389">
        <f>IFERROR(H20/G20,0)</f>
        <v>0</v>
      </c>
      <c r="G20" s="315"/>
      <c r="H20" s="45">
        <f>SUM(J20:U20)</f>
        <v>0</v>
      </c>
      <c r="I20" s="46"/>
      <c r="J20" s="47">
        <f>J16*$C20*$D20*$G20</f>
        <v>0</v>
      </c>
      <c r="K20" s="47">
        <f t="shared" ref="K20:U20" si="4">K16*$C$20*$D$20*$G$20</f>
        <v>0</v>
      </c>
      <c r="L20" s="47">
        <f t="shared" si="4"/>
        <v>0</v>
      </c>
      <c r="M20" s="47">
        <f t="shared" si="4"/>
        <v>0</v>
      </c>
      <c r="N20" s="47">
        <f t="shared" si="4"/>
        <v>0</v>
      </c>
      <c r="O20" s="47">
        <f t="shared" si="4"/>
        <v>0</v>
      </c>
      <c r="P20" s="47">
        <f t="shared" si="4"/>
        <v>0</v>
      </c>
      <c r="Q20" s="47">
        <f t="shared" si="4"/>
        <v>0</v>
      </c>
      <c r="R20" s="47">
        <f t="shared" si="4"/>
        <v>0</v>
      </c>
      <c r="S20" s="47">
        <f t="shared" si="4"/>
        <v>0</v>
      </c>
      <c r="T20" s="47">
        <f t="shared" si="4"/>
        <v>0</v>
      </c>
      <c r="U20" s="48">
        <f t="shared" si="4"/>
        <v>0</v>
      </c>
      <c r="W20" s="38" t="e">
        <f>$W$17*C20</f>
        <v>#DIV/0!</v>
      </c>
      <c r="X20" s="1" t="str">
        <f>B20</f>
        <v>P35</v>
      </c>
    </row>
    <row r="21" spans="1:24" x14ac:dyDescent="0.25">
      <c r="A21" s="11"/>
      <c r="B21" s="239" t="s">
        <v>22</v>
      </c>
      <c r="C21" s="312">
        <v>7.0000000000000007E-2</v>
      </c>
      <c r="D21" s="406">
        <v>1</v>
      </c>
      <c r="E21" s="388" t="s">
        <v>21</v>
      </c>
      <c r="F21" s="389">
        <f>IFERROR(H21/G21,0)</f>
        <v>0</v>
      </c>
      <c r="G21" s="315"/>
      <c r="H21" s="45">
        <f t="shared" ref="H21:H41" si="5">SUM(J21:U21)</f>
        <v>0</v>
      </c>
      <c r="I21" s="46"/>
      <c r="J21" s="47">
        <f>J16*$C$21*$D$21*$G$21</f>
        <v>0</v>
      </c>
      <c r="K21" s="47">
        <f t="shared" ref="K21:U21" si="6">K16*$C$21*$D$21*$G$21</f>
        <v>0</v>
      </c>
      <c r="L21" s="47">
        <f t="shared" si="6"/>
        <v>0</v>
      </c>
      <c r="M21" s="47">
        <f t="shared" si="6"/>
        <v>0</v>
      </c>
      <c r="N21" s="47">
        <f t="shared" si="6"/>
        <v>0</v>
      </c>
      <c r="O21" s="47">
        <f t="shared" si="6"/>
        <v>0</v>
      </c>
      <c r="P21" s="47">
        <f t="shared" si="6"/>
        <v>0</v>
      </c>
      <c r="Q21" s="47">
        <f t="shared" si="6"/>
        <v>0</v>
      </c>
      <c r="R21" s="47">
        <f t="shared" si="6"/>
        <v>0</v>
      </c>
      <c r="S21" s="47">
        <f t="shared" si="6"/>
        <v>0</v>
      </c>
      <c r="T21" s="47">
        <f t="shared" si="6"/>
        <v>0</v>
      </c>
      <c r="U21" s="48">
        <f t="shared" si="6"/>
        <v>0</v>
      </c>
      <c r="W21" s="38" t="e">
        <f t="shared" ref="W21:W41" si="7">$W$17*C21</f>
        <v>#DIV/0!</v>
      </c>
      <c r="X21" s="1" t="str">
        <f t="shared" ref="X21:X41" si="8">B21</f>
        <v>S30</v>
      </c>
    </row>
    <row r="22" spans="1:24" x14ac:dyDescent="0.25">
      <c r="A22" s="11"/>
      <c r="B22" s="239" t="s">
        <v>25</v>
      </c>
      <c r="C22" s="312">
        <v>0</v>
      </c>
      <c r="D22" s="406">
        <v>1</v>
      </c>
      <c r="E22" s="388" t="s">
        <v>21</v>
      </c>
      <c r="F22" s="389">
        <f t="shared" ref="F22:F27" si="9">IFERROR(H22/G22,0)</f>
        <v>0</v>
      </c>
      <c r="G22" s="315"/>
      <c r="H22" s="45">
        <f t="shared" si="5"/>
        <v>0</v>
      </c>
      <c r="I22" s="46"/>
      <c r="J22" s="47">
        <f>J16*$C$22*$D$22*$G$22</f>
        <v>0</v>
      </c>
      <c r="K22" s="47">
        <f t="shared" ref="K22:U22" si="10">K16*$C$22*$D$22*$G$22</f>
        <v>0</v>
      </c>
      <c r="L22" s="47">
        <f t="shared" si="10"/>
        <v>0</v>
      </c>
      <c r="M22" s="47">
        <f t="shared" si="10"/>
        <v>0</v>
      </c>
      <c r="N22" s="47">
        <f t="shared" si="10"/>
        <v>0</v>
      </c>
      <c r="O22" s="47">
        <f t="shared" si="10"/>
        <v>0</v>
      </c>
      <c r="P22" s="47">
        <f t="shared" si="10"/>
        <v>0</v>
      </c>
      <c r="Q22" s="47">
        <f t="shared" si="10"/>
        <v>0</v>
      </c>
      <c r="R22" s="47">
        <f t="shared" si="10"/>
        <v>0</v>
      </c>
      <c r="S22" s="47">
        <f t="shared" si="10"/>
        <v>0</v>
      </c>
      <c r="T22" s="47">
        <f t="shared" si="10"/>
        <v>0</v>
      </c>
      <c r="U22" s="48">
        <f t="shared" si="10"/>
        <v>0</v>
      </c>
      <c r="W22" s="38" t="e">
        <f t="shared" si="7"/>
        <v>#DIV/0!</v>
      </c>
      <c r="X22" s="1" t="str">
        <f t="shared" si="8"/>
        <v>S20</v>
      </c>
    </row>
    <row r="23" spans="1:24" x14ac:dyDescent="0.25">
      <c r="A23" s="11"/>
      <c r="B23" s="242" t="s">
        <v>30</v>
      </c>
      <c r="C23" s="312">
        <v>0.05</v>
      </c>
      <c r="D23" s="406">
        <v>1</v>
      </c>
      <c r="E23" s="388" t="s">
        <v>21</v>
      </c>
      <c r="F23" s="389">
        <f t="shared" si="9"/>
        <v>0</v>
      </c>
      <c r="G23" s="315"/>
      <c r="H23" s="45">
        <f t="shared" si="5"/>
        <v>0</v>
      </c>
      <c r="I23" s="46"/>
      <c r="J23" s="47">
        <f>J16*$C$23*$D$23*$G$23</f>
        <v>0</v>
      </c>
      <c r="K23" s="47">
        <f t="shared" ref="K23:U23" si="11">K16*$C$23*$D$23*$G$23</f>
        <v>0</v>
      </c>
      <c r="L23" s="47">
        <f t="shared" si="11"/>
        <v>0</v>
      </c>
      <c r="M23" s="47">
        <f t="shared" si="11"/>
        <v>0</v>
      </c>
      <c r="N23" s="47">
        <f t="shared" si="11"/>
        <v>0</v>
      </c>
      <c r="O23" s="47">
        <f t="shared" si="11"/>
        <v>0</v>
      </c>
      <c r="P23" s="47">
        <f t="shared" si="11"/>
        <v>0</v>
      </c>
      <c r="Q23" s="47">
        <f t="shared" si="11"/>
        <v>0</v>
      </c>
      <c r="R23" s="47">
        <f t="shared" si="11"/>
        <v>0</v>
      </c>
      <c r="S23" s="47">
        <f t="shared" si="11"/>
        <v>0</v>
      </c>
      <c r="T23" s="47">
        <f t="shared" si="11"/>
        <v>0</v>
      </c>
      <c r="U23" s="48">
        <f t="shared" si="11"/>
        <v>0</v>
      </c>
      <c r="W23" s="38" t="e">
        <f t="shared" si="7"/>
        <v>#DIV/0!</v>
      </c>
      <c r="X23" s="1" t="str">
        <f t="shared" si="8"/>
        <v>Domestic Pulp</v>
      </c>
    </row>
    <row r="24" spans="1:24" x14ac:dyDescent="0.25">
      <c r="A24" s="11"/>
      <c r="B24" s="242" t="s">
        <v>222</v>
      </c>
      <c r="C24" s="312">
        <v>0</v>
      </c>
      <c r="D24" s="406">
        <v>1</v>
      </c>
      <c r="E24" s="388" t="s">
        <v>21</v>
      </c>
      <c r="F24" s="389">
        <f t="shared" si="9"/>
        <v>0</v>
      </c>
      <c r="G24" s="315"/>
      <c r="H24" s="45">
        <f t="shared" si="5"/>
        <v>0</v>
      </c>
      <c r="I24" s="46"/>
      <c r="J24" s="47">
        <f>J16*$C$24*$D$24*$G$24</f>
        <v>0</v>
      </c>
      <c r="K24" s="47">
        <f t="shared" ref="K24:U24" si="12">K16*$C$24*$D$24*$G$24</f>
        <v>0</v>
      </c>
      <c r="L24" s="47">
        <f t="shared" si="12"/>
        <v>0</v>
      </c>
      <c r="M24" s="47">
        <f t="shared" si="12"/>
        <v>0</v>
      </c>
      <c r="N24" s="47">
        <f t="shared" si="12"/>
        <v>0</v>
      </c>
      <c r="O24" s="47">
        <f t="shared" si="12"/>
        <v>0</v>
      </c>
      <c r="P24" s="47">
        <f t="shared" si="12"/>
        <v>0</v>
      </c>
      <c r="Q24" s="47">
        <f t="shared" si="12"/>
        <v>0</v>
      </c>
      <c r="R24" s="47">
        <f t="shared" si="12"/>
        <v>0</v>
      </c>
      <c r="S24" s="47">
        <f t="shared" si="12"/>
        <v>0</v>
      </c>
      <c r="T24" s="47">
        <f t="shared" si="12"/>
        <v>0</v>
      </c>
      <c r="U24" s="48">
        <f t="shared" si="12"/>
        <v>0</v>
      </c>
      <c r="W24" s="38" t="e">
        <f t="shared" si="7"/>
        <v>#DIV/0!</v>
      </c>
      <c r="X24" s="1" t="str">
        <f t="shared" si="8"/>
        <v>Eucalyptus</v>
      </c>
    </row>
    <row r="25" spans="1:24" x14ac:dyDescent="0.25">
      <c r="A25" s="11"/>
      <c r="B25" s="242" t="s">
        <v>34</v>
      </c>
      <c r="C25" s="312">
        <v>0</v>
      </c>
      <c r="D25" s="406">
        <v>1</v>
      </c>
      <c r="E25" s="388" t="s">
        <v>21</v>
      </c>
      <c r="F25" s="389">
        <f t="shared" si="9"/>
        <v>0</v>
      </c>
      <c r="G25" s="315"/>
      <c r="H25" s="45">
        <f>SUM(J25:U25)</f>
        <v>0</v>
      </c>
      <c r="I25" s="46"/>
      <c r="J25" s="47">
        <f t="shared" ref="J25:U25" si="13">J16*$C$25*$D$25*$G$25</f>
        <v>0</v>
      </c>
      <c r="K25" s="47">
        <f t="shared" si="13"/>
        <v>0</v>
      </c>
      <c r="L25" s="47">
        <f t="shared" si="13"/>
        <v>0</v>
      </c>
      <c r="M25" s="47">
        <f t="shared" si="13"/>
        <v>0</v>
      </c>
      <c r="N25" s="47">
        <f t="shared" si="13"/>
        <v>0</v>
      </c>
      <c r="O25" s="47">
        <f t="shared" si="13"/>
        <v>0</v>
      </c>
      <c r="P25" s="47">
        <f t="shared" si="13"/>
        <v>0</v>
      </c>
      <c r="Q25" s="47">
        <f t="shared" si="13"/>
        <v>0</v>
      </c>
      <c r="R25" s="47">
        <f t="shared" si="13"/>
        <v>0</v>
      </c>
      <c r="S25" s="47">
        <f t="shared" si="13"/>
        <v>0</v>
      </c>
      <c r="T25" s="47">
        <f t="shared" si="13"/>
        <v>0</v>
      </c>
      <c r="U25" s="48">
        <f t="shared" si="13"/>
        <v>0</v>
      </c>
      <c r="W25" s="38" t="e">
        <f t="shared" si="7"/>
        <v>#DIV/0!</v>
      </c>
      <c r="X25" s="1" t="str">
        <f t="shared" si="8"/>
        <v>FW</v>
      </c>
    </row>
    <row r="26" spans="1:24" x14ac:dyDescent="0.25">
      <c r="A26" s="11"/>
      <c r="B26" s="242" t="s">
        <v>37</v>
      </c>
      <c r="C26" s="312">
        <v>0</v>
      </c>
      <c r="D26" s="406">
        <v>1</v>
      </c>
      <c r="E26" s="388" t="s">
        <v>21</v>
      </c>
      <c r="F26" s="389">
        <f t="shared" si="9"/>
        <v>0</v>
      </c>
      <c r="G26" s="315"/>
      <c r="H26" s="45">
        <f>SUM(J26:U26)</f>
        <v>0</v>
      </c>
      <c r="I26" s="46"/>
      <c r="J26" s="47">
        <f>J16*$C$26*$D$26*$G$26</f>
        <v>0</v>
      </c>
      <c r="K26" s="47">
        <f t="shared" ref="K26:U26" si="14">K16*$C$26*$D$26*$G$26</f>
        <v>0</v>
      </c>
      <c r="L26" s="47">
        <f t="shared" si="14"/>
        <v>0</v>
      </c>
      <c r="M26" s="47">
        <f t="shared" si="14"/>
        <v>0</v>
      </c>
      <c r="N26" s="47">
        <f t="shared" si="14"/>
        <v>0</v>
      </c>
      <c r="O26" s="47">
        <f t="shared" si="14"/>
        <v>0</v>
      </c>
      <c r="P26" s="47">
        <f t="shared" si="14"/>
        <v>0</v>
      </c>
      <c r="Q26" s="47">
        <f t="shared" si="14"/>
        <v>0</v>
      </c>
      <c r="R26" s="47">
        <f t="shared" si="14"/>
        <v>0</v>
      </c>
      <c r="S26" s="47">
        <f t="shared" si="14"/>
        <v>0</v>
      </c>
      <c r="T26" s="47">
        <f t="shared" si="14"/>
        <v>0</v>
      </c>
      <c r="U26" s="48">
        <f t="shared" si="14"/>
        <v>0</v>
      </c>
      <c r="W26" s="38" t="e">
        <f t="shared" si="7"/>
        <v>#DIV/0!</v>
      </c>
      <c r="X26" t="str">
        <f t="shared" si="8"/>
        <v>Euc Pulp</v>
      </c>
    </row>
    <row r="27" spans="1:24" x14ac:dyDescent="0.25">
      <c r="A27" s="11"/>
      <c r="B27" s="242" t="s">
        <v>174</v>
      </c>
      <c r="C27" s="312">
        <v>0</v>
      </c>
      <c r="D27" s="406">
        <v>1</v>
      </c>
      <c r="E27" s="388" t="s">
        <v>21</v>
      </c>
      <c r="F27" s="389">
        <f t="shared" si="9"/>
        <v>0</v>
      </c>
      <c r="G27" s="315"/>
      <c r="H27" s="45">
        <f t="shared" si="5"/>
        <v>0</v>
      </c>
      <c r="I27" s="46"/>
      <c r="J27" s="47">
        <f>J16*$C$27*$D$27*$G$27</f>
        <v>0</v>
      </c>
      <c r="K27" s="47">
        <f t="shared" ref="K27:U27" si="15">K16*$C$27*$D$27*$G$27</f>
        <v>0</v>
      </c>
      <c r="L27" s="47">
        <f t="shared" si="15"/>
        <v>0</v>
      </c>
      <c r="M27" s="47">
        <f t="shared" si="15"/>
        <v>0</v>
      </c>
      <c r="N27" s="47">
        <f t="shared" si="15"/>
        <v>0</v>
      </c>
      <c r="O27" s="47">
        <f t="shared" si="15"/>
        <v>0</v>
      </c>
      <c r="P27" s="47">
        <f t="shared" si="15"/>
        <v>0</v>
      </c>
      <c r="Q27" s="47">
        <f t="shared" si="15"/>
        <v>0</v>
      </c>
      <c r="R27" s="47">
        <f t="shared" si="15"/>
        <v>0</v>
      </c>
      <c r="S27" s="47">
        <f t="shared" si="15"/>
        <v>0</v>
      </c>
      <c r="T27" s="47">
        <f t="shared" si="15"/>
        <v>0</v>
      </c>
      <c r="U27" s="48">
        <f t="shared" si="15"/>
        <v>0</v>
      </c>
      <c r="W27" s="38" t="e">
        <f t="shared" si="7"/>
        <v>#DIV/0!</v>
      </c>
      <c r="X27" s="1" t="str">
        <f t="shared" si="8"/>
        <v>Binwood</v>
      </c>
    </row>
    <row r="28" spans="1:24" x14ac:dyDescent="0.25">
      <c r="A28" s="11"/>
      <c r="B28" s="376" t="s">
        <v>202</v>
      </c>
      <c r="C28" s="378">
        <v>0</v>
      </c>
      <c r="D28" s="407"/>
      <c r="E28" s="390" t="s">
        <v>21</v>
      </c>
      <c r="F28" s="391">
        <f>IFERROR(H28/G28/D28,0)</f>
        <v>0</v>
      </c>
      <c r="G28" s="379"/>
      <c r="H28" s="45">
        <f>SUM(J28:U28)</f>
        <v>0</v>
      </c>
      <c r="I28" s="46"/>
      <c r="J28" s="47">
        <f>J16*$C$28*$D$28*$G$28</f>
        <v>0</v>
      </c>
      <c r="K28" s="47">
        <f t="shared" ref="K28:U28" si="16">K16*$C$28*$D$28*$G$28</f>
        <v>0</v>
      </c>
      <c r="L28" s="47">
        <f t="shared" si="16"/>
        <v>0</v>
      </c>
      <c r="M28" s="47">
        <f t="shared" si="16"/>
        <v>0</v>
      </c>
      <c r="N28" s="47">
        <f t="shared" si="16"/>
        <v>0</v>
      </c>
      <c r="O28" s="47">
        <f t="shared" si="16"/>
        <v>0</v>
      </c>
      <c r="P28" s="47">
        <f t="shared" si="16"/>
        <v>0</v>
      </c>
      <c r="Q28" s="47">
        <f t="shared" si="16"/>
        <v>0</v>
      </c>
      <c r="R28" s="47">
        <f t="shared" si="16"/>
        <v>0</v>
      </c>
      <c r="S28" s="47">
        <f t="shared" si="16"/>
        <v>0</v>
      </c>
      <c r="T28" s="47">
        <f t="shared" si="16"/>
        <v>0</v>
      </c>
      <c r="U28" s="48">
        <f t="shared" si="16"/>
        <v>0</v>
      </c>
      <c r="W28" s="38" t="e">
        <f t="shared" si="7"/>
        <v>#DIV/0!</v>
      </c>
      <c r="X28" s="1" t="str">
        <f t="shared" si="8"/>
        <v>Spare Grade</v>
      </c>
    </row>
    <row r="29" spans="1:24" x14ac:dyDescent="0.25">
      <c r="A29" s="11"/>
      <c r="B29" s="243" t="s">
        <v>175</v>
      </c>
      <c r="C29" s="313">
        <v>0</v>
      </c>
      <c r="D29" s="408">
        <v>1</v>
      </c>
      <c r="E29" s="388" t="s">
        <v>19</v>
      </c>
      <c r="F29" s="389">
        <f t="shared" ref="F29:F40" si="17">IFERROR(H29/G29/D29,0)</f>
        <v>0</v>
      </c>
      <c r="G29" s="316"/>
      <c r="H29" s="45">
        <f t="shared" si="5"/>
        <v>0</v>
      </c>
      <c r="I29" s="46"/>
      <c r="J29" s="47">
        <f>J16*$C$29*$D$29*$G$29</f>
        <v>0</v>
      </c>
      <c r="K29" s="47">
        <f t="shared" ref="K29:U29" si="18">K16*$C$29*$D$29*$G$29</f>
        <v>0</v>
      </c>
      <c r="L29" s="47">
        <f t="shared" si="18"/>
        <v>0</v>
      </c>
      <c r="M29" s="47">
        <f t="shared" si="18"/>
        <v>0</v>
      </c>
      <c r="N29" s="47">
        <f t="shared" si="18"/>
        <v>0</v>
      </c>
      <c r="O29" s="47">
        <f t="shared" si="18"/>
        <v>0</v>
      </c>
      <c r="P29" s="47">
        <f t="shared" si="18"/>
        <v>0</v>
      </c>
      <c r="Q29" s="47">
        <f t="shared" si="18"/>
        <v>0</v>
      </c>
      <c r="R29" s="47">
        <f t="shared" si="18"/>
        <v>0</v>
      </c>
      <c r="S29" s="47">
        <f t="shared" si="18"/>
        <v>0</v>
      </c>
      <c r="T29" s="47">
        <f t="shared" si="18"/>
        <v>0</v>
      </c>
      <c r="U29" s="48">
        <f t="shared" si="18"/>
        <v>0</v>
      </c>
      <c r="W29" s="38" t="e">
        <f t="shared" si="7"/>
        <v>#DIV/0!</v>
      </c>
      <c r="X29" s="1" t="str">
        <f t="shared" si="8"/>
        <v>P40</v>
      </c>
    </row>
    <row r="30" spans="1:24" x14ac:dyDescent="0.25">
      <c r="A30" s="11"/>
      <c r="B30" s="243" t="s">
        <v>176</v>
      </c>
      <c r="C30" s="313">
        <v>1.933667793097546E-3</v>
      </c>
      <c r="D30" s="408">
        <v>1.0288960591838534</v>
      </c>
      <c r="E30" s="388" t="s">
        <v>19</v>
      </c>
      <c r="F30" s="389">
        <f t="shared" si="17"/>
        <v>0</v>
      </c>
      <c r="G30" s="316"/>
      <c r="H30" s="45">
        <f t="shared" si="5"/>
        <v>0</v>
      </c>
      <c r="I30" s="46"/>
      <c r="J30" s="47">
        <f>J16*$C$30*$D$30*$G$30</f>
        <v>0</v>
      </c>
      <c r="K30" s="47">
        <f t="shared" ref="K30:U30" si="19">K16*$C$30*$D$30*$G$30</f>
        <v>0</v>
      </c>
      <c r="L30" s="47">
        <f t="shared" si="19"/>
        <v>0</v>
      </c>
      <c r="M30" s="47">
        <f t="shared" si="19"/>
        <v>0</v>
      </c>
      <c r="N30" s="47">
        <f t="shared" si="19"/>
        <v>0</v>
      </c>
      <c r="O30" s="47">
        <f t="shared" si="19"/>
        <v>0</v>
      </c>
      <c r="P30" s="47">
        <f t="shared" si="19"/>
        <v>0</v>
      </c>
      <c r="Q30" s="47">
        <f t="shared" si="19"/>
        <v>0</v>
      </c>
      <c r="R30" s="47">
        <f t="shared" si="19"/>
        <v>0</v>
      </c>
      <c r="S30" s="47">
        <f t="shared" si="19"/>
        <v>0</v>
      </c>
      <c r="T30" s="47">
        <f t="shared" si="19"/>
        <v>0</v>
      </c>
      <c r="U30" s="48">
        <f t="shared" si="19"/>
        <v>0</v>
      </c>
      <c r="W30" s="38" t="e">
        <f t="shared" si="7"/>
        <v>#DIV/0!</v>
      </c>
      <c r="X30" s="1" t="str">
        <f t="shared" si="8"/>
        <v>P30</v>
      </c>
    </row>
    <row r="31" spans="1:24" x14ac:dyDescent="0.25">
      <c r="A31" s="11"/>
      <c r="B31" s="246" t="s">
        <v>23</v>
      </c>
      <c r="C31" s="313">
        <v>0.15</v>
      </c>
      <c r="D31" s="408">
        <v>1.04</v>
      </c>
      <c r="E31" s="392" t="s">
        <v>19</v>
      </c>
      <c r="F31" s="389">
        <f t="shared" si="17"/>
        <v>0</v>
      </c>
      <c r="G31" s="316"/>
      <c r="H31" s="45">
        <f t="shared" si="5"/>
        <v>0</v>
      </c>
      <c r="I31" s="46"/>
      <c r="J31" s="47">
        <f>J16*$C$31*$D$31*$G$31</f>
        <v>0</v>
      </c>
      <c r="K31" s="47">
        <f t="shared" ref="K31:U31" si="20">K16*$C$31*$D$31*$G$31</f>
        <v>0</v>
      </c>
      <c r="L31" s="47">
        <f t="shared" si="20"/>
        <v>0</v>
      </c>
      <c r="M31" s="47">
        <f t="shared" si="20"/>
        <v>0</v>
      </c>
      <c r="N31" s="47">
        <f t="shared" si="20"/>
        <v>0</v>
      </c>
      <c r="O31" s="47">
        <f t="shared" si="20"/>
        <v>0</v>
      </c>
      <c r="P31" s="47">
        <f t="shared" si="20"/>
        <v>0</v>
      </c>
      <c r="Q31" s="47">
        <f t="shared" si="20"/>
        <v>0</v>
      </c>
      <c r="R31" s="47">
        <f t="shared" si="20"/>
        <v>0</v>
      </c>
      <c r="S31" s="47">
        <f t="shared" si="20"/>
        <v>0</v>
      </c>
      <c r="T31" s="47">
        <f t="shared" si="20"/>
        <v>0</v>
      </c>
      <c r="U31" s="48">
        <f t="shared" si="20"/>
        <v>0</v>
      </c>
      <c r="W31" s="38" t="e">
        <f t="shared" si="7"/>
        <v>#DIV/0!</v>
      </c>
      <c r="X31" s="1" t="str">
        <f t="shared" si="8"/>
        <v>AO</v>
      </c>
    </row>
    <row r="32" spans="1:24" x14ac:dyDescent="0.25">
      <c r="A32" s="11"/>
      <c r="B32" s="246" t="s">
        <v>24</v>
      </c>
      <c r="C32" s="313">
        <v>0.28000000000000003</v>
      </c>
      <c r="D32" s="408">
        <v>1.01</v>
      </c>
      <c r="E32" s="392" t="s">
        <v>19</v>
      </c>
      <c r="F32" s="389">
        <f t="shared" si="17"/>
        <v>0</v>
      </c>
      <c r="G32" s="316"/>
      <c r="H32" s="45">
        <f t="shared" si="5"/>
        <v>0</v>
      </c>
      <c r="I32" s="46"/>
      <c r="J32" s="47">
        <f>J16*$C$32*$D$32*$G$32</f>
        <v>0</v>
      </c>
      <c r="K32" s="47">
        <f t="shared" ref="K32:U32" si="21">K16*$C$32*$D$32*$G$32</f>
        <v>0</v>
      </c>
      <c r="L32" s="47">
        <f t="shared" si="21"/>
        <v>0</v>
      </c>
      <c r="M32" s="47">
        <f t="shared" si="21"/>
        <v>0</v>
      </c>
      <c r="N32" s="47">
        <f t="shared" si="21"/>
        <v>0</v>
      </c>
      <c r="O32" s="47">
        <f t="shared" si="21"/>
        <v>0</v>
      </c>
      <c r="P32" s="47">
        <f t="shared" si="21"/>
        <v>0</v>
      </c>
      <c r="Q32" s="47">
        <f t="shared" si="21"/>
        <v>0</v>
      </c>
      <c r="R32" s="47">
        <f t="shared" si="21"/>
        <v>0</v>
      </c>
      <c r="S32" s="47">
        <f t="shared" si="21"/>
        <v>0</v>
      </c>
      <c r="T32" s="47">
        <f t="shared" si="21"/>
        <v>0</v>
      </c>
      <c r="U32" s="48">
        <f t="shared" si="21"/>
        <v>0</v>
      </c>
      <c r="W32" s="38" t="e">
        <f t="shared" si="7"/>
        <v>#DIV/0!</v>
      </c>
      <c r="X32" s="1" t="str">
        <f t="shared" si="8"/>
        <v>A</v>
      </c>
    </row>
    <row r="33" spans="1:24" x14ac:dyDescent="0.25">
      <c r="A33" s="11"/>
      <c r="B33" s="246" t="s">
        <v>26</v>
      </c>
      <c r="C33" s="313">
        <v>0.208703355468741</v>
      </c>
      <c r="D33" s="408">
        <v>0.96</v>
      </c>
      <c r="E33" s="392" t="s">
        <v>19</v>
      </c>
      <c r="F33" s="389">
        <f t="shared" si="17"/>
        <v>0</v>
      </c>
      <c r="G33" s="316"/>
      <c r="H33" s="45">
        <f t="shared" si="5"/>
        <v>0</v>
      </c>
      <c r="I33" s="46"/>
      <c r="J33" s="47">
        <f>J16*$C$33*$D$33*$G$33</f>
        <v>0</v>
      </c>
      <c r="K33" s="47">
        <f t="shared" ref="K33:U33" si="22">K16*$C$33*$D$33*$G$33</f>
        <v>0</v>
      </c>
      <c r="L33" s="47">
        <f t="shared" si="22"/>
        <v>0</v>
      </c>
      <c r="M33" s="47">
        <f t="shared" si="22"/>
        <v>0</v>
      </c>
      <c r="N33" s="47">
        <f t="shared" si="22"/>
        <v>0</v>
      </c>
      <c r="O33" s="47">
        <f t="shared" si="22"/>
        <v>0</v>
      </c>
      <c r="P33" s="47">
        <f t="shared" si="22"/>
        <v>0</v>
      </c>
      <c r="Q33" s="47">
        <f t="shared" si="22"/>
        <v>0</v>
      </c>
      <c r="R33" s="47">
        <f t="shared" si="22"/>
        <v>0</v>
      </c>
      <c r="S33" s="47">
        <f t="shared" si="22"/>
        <v>0</v>
      </c>
      <c r="T33" s="47">
        <f t="shared" si="22"/>
        <v>0</v>
      </c>
      <c r="U33" s="48">
        <f t="shared" si="22"/>
        <v>0</v>
      </c>
      <c r="W33" s="38" t="e">
        <f t="shared" si="7"/>
        <v>#DIV/0!</v>
      </c>
      <c r="X33" s="1" t="str">
        <f t="shared" si="8"/>
        <v>K</v>
      </c>
    </row>
    <row r="34" spans="1:24" x14ac:dyDescent="0.25">
      <c r="A34" s="11"/>
      <c r="B34" s="243" t="s">
        <v>27</v>
      </c>
      <c r="C34" s="313">
        <v>2.5784396041069621E-2</v>
      </c>
      <c r="D34" s="408">
        <v>0.97</v>
      </c>
      <c r="E34" s="388" t="s">
        <v>19</v>
      </c>
      <c r="F34" s="389">
        <f t="shared" si="17"/>
        <v>0</v>
      </c>
      <c r="G34" s="316"/>
      <c r="H34" s="45">
        <f t="shared" si="5"/>
        <v>0</v>
      </c>
      <c r="I34" s="46"/>
      <c r="J34" s="47">
        <f>J16*$C$34*$D$34*$G$34</f>
        <v>0</v>
      </c>
      <c r="K34" s="47">
        <f t="shared" ref="K34:U34" si="23">K16*$C$34*$D$34*$G$34</f>
        <v>0</v>
      </c>
      <c r="L34" s="47">
        <f t="shared" si="23"/>
        <v>0</v>
      </c>
      <c r="M34" s="47">
        <f t="shared" si="23"/>
        <v>0</v>
      </c>
      <c r="N34" s="47">
        <f t="shared" si="23"/>
        <v>0</v>
      </c>
      <c r="O34" s="47">
        <f t="shared" si="23"/>
        <v>0</v>
      </c>
      <c r="P34" s="47">
        <f t="shared" si="23"/>
        <v>0</v>
      </c>
      <c r="Q34" s="47">
        <f t="shared" si="23"/>
        <v>0</v>
      </c>
      <c r="R34" s="47">
        <f t="shared" si="23"/>
        <v>0</v>
      </c>
      <c r="S34" s="47">
        <f t="shared" si="23"/>
        <v>0</v>
      </c>
      <c r="T34" s="47">
        <f t="shared" si="23"/>
        <v>0</v>
      </c>
      <c r="U34" s="48">
        <f t="shared" si="23"/>
        <v>0</v>
      </c>
      <c r="W34" s="38" t="e">
        <f t="shared" si="7"/>
        <v>#DIV/0!</v>
      </c>
      <c r="X34" s="1" t="str">
        <f t="shared" si="8"/>
        <v>KI</v>
      </c>
    </row>
    <row r="35" spans="1:24" x14ac:dyDescent="0.25">
      <c r="A35" s="11"/>
      <c r="B35" s="243" t="s">
        <v>29</v>
      </c>
      <c r="C35" s="313">
        <v>0.10175209731252557</v>
      </c>
      <c r="D35" s="408">
        <v>0.92</v>
      </c>
      <c r="E35" s="392" t="s">
        <v>19</v>
      </c>
      <c r="F35" s="389">
        <f t="shared" si="17"/>
        <v>0</v>
      </c>
      <c r="G35" s="316"/>
      <c r="H35" s="45">
        <f t="shared" si="5"/>
        <v>0</v>
      </c>
      <c r="I35" s="46"/>
      <c r="J35" s="47">
        <f>J16*$C$35*$D$35*$G$35</f>
        <v>0</v>
      </c>
      <c r="K35" s="47">
        <f t="shared" ref="K35:U35" si="24">K16*$C$35*$D$35*$G$35</f>
        <v>0</v>
      </c>
      <c r="L35" s="47">
        <f t="shared" si="24"/>
        <v>0</v>
      </c>
      <c r="M35" s="47">
        <f t="shared" si="24"/>
        <v>0</v>
      </c>
      <c r="N35" s="47">
        <f t="shared" si="24"/>
        <v>0</v>
      </c>
      <c r="O35" s="47">
        <f t="shared" si="24"/>
        <v>0</v>
      </c>
      <c r="P35" s="47">
        <f t="shared" si="24"/>
        <v>0</v>
      </c>
      <c r="Q35" s="47">
        <f t="shared" si="24"/>
        <v>0</v>
      </c>
      <c r="R35" s="47">
        <f t="shared" si="24"/>
        <v>0</v>
      </c>
      <c r="S35" s="47">
        <f t="shared" si="24"/>
        <v>0</v>
      </c>
      <c r="T35" s="47">
        <f t="shared" si="24"/>
        <v>0</v>
      </c>
      <c r="U35" s="48">
        <f t="shared" si="24"/>
        <v>0</v>
      </c>
      <c r="W35" s="38" t="e">
        <f t="shared" si="7"/>
        <v>#DIV/0!</v>
      </c>
      <c r="X35" s="1" t="str">
        <f t="shared" si="8"/>
        <v>KIS</v>
      </c>
    </row>
    <row r="36" spans="1:24" x14ac:dyDescent="0.25">
      <c r="A36" s="11"/>
      <c r="B36" s="246" t="s">
        <v>28</v>
      </c>
      <c r="C36" s="313"/>
      <c r="D36" s="408"/>
      <c r="E36" s="392" t="s">
        <v>19</v>
      </c>
      <c r="F36" s="389">
        <f t="shared" si="17"/>
        <v>0</v>
      </c>
      <c r="G36" s="316"/>
      <c r="H36" s="45">
        <f t="shared" si="5"/>
        <v>0</v>
      </c>
      <c r="I36" s="46"/>
      <c r="J36" s="47">
        <f>J16*$C$36*$D$36*$G$36</f>
        <v>0</v>
      </c>
      <c r="K36" s="47">
        <f t="shared" ref="K36:U36" si="25">K16*$C$36*$D$36*$G$36</f>
        <v>0</v>
      </c>
      <c r="L36" s="47">
        <f t="shared" si="25"/>
        <v>0</v>
      </c>
      <c r="M36" s="47">
        <f t="shared" si="25"/>
        <v>0</v>
      </c>
      <c r="N36" s="47">
        <f t="shared" si="25"/>
        <v>0</v>
      </c>
      <c r="O36" s="47">
        <f t="shared" si="25"/>
        <v>0</v>
      </c>
      <c r="P36" s="47">
        <f t="shared" si="25"/>
        <v>0</v>
      </c>
      <c r="Q36" s="47">
        <f t="shared" si="25"/>
        <v>0</v>
      </c>
      <c r="R36" s="47">
        <f t="shared" si="25"/>
        <v>0</v>
      </c>
      <c r="S36" s="47">
        <f t="shared" si="25"/>
        <v>0</v>
      </c>
      <c r="T36" s="47">
        <f t="shared" si="25"/>
        <v>0</v>
      </c>
      <c r="U36" s="48">
        <f t="shared" si="25"/>
        <v>0</v>
      </c>
      <c r="W36" s="38" t="e">
        <f t="shared" si="7"/>
        <v>#DIV/0!</v>
      </c>
      <c r="X36" s="1" t="str">
        <f t="shared" si="8"/>
        <v>KI stub</v>
      </c>
    </row>
    <row r="37" spans="1:24" x14ac:dyDescent="0.25">
      <c r="A37" s="11"/>
      <c r="B37" s="246" t="s">
        <v>31</v>
      </c>
      <c r="C37" s="313"/>
      <c r="D37" s="408"/>
      <c r="E37" s="392" t="s">
        <v>19</v>
      </c>
      <c r="F37" s="389">
        <f t="shared" si="17"/>
        <v>0</v>
      </c>
      <c r="G37" s="316"/>
      <c r="H37" s="45">
        <f t="shared" si="5"/>
        <v>0</v>
      </c>
      <c r="I37" s="46"/>
      <c r="J37" s="47">
        <f>J16*$C$37*$D$37*$G$37</f>
        <v>0</v>
      </c>
      <c r="K37" s="47">
        <f t="shared" ref="K37:U37" si="26">K16*$C$37*$D$37*$G$37</f>
        <v>0</v>
      </c>
      <c r="L37" s="47">
        <f t="shared" si="26"/>
        <v>0</v>
      </c>
      <c r="M37" s="47">
        <f t="shared" si="26"/>
        <v>0</v>
      </c>
      <c r="N37" s="47">
        <f t="shared" si="26"/>
        <v>0</v>
      </c>
      <c r="O37" s="47">
        <f t="shared" si="26"/>
        <v>0</v>
      </c>
      <c r="P37" s="47">
        <f t="shared" si="26"/>
        <v>0</v>
      </c>
      <c r="Q37" s="47">
        <f t="shared" si="26"/>
        <v>0</v>
      </c>
      <c r="R37" s="47">
        <f t="shared" si="26"/>
        <v>0</v>
      </c>
      <c r="S37" s="47">
        <f t="shared" si="26"/>
        <v>0</v>
      </c>
      <c r="T37" s="47">
        <f t="shared" si="26"/>
        <v>0</v>
      </c>
      <c r="U37" s="48">
        <f t="shared" si="26"/>
        <v>0</v>
      </c>
      <c r="W37" s="38" t="e">
        <f t="shared" si="7"/>
        <v>#DIV/0!</v>
      </c>
      <c r="X37" s="1" t="str">
        <f t="shared" si="8"/>
        <v>CF+</v>
      </c>
    </row>
    <row r="38" spans="1:24" x14ac:dyDescent="0.25">
      <c r="A38" s="11"/>
      <c r="B38" s="246" t="s">
        <v>32</v>
      </c>
      <c r="C38" s="313"/>
      <c r="D38" s="408"/>
      <c r="E38" s="392" t="s">
        <v>19</v>
      </c>
      <c r="F38" s="389">
        <f t="shared" si="17"/>
        <v>0</v>
      </c>
      <c r="G38" s="316"/>
      <c r="H38" s="45">
        <f t="shared" si="5"/>
        <v>0</v>
      </c>
      <c r="I38" s="46"/>
      <c r="J38" s="47">
        <f>J16*$C$38*$D$38*$G$38</f>
        <v>0</v>
      </c>
      <c r="K38" s="47">
        <f t="shared" ref="K38:T38" si="27">K16*$C$38*$D$38*$G$38</f>
        <v>0</v>
      </c>
      <c r="L38" s="47">
        <f t="shared" si="27"/>
        <v>0</v>
      </c>
      <c r="M38" s="47">
        <f t="shared" si="27"/>
        <v>0</v>
      </c>
      <c r="N38" s="47">
        <f t="shared" si="27"/>
        <v>0</v>
      </c>
      <c r="O38" s="47">
        <f t="shared" si="27"/>
        <v>0</v>
      </c>
      <c r="P38" s="47">
        <f t="shared" si="27"/>
        <v>0</v>
      </c>
      <c r="Q38" s="47">
        <f t="shared" si="27"/>
        <v>0</v>
      </c>
      <c r="R38" s="47">
        <f t="shared" si="27"/>
        <v>0</v>
      </c>
      <c r="S38" s="47">
        <f t="shared" si="27"/>
        <v>0</v>
      </c>
      <c r="T38" s="47">
        <f t="shared" si="27"/>
        <v>0</v>
      </c>
      <c r="U38" s="48">
        <f>U16*$C$38*$D$38*$G$38</f>
        <v>0</v>
      </c>
      <c r="W38" s="38" t="e">
        <f t="shared" si="7"/>
        <v>#DIV/0!</v>
      </c>
      <c r="X38" s="1" t="str">
        <f t="shared" si="8"/>
        <v>CF-</v>
      </c>
    </row>
    <row r="39" spans="1:24" x14ac:dyDescent="0.25">
      <c r="A39" s="11"/>
      <c r="B39" s="246" t="s">
        <v>33</v>
      </c>
      <c r="C39" s="313"/>
      <c r="D39" s="408"/>
      <c r="E39" s="392" t="s">
        <v>19</v>
      </c>
      <c r="F39" s="389">
        <f t="shared" si="17"/>
        <v>0</v>
      </c>
      <c r="G39" s="316"/>
      <c r="H39" s="45">
        <f t="shared" si="5"/>
        <v>0</v>
      </c>
      <c r="I39" s="46"/>
      <c r="J39" s="47">
        <f>J16*$C$39*$D$39*$G$39</f>
        <v>0</v>
      </c>
      <c r="K39" s="47">
        <f t="shared" ref="K39:U39" si="28">K16*$C$39*$D$39*$G$39</f>
        <v>0</v>
      </c>
      <c r="L39" s="47">
        <f t="shared" si="28"/>
        <v>0</v>
      </c>
      <c r="M39" s="47">
        <f t="shared" si="28"/>
        <v>0</v>
      </c>
      <c r="N39" s="47">
        <f t="shared" si="28"/>
        <v>0</v>
      </c>
      <c r="O39" s="47">
        <f t="shared" si="28"/>
        <v>0</v>
      </c>
      <c r="P39" s="47">
        <f t="shared" si="28"/>
        <v>0</v>
      </c>
      <c r="Q39" s="47">
        <f t="shared" si="28"/>
        <v>0</v>
      </c>
      <c r="R39" s="47">
        <f t="shared" si="28"/>
        <v>0</v>
      </c>
      <c r="S39" s="47">
        <f t="shared" si="28"/>
        <v>0</v>
      </c>
      <c r="T39" s="47">
        <f t="shared" si="28"/>
        <v>0</v>
      </c>
      <c r="U39" s="48">
        <f t="shared" si="28"/>
        <v>0</v>
      </c>
      <c r="W39" s="38" t="e">
        <f t="shared" si="7"/>
        <v>#DIV/0!</v>
      </c>
      <c r="X39" s="1" t="str">
        <f t="shared" si="8"/>
        <v>CM</v>
      </c>
    </row>
    <row r="40" spans="1:24" x14ac:dyDescent="0.25">
      <c r="A40" s="11"/>
      <c r="B40" s="243" t="s">
        <v>35</v>
      </c>
      <c r="C40" s="313"/>
      <c r="D40" s="408"/>
      <c r="E40" s="392" t="s">
        <v>19</v>
      </c>
      <c r="F40" s="389">
        <f t="shared" si="17"/>
        <v>0</v>
      </c>
      <c r="G40" s="316"/>
      <c r="H40" s="45">
        <f t="shared" si="5"/>
        <v>0</v>
      </c>
      <c r="I40" s="46"/>
      <c r="J40" s="47">
        <f>J16*$C$40*$D$40*$G$40</f>
        <v>0</v>
      </c>
      <c r="K40" s="47">
        <f t="shared" ref="K40:U40" si="29">K16*$C$40*$D$40*$G$40</f>
        <v>0</v>
      </c>
      <c r="L40" s="47">
        <f t="shared" si="29"/>
        <v>0</v>
      </c>
      <c r="M40" s="47">
        <f t="shared" si="29"/>
        <v>0</v>
      </c>
      <c r="N40" s="47">
        <f t="shared" si="29"/>
        <v>0</v>
      </c>
      <c r="O40" s="47">
        <f t="shared" si="29"/>
        <v>0</v>
      </c>
      <c r="P40" s="47">
        <f t="shared" si="29"/>
        <v>0</v>
      </c>
      <c r="Q40" s="47">
        <f t="shared" si="29"/>
        <v>0</v>
      </c>
      <c r="R40" s="47">
        <f t="shared" si="29"/>
        <v>0</v>
      </c>
      <c r="S40" s="47">
        <f t="shared" si="29"/>
        <v>0</v>
      </c>
      <c r="T40" s="47">
        <f t="shared" si="29"/>
        <v>0</v>
      </c>
      <c r="U40" s="48">
        <f t="shared" si="29"/>
        <v>0</v>
      </c>
      <c r="W40" s="38" t="e">
        <f t="shared" si="7"/>
        <v>#DIV/0!</v>
      </c>
      <c r="X40" s="1" t="str">
        <f t="shared" si="8"/>
        <v>Euc A</v>
      </c>
    </row>
    <row r="41" spans="1:24" x14ac:dyDescent="0.25">
      <c r="A41" s="11"/>
      <c r="B41" s="243" t="s">
        <v>36</v>
      </c>
      <c r="C41" s="313"/>
      <c r="D41" s="408"/>
      <c r="E41" s="392"/>
      <c r="F41" s="389"/>
      <c r="G41" s="316"/>
      <c r="H41" s="45">
        <f t="shared" si="5"/>
        <v>0</v>
      </c>
      <c r="I41" s="46"/>
      <c r="J41" s="47">
        <f>J16*$C$41*$D$41*$G$41</f>
        <v>0</v>
      </c>
      <c r="K41" s="47">
        <f t="shared" ref="K41:U41" si="30">K16*$C$41*$D$41*$G$41</f>
        <v>0</v>
      </c>
      <c r="L41" s="47">
        <f t="shared" si="30"/>
        <v>0</v>
      </c>
      <c r="M41" s="47">
        <f t="shared" si="30"/>
        <v>0</v>
      </c>
      <c r="N41" s="47">
        <f t="shared" si="30"/>
        <v>0</v>
      </c>
      <c r="O41" s="47">
        <f t="shared" si="30"/>
        <v>0</v>
      </c>
      <c r="P41" s="47">
        <f t="shared" si="30"/>
        <v>0</v>
      </c>
      <c r="Q41" s="47">
        <f t="shared" si="30"/>
        <v>0</v>
      </c>
      <c r="R41" s="47">
        <f t="shared" si="30"/>
        <v>0</v>
      </c>
      <c r="S41" s="47">
        <f t="shared" si="30"/>
        <v>0</v>
      </c>
      <c r="T41" s="47">
        <f t="shared" si="30"/>
        <v>0</v>
      </c>
      <c r="U41" s="48">
        <f t="shared" si="30"/>
        <v>0</v>
      </c>
      <c r="W41" s="38" t="e">
        <f t="shared" si="7"/>
        <v>#DIV/0!</v>
      </c>
      <c r="X41" s="1" t="str">
        <f t="shared" si="8"/>
        <v>Euc K</v>
      </c>
    </row>
    <row r="42" spans="1:24" ht="15.75" thickBot="1" x14ac:dyDescent="0.3">
      <c r="A42" s="11"/>
      <c r="B42" s="49"/>
      <c r="C42" s="314">
        <f>SUM(C20:C41)</f>
        <v>1.0022978496041302</v>
      </c>
      <c r="D42" s="51"/>
      <c r="E42" s="52"/>
      <c r="F42" s="53"/>
      <c r="G42" s="54"/>
      <c r="H42" s="54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318"/>
    </row>
    <row r="43" spans="1:24" ht="15.75" thickTop="1" x14ac:dyDescent="0.25">
      <c r="A43" s="11"/>
      <c r="B43" s="55" t="s">
        <v>39</v>
      </c>
      <c r="C43" s="51">
        <f>SUMIF(E20:E41,"JAS",C20:C41)</f>
        <v>0.76817351661543376</v>
      </c>
      <c r="D43" s="51"/>
      <c r="E43" s="52"/>
      <c r="F43" s="53"/>
      <c r="G43" s="54"/>
      <c r="H43" s="45">
        <f>SUM(J43:U43)</f>
        <v>0</v>
      </c>
      <c r="I43" s="46"/>
      <c r="J43" s="56">
        <f>SUM(J28:J41)</f>
        <v>0</v>
      </c>
      <c r="K43" s="56">
        <f t="shared" ref="K43:U43" si="31">SUM(K28:K41)</f>
        <v>0</v>
      </c>
      <c r="L43" s="56">
        <f t="shared" si="31"/>
        <v>0</v>
      </c>
      <c r="M43" s="56">
        <f t="shared" si="31"/>
        <v>0</v>
      </c>
      <c r="N43" s="56">
        <f t="shared" si="31"/>
        <v>0</v>
      </c>
      <c r="O43" s="56">
        <f t="shared" si="31"/>
        <v>0</v>
      </c>
      <c r="P43" s="56">
        <f t="shared" si="31"/>
        <v>0</v>
      </c>
      <c r="Q43" s="56">
        <f t="shared" si="31"/>
        <v>0</v>
      </c>
      <c r="R43" s="56">
        <f t="shared" si="31"/>
        <v>0</v>
      </c>
      <c r="S43" s="56">
        <f t="shared" si="31"/>
        <v>0</v>
      </c>
      <c r="T43" s="56">
        <f t="shared" si="31"/>
        <v>0</v>
      </c>
      <c r="U43" s="57">
        <f t="shared" si="31"/>
        <v>0</v>
      </c>
      <c r="W43" s="38" t="e">
        <f>SUM(W20:W42)</f>
        <v>#DIV/0!</v>
      </c>
    </row>
    <row r="44" spans="1:24" x14ac:dyDescent="0.25">
      <c r="A44" s="11"/>
      <c r="B44" s="55" t="s">
        <v>40</v>
      </c>
      <c r="C44" s="51">
        <f>SUMIF(E20:E41,"Tonnes",C20:C41)</f>
        <v>0.23412433298869639</v>
      </c>
      <c r="D44" s="51"/>
      <c r="E44" s="52"/>
      <c r="F44" s="53"/>
      <c r="G44" s="54"/>
      <c r="H44" s="45">
        <f>SUM(J44:U44)</f>
        <v>0</v>
      </c>
      <c r="I44" s="46"/>
      <c r="J44" s="56">
        <f>SUM(J20:J27)</f>
        <v>0</v>
      </c>
      <c r="K44" s="56">
        <f t="shared" ref="K44:U44" si="32">SUM(K20:K27)</f>
        <v>0</v>
      </c>
      <c r="L44" s="56">
        <f t="shared" si="32"/>
        <v>0</v>
      </c>
      <c r="M44" s="56">
        <f t="shared" si="32"/>
        <v>0</v>
      </c>
      <c r="N44" s="56">
        <f t="shared" si="32"/>
        <v>0</v>
      </c>
      <c r="O44" s="56">
        <f t="shared" si="32"/>
        <v>0</v>
      </c>
      <c r="P44" s="56">
        <f t="shared" si="32"/>
        <v>0</v>
      </c>
      <c r="Q44" s="56">
        <f t="shared" si="32"/>
        <v>0</v>
      </c>
      <c r="R44" s="56">
        <f t="shared" si="32"/>
        <v>0</v>
      </c>
      <c r="S44" s="56">
        <f t="shared" si="32"/>
        <v>0</v>
      </c>
      <c r="T44" s="56">
        <f t="shared" si="32"/>
        <v>0</v>
      </c>
      <c r="U44" s="57">
        <f t="shared" si="32"/>
        <v>0</v>
      </c>
    </row>
    <row r="45" spans="1:24" ht="15.75" thickBot="1" x14ac:dyDescent="0.3">
      <c r="A45" s="11"/>
      <c r="B45" s="49"/>
      <c r="C45" s="51"/>
      <c r="D45" s="51"/>
      <c r="E45" s="52"/>
      <c r="F45" s="53"/>
      <c r="G45" s="54"/>
      <c r="H45" s="54"/>
      <c r="I45" s="46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8"/>
    </row>
    <row r="46" spans="1:24" ht="16.5" thickTop="1" thickBot="1" x14ac:dyDescent="0.3">
      <c r="A46" s="11"/>
      <c r="B46" s="59" t="s">
        <v>18</v>
      </c>
      <c r="C46" s="60"/>
      <c r="D46" s="60"/>
      <c r="E46" s="61"/>
      <c r="F46" s="62"/>
      <c r="G46" s="63" t="e">
        <f>H46/W16</f>
        <v>#DIV/0!</v>
      </c>
      <c r="H46" s="64">
        <f>SUM(H20:H41)</f>
        <v>0</v>
      </c>
      <c r="I46" s="65"/>
      <c r="J46" s="64">
        <f>SUM(J20:J41)</f>
        <v>0</v>
      </c>
      <c r="K46" s="64">
        <f t="shared" ref="K46:U46" si="33">SUM(K20:K41)</f>
        <v>0</v>
      </c>
      <c r="L46" s="64">
        <f t="shared" si="33"/>
        <v>0</v>
      </c>
      <c r="M46" s="64">
        <f t="shared" si="33"/>
        <v>0</v>
      </c>
      <c r="N46" s="64">
        <f t="shared" si="33"/>
        <v>0</v>
      </c>
      <c r="O46" s="64">
        <f t="shared" si="33"/>
        <v>0</v>
      </c>
      <c r="P46" s="64">
        <f t="shared" si="33"/>
        <v>0</v>
      </c>
      <c r="Q46" s="64">
        <f t="shared" si="33"/>
        <v>0</v>
      </c>
      <c r="R46" s="64">
        <f t="shared" si="33"/>
        <v>0</v>
      </c>
      <c r="S46" s="64">
        <f t="shared" si="33"/>
        <v>0</v>
      </c>
      <c r="T46" s="64">
        <f t="shared" si="33"/>
        <v>0</v>
      </c>
      <c r="U46" s="66">
        <f t="shared" si="33"/>
        <v>0</v>
      </c>
      <c r="W46" s="67">
        <f>SUM(J46:U46)</f>
        <v>0</v>
      </c>
    </row>
    <row r="47" spans="1:24" x14ac:dyDescent="0.25">
      <c r="A47" s="11"/>
      <c r="B47" s="68"/>
      <c r="G47" s="52"/>
      <c r="H47" s="69"/>
      <c r="I47" s="69"/>
    </row>
    <row r="48" spans="1:24" ht="16.5" thickBot="1" x14ac:dyDescent="0.3">
      <c r="A48" s="11"/>
      <c r="B48" s="70" t="s">
        <v>41</v>
      </c>
      <c r="C48" s="80" t="s">
        <v>44</v>
      </c>
      <c r="D48" s="42" t="s">
        <v>220</v>
      </c>
    </row>
    <row r="49" spans="1:23" ht="15.75" thickBot="1" x14ac:dyDescent="0.3">
      <c r="A49" s="11"/>
      <c r="B49" s="71" t="s">
        <v>42</v>
      </c>
      <c r="C49" s="321" t="s">
        <v>193</v>
      </c>
      <c r="D49" s="324" t="s">
        <v>53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40"/>
    </row>
    <row r="50" spans="1:23" ht="15.75" thickBot="1" x14ac:dyDescent="0.3">
      <c r="A50" s="11"/>
      <c r="B50" s="72"/>
      <c r="C50" s="319"/>
      <c r="D50" s="43"/>
      <c r="E50" s="43"/>
      <c r="F50" s="43"/>
      <c r="G50" s="43"/>
      <c r="H50" s="42" t="s">
        <v>18</v>
      </c>
      <c r="I50" s="43"/>
      <c r="J50" s="178">
        <v>45658</v>
      </c>
      <c r="K50" s="178">
        <v>45689</v>
      </c>
      <c r="L50" s="178">
        <v>45717</v>
      </c>
      <c r="M50" s="178">
        <v>45748</v>
      </c>
      <c r="N50" s="178">
        <v>45778</v>
      </c>
      <c r="O50" s="178">
        <v>45809</v>
      </c>
      <c r="P50" s="178">
        <v>45839</v>
      </c>
      <c r="Q50" s="178">
        <v>45870</v>
      </c>
      <c r="R50" s="178">
        <v>45901</v>
      </c>
      <c r="S50" s="178">
        <v>45931</v>
      </c>
      <c r="T50" s="178">
        <v>45962</v>
      </c>
      <c r="U50" s="178">
        <v>45992</v>
      </c>
    </row>
    <row r="51" spans="1:23" ht="16.5" thickTop="1" thickBot="1" x14ac:dyDescent="0.3">
      <c r="A51" s="11"/>
      <c r="B51" s="73"/>
      <c r="C51" s="320"/>
      <c r="D51" s="74"/>
      <c r="E51" s="74"/>
      <c r="F51" s="74"/>
      <c r="G51" s="74" t="e">
        <f>H51/W16</f>
        <v>#DIV/0!</v>
      </c>
      <c r="H51" s="75">
        <f>SUM(J51:U51)</f>
        <v>0</v>
      </c>
      <c r="I51" s="76"/>
      <c r="J51" s="77">
        <f>J16*J13</f>
        <v>0</v>
      </c>
      <c r="K51" s="77">
        <f>K16*K13</f>
        <v>0</v>
      </c>
      <c r="L51" s="77">
        <f t="shared" ref="L51:U51" si="34">L16*L13</f>
        <v>0</v>
      </c>
      <c r="M51" s="77">
        <f t="shared" si="34"/>
        <v>0</v>
      </c>
      <c r="N51" s="77">
        <f t="shared" si="34"/>
        <v>0</v>
      </c>
      <c r="O51" s="77">
        <f t="shared" si="34"/>
        <v>0</v>
      </c>
      <c r="P51" s="77">
        <f t="shared" si="34"/>
        <v>0</v>
      </c>
      <c r="Q51" s="77">
        <f t="shared" si="34"/>
        <v>0</v>
      </c>
      <c r="R51" s="77">
        <f t="shared" si="34"/>
        <v>0</v>
      </c>
      <c r="S51" s="77">
        <f t="shared" si="34"/>
        <v>0</v>
      </c>
      <c r="T51" s="77">
        <f t="shared" si="34"/>
        <v>0</v>
      </c>
      <c r="U51" s="78">
        <f t="shared" si="34"/>
        <v>0</v>
      </c>
      <c r="W51" s="67">
        <f>SUM(J51:U51)</f>
        <v>0</v>
      </c>
    </row>
    <row r="52" spans="1:23" x14ac:dyDescent="0.25">
      <c r="A52" s="11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</row>
    <row r="53" spans="1:23" ht="15.75" thickBot="1" x14ac:dyDescent="0.3">
      <c r="A53" s="11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</row>
    <row r="54" spans="1:23" ht="15.75" thickBot="1" x14ac:dyDescent="0.3">
      <c r="A54" s="11"/>
      <c r="B54" s="71" t="s">
        <v>43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40"/>
    </row>
    <row r="55" spans="1:23" x14ac:dyDescent="0.25">
      <c r="A55" s="11"/>
      <c r="B55" s="41" t="s">
        <v>13</v>
      </c>
      <c r="C55" s="80" t="s">
        <v>44</v>
      </c>
      <c r="D55" s="42" t="s">
        <v>220</v>
      </c>
      <c r="E55" s="80" t="s">
        <v>45</v>
      </c>
      <c r="F55" s="80" t="s">
        <v>45</v>
      </c>
      <c r="G55" s="80" t="s">
        <v>46</v>
      </c>
      <c r="H55" s="81" t="s">
        <v>18</v>
      </c>
      <c r="I55" s="43"/>
      <c r="J55" s="178">
        <v>45658</v>
      </c>
      <c r="K55" s="178">
        <v>45689</v>
      </c>
      <c r="L55" s="178">
        <v>45717</v>
      </c>
      <c r="M55" s="178">
        <v>45748</v>
      </c>
      <c r="N55" s="178">
        <v>45778</v>
      </c>
      <c r="O55" s="178">
        <v>45809</v>
      </c>
      <c r="P55" s="178">
        <v>45839</v>
      </c>
      <c r="Q55" s="178">
        <v>45870</v>
      </c>
      <c r="R55" s="178">
        <v>45901</v>
      </c>
      <c r="S55" s="178">
        <v>45931</v>
      </c>
      <c r="T55" s="178">
        <v>45962</v>
      </c>
      <c r="U55" s="178">
        <v>45992</v>
      </c>
    </row>
    <row r="56" spans="1:23" x14ac:dyDescent="0.25">
      <c r="A56" s="11"/>
      <c r="B56" s="203" t="s">
        <v>20</v>
      </c>
      <c r="C56" s="321" t="s">
        <v>192</v>
      </c>
      <c r="D56" s="83" t="s">
        <v>47</v>
      </c>
      <c r="E56" s="393" t="s">
        <v>172</v>
      </c>
      <c r="F56" s="394"/>
      <c r="G56" s="360"/>
      <c r="H56" s="82">
        <f>SUM(J56:U56)</f>
        <v>0</v>
      </c>
      <c r="I56" s="54"/>
      <c r="J56" s="325">
        <f>IF($C20&gt;0,(J$16*$C20)*$G56,0)</f>
        <v>0</v>
      </c>
      <c r="K56" s="325">
        <f t="shared" ref="K56:U56" si="35">IF($C20&gt;0,(K$16*$C20)*$G56,0)</f>
        <v>0</v>
      </c>
      <c r="L56" s="325">
        <f t="shared" si="35"/>
        <v>0</v>
      </c>
      <c r="M56" s="325">
        <f t="shared" si="35"/>
        <v>0</v>
      </c>
      <c r="N56" s="325">
        <f t="shared" si="35"/>
        <v>0</v>
      </c>
      <c r="O56" s="325">
        <f t="shared" si="35"/>
        <v>0</v>
      </c>
      <c r="P56" s="325">
        <f t="shared" si="35"/>
        <v>0</v>
      </c>
      <c r="Q56" s="325">
        <f t="shared" si="35"/>
        <v>0</v>
      </c>
      <c r="R56" s="325">
        <f t="shared" si="35"/>
        <v>0</v>
      </c>
      <c r="S56" s="325">
        <f t="shared" si="35"/>
        <v>0</v>
      </c>
      <c r="T56" s="325">
        <f t="shared" si="35"/>
        <v>0</v>
      </c>
      <c r="U56" s="326">
        <f t="shared" si="35"/>
        <v>0</v>
      </c>
    </row>
    <row r="57" spans="1:23" x14ac:dyDescent="0.25">
      <c r="A57" s="11"/>
      <c r="B57" s="102" t="s">
        <v>22</v>
      </c>
      <c r="C57" s="322" t="s">
        <v>192</v>
      </c>
      <c r="D57" s="207" t="s">
        <v>47</v>
      </c>
      <c r="E57" s="395" t="s">
        <v>172</v>
      </c>
      <c r="F57" s="361"/>
      <c r="G57" s="360"/>
      <c r="H57" s="82">
        <f t="shared" ref="H57:H77" si="36">SUM(J57:U57)</f>
        <v>0</v>
      </c>
      <c r="I57" s="54"/>
      <c r="J57" s="325">
        <f t="shared" ref="J57:U63" si="37">IF($C21&gt;0,(J$16*$C21)*$G57,0)</f>
        <v>0</v>
      </c>
      <c r="K57" s="325">
        <f t="shared" si="37"/>
        <v>0</v>
      </c>
      <c r="L57" s="325">
        <f t="shared" si="37"/>
        <v>0</v>
      </c>
      <c r="M57" s="325">
        <f t="shared" si="37"/>
        <v>0</v>
      </c>
      <c r="N57" s="325">
        <f t="shared" si="37"/>
        <v>0</v>
      </c>
      <c r="O57" s="325">
        <f t="shared" si="37"/>
        <v>0</v>
      </c>
      <c r="P57" s="325">
        <f t="shared" si="37"/>
        <v>0</v>
      </c>
      <c r="Q57" s="325">
        <f t="shared" si="37"/>
        <v>0</v>
      </c>
      <c r="R57" s="325">
        <f t="shared" si="37"/>
        <v>0</v>
      </c>
      <c r="S57" s="325">
        <f t="shared" si="37"/>
        <v>0</v>
      </c>
      <c r="T57" s="325">
        <f t="shared" si="37"/>
        <v>0</v>
      </c>
      <c r="U57" s="326">
        <f t="shared" si="37"/>
        <v>0</v>
      </c>
    </row>
    <row r="58" spans="1:23" x14ac:dyDescent="0.25">
      <c r="A58" s="11"/>
      <c r="B58" s="102" t="s">
        <v>25</v>
      </c>
      <c r="C58" s="322" t="s">
        <v>192</v>
      </c>
      <c r="D58" s="207" t="s">
        <v>47</v>
      </c>
      <c r="E58" s="395" t="s">
        <v>172</v>
      </c>
      <c r="F58" s="396"/>
      <c r="G58" s="360"/>
      <c r="H58" s="82">
        <f t="shared" si="36"/>
        <v>0</v>
      </c>
      <c r="I58" s="54"/>
      <c r="J58" s="325">
        <f t="shared" si="37"/>
        <v>0</v>
      </c>
      <c r="K58" s="325">
        <f t="shared" si="37"/>
        <v>0</v>
      </c>
      <c r="L58" s="325">
        <f t="shared" si="37"/>
        <v>0</v>
      </c>
      <c r="M58" s="325">
        <f t="shared" si="37"/>
        <v>0</v>
      </c>
      <c r="N58" s="325">
        <f t="shared" si="37"/>
        <v>0</v>
      </c>
      <c r="O58" s="325">
        <f t="shared" si="37"/>
        <v>0</v>
      </c>
      <c r="P58" s="325">
        <f t="shared" si="37"/>
        <v>0</v>
      </c>
      <c r="Q58" s="325">
        <f t="shared" si="37"/>
        <v>0</v>
      </c>
      <c r="R58" s="325">
        <f t="shared" si="37"/>
        <v>0</v>
      </c>
      <c r="S58" s="325">
        <f t="shared" si="37"/>
        <v>0</v>
      </c>
      <c r="T58" s="325">
        <f t="shared" si="37"/>
        <v>0</v>
      </c>
      <c r="U58" s="326">
        <f t="shared" si="37"/>
        <v>0</v>
      </c>
    </row>
    <row r="59" spans="1:23" x14ac:dyDescent="0.25">
      <c r="A59" s="11"/>
      <c r="B59" s="102" t="s">
        <v>30</v>
      </c>
      <c r="C59" s="322" t="s">
        <v>192</v>
      </c>
      <c r="D59" s="207" t="s">
        <v>47</v>
      </c>
      <c r="E59" s="395" t="s">
        <v>172</v>
      </c>
      <c r="F59" s="396"/>
      <c r="G59" s="360"/>
      <c r="H59" s="82">
        <f t="shared" si="36"/>
        <v>0</v>
      </c>
      <c r="I59" s="54"/>
      <c r="J59" s="325">
        <f t="shared" si="37"/>
        <v>0</v>
      </c>
      <c r="K59" s="325">
        <f t="shared" si="37"/>
        <v>0</v>
      </c>
      <c r="L59" s="325">
        <f t="shared" si="37"/>
        <v>0</v>
      </c>
      <c r="M59" s="325">
        <f t="shared" si="37"/>
        <v>0</v>
      </c>
      <c r="N59" s="325">
        <f t="shared" si="37"/>
        <v>0</v>
      </c>
      <c r="O59" s="325">
        <f t="shared" si="37"/>
        <v>0</v>
      </c>
      <c r="P59" s="325">
        <f t="shared" si="37"/>
        <v>0</v>
      </c>
      <c r="Q59" s="325">
        <f t="shared" si="37"/>
        <v>0</v>
      </c>
      <c r="R59" s="325">
        <f t="shared" si="37"/>
        <v>0</v>
      </c>
      <c r="S59" s="325">
        <f t="shared" si="37"/>
        <v>0</v>
      </c>
      <c r="T59" s="325">
        <f t="shared" si="37"/>
        <v>0</v>
      </c>
      <c r="U59" s="326">
        <f t="shared" si="37"/>
        <v>0</v>
      </c>
    </row>
    <row r="60" spans="1:23" x14ac:dyDescent="0.25">
      <c r="A60" s="11"/>
      <c r="B60" s="102" t="s">
        <v>222</v>
      </c>
      <c r="C60" s="322" t="s">
        <v>192</v>
      </c>
      <c r="D60" s="207" t="s">
        <v>47</v>
      </c>
      <c r="E60" s="395" t="s">
        <v>172</v>
      </c>
      <c r="F60" s="396"/>
      <c r="G60" s="360"/>
      <c r="H60" s="82">
        <f t="shared" si="36"/>
        <v>0</v>
      </c>
      <c r="I60" s="54"/>
      <c r="J60" s="325">
        <f t="shared" si="37"/>
        <v>0</v>
      </c>
      <c r="K60" s="325">
        <f t="shared" si="37"/>
        <v>0</v>
      </c>
      <c r="L60" s="325">
        <f t="shared" si="37"/>
        <v>0</v>
      </c>
      <c r="M60" s="325">
        <f t="shared" si="37"/>
        <v>0</v>
      </c>
      <c r="N60" s="325">
        <f t="shared" si="37"/>
        <v>0</v>
      </c>
      <c r="O60" s="325">
        <f t="shared" si="37"/>
        <v>0</v>
      </c>
      <c r="P60" s="325">
        <f t="shared" si="37"/>
        <v>0</v>
      </c>
      <c r="Q60" s="325">
        <f t="shared" si="37"/>
        <v>0</v>
      </c>
      <c r="R60" s="325">
        <f t="shared" si="37"/>
        <v>0</v>
      </c>
      <c r="S60" s="325">
        <f t="shared" si="37"/>
        <v>0</v>
      </c>
      <c r="T60" s="325">
        <f t="shared" si="37"/>
        <v>0</v>
      </c>
      <c r="U60" s="326">
        <f t="shared" si="37"/>
        <v>0</v>
      </c>
    </row>
    <row r="61" spans="1:23" x14ac:dyDescent="0.25">
      <c r="A61" s="11"/>
      <c r="B61" s="102" t="s">
        <v>34</v>
      </c>
      <c r="C61" s="322" t="s">
        <v>192</v>
      </c>
      <c r="D61" s="207" t="s">
        <v>47</v>
      </c>
      <c r="E61" s="395" t="s">
        <v>172</v>
      </c>
      <c r="F61" s="396"/>
      <c r="G61" s="360"/>
      <c r="H61" s="82">
        <f t="shared" si="36"/>
        <v>0</v>
      </c>
      <c r="I61" s="54"/>
      <c r="J61" s="325">
        <f t="shared" si="37"/>
        <v>0</v>
      </c>
      <c r="K61" s="325">
        <f t="shared" si="37"/>
        <v>0</v>
      </c>
      <c r="L61" s="325">
        <f t="shared" si="37"/>
        <v>0</v>
      </c>
      <c r="M61" s="325">
        <f t="shared" si="37"/>
        <v>0</v>
      </c>
      <c r="N61" s="325">
        <f t="shared" si="37"/>
        <v>0</v>
      </c>
      <c r="O61" s="325">
        <f t="shared" si="37"/>
        <v>0</v>
      </c>
      <c r="P61" s="325">
        <f t="shared" si="37"/>
        <v>0</v>
      </c>
      <c r="Q61" s="325">
        <f t="shared" si="37"/>
        <v>0</v>
      </c>
      <c r="R61" s="325">
        <f t="shared" si="37"/>
        <v>0</v>
      </c>
      <c r="S61" s="325">
        <f t="shared" si="37"/>
        <v>0</v>
      </c>
      <c r="T61" s="325">
        <f t="shared" si="37"/>
        <v>0</v>
      </c>
      <c r="U61" s="326">
        <f t="shared" si="37"/>
        <v>0</v>
      </c>
    </row>
    <row r="62" spans="1:23" x14ac:dyDescent="0.25">
      <c r="A62" s="11"/>
      <c r="B62" s="102" t="s">
        <v>37</v>
      </c>
      <c r="C62" s="322" t="s">
        <v>192</v>
      </c>
      <c r="D62" s="207" t="s">
        <v>47</v>
      </c>
      <c r="E62" s="395" t="s">
        <v>172</v>
      </c>
      <c r="F62" s="396"/>
      <c r="G62" s="360"/>
      <c r="H62" s="82">
        <f t="shared" si="36"/>
        <v>0</v>
      </c>
      <c r="I62" s="54"/>
      <c r="J62" s="325">
        <f t="shared" si="37"/>
        <v>0</v>
      </c>
      <c r="K62" s="325">
        <f t="shared" si="37"/>
        <v>0</v>
      </c>
      <c r="L62" s="325">
        <f t="shared" si="37"/>
        <v>0</v>
      </c>
      <c r="M62" s="325">
        <f t="shared" si="37"/>
        <v>0</v>
      </c>
      <c r="N62" s="325">
        <f t="shared" si="37"/>
        <v>0</v>
      </c>
      <c r="O62" s="325">
        <f t="shared" si="37"/>
        <v>0</v>
      </c>
      <c r="P62" s="325">
        <f t="shared" si="37"/>
        <v>0</v>
      </c>
      <c r="Q62" s="325">
        <f t="shared" si="37"/>
        <v>0</v>
      </c>
      <c r="R62" s="325">
        <f t="shared" si="37"/>
        <v>0</v>
      </c>
      <c r="S62" s="325">
        <f t="shared" si="37"/>
        <v>0</v>
      </c>
      <c r="T62" s="325">
        <f t="shared" si="37"/>
        <v>0</v>
      </c>
      <c r="U62" s="326">
        <f t="shared" si="37"/>
        <v>0</v>
      </c>
    </row>
    <row r="63" spans="1:23" x14ac:dyDescent="0.25">
      <c r="A63" s="11"/>
      <c r="B63" s="102" t="s">
        <v>174</v>
      </c>
      <c r="C63" s="322" t="s">
        <v>192</v>
      </c>
      <c r="D63" s="207" t="s">
        <v>47</v>
      </c>
      <c r="E63" s="395" t="s">
        <v>172</v>
      </c>
      <c r="F63" s="396"/>
      <c r="G63" s="360"/>
      <c r="H63" s="82">
        <f t="shared" si="36"/>
        <v>0</v>
      </c>
      <c r="I63" s="54"/>
      <c r="J63" s="325">
        <f t="shared" si="37"/>
        <v>0</v>
      </c>
      <c r="K63" s="325">
        <f t="shared" si="37"/>
        <v>0</v>
      </c>
      <c r="L63" s="325">
        <f t="shared" si="37"/>
        <v>0</v>
      </c>
      <c r="M63" s="325">
        <f t="shared" si="37"/>
        <v>0</v>
      </c>
      <c r="N63" s="325">
        <f t="shared" si="37"/>
        <v>0</v>
      </c>
      <c r="O63" s="325">
        <f t="shared" si="37"/>
        <v>0</v>
      </c>
      <c r="P63" s="325">
        <f t="shared" si="37"/>
        <v>0</v>
      </c>
      <c r="Q63" s="325">
        <f t="shared" si="37"/>
        <v>0</v>
      </c>
      <c r="R63" s="325">
        <f t="shared" si="37"/>
        <v>0</v>
      </c>
      <c r="S63" s="325">
        <f t="shared" si="37"/>
        <v>0</v>
      </c>
      <c r="T63" s="325">
        <f t="shared" si="37"/>
        <v>0</v>
      </c>
      <c r="U63" s="326">
        <f t="shared" si="37"/>
        <v>0</v>
      </c>
    </row>
    <row r="64" spans="1:23" x14ac:dyDescent="0.25">
      <c r="A64" s="11"/>
      <c r="B64" s="102" t="s">
        <v>175</v>
      </c>
      <c r="C64" s="322" t="s">
        <v>192</v>
      </c>
      <c r="D64" s="207" t="s">
        <v>47</v>
      </c>
      <c r="E64" s="395" t="s">
        <v>221</v>
      </c>
      <c r="F64" s="396"/>
      <c r="G64" s="360"/>
      <c r="H64" s="82">
        <f t="shared" si="36"/>
        <v>0</v>
      </c>
      <c r="I64" s="54"/>
      <c r="J64" s="325">
        <f>IF($C29&gt;0,(J$16*$C29)*$G64,0)</f>
        <v>0</v>
      </c>
      <c r="K64" s="325">
        <f t="shared" ref="K64:U64" si="38">IF($C29&gt;0,(K$16*$C29)*$G64,0)</f>
        <v>0</v>
      </c>
      <c r="L64" s="325">
        <f t="shared" si="38"/>
        <v>0</v>
      </c>
      <c r="M64" s="325">
        <f t="shared" si="38"/>
        <v>0</v>
      </c>
      <c r="N64" s="325">
        <f t="shared" si="38"/>
        <v>0</v>
      </c>
      <c r="O64" s="325">
        <f t="shared" si="38"/>
        <v>0</v>
      </c>
      <c r="P64" s="325">
        <f t="shared" si="38"/>
        <v>0</v>
      </c>
      <c r="Q64" s="325">
        <f t="shared" si="38"/>
        <v>0</v>
      </c>
      <c r="R64" s="325">
        <f t="shared" si="38"/>
        <v>0</v>
      </c>
      <c r="S64" s="325">
        <f t="shared" si="38"/>
        <v>0</v>
      </c>
      <c r="T64" s="325">
        <f t="shared" si="38"/>
        <v>0</v>
      </c>
      <c r="U64" s="326">
        <f t="shared" si="38"/>
        <v>0</v>
      </c>
    </row>
    <row r="65" spans="1:23" x14ac:dyDescent="0.25">
      <c r="A65" s="11"/>
      <c r="B65" s="102" t="s">
        <v>176</v>
      </c>
      <c r="C65" s="322" t="s">
        <v>192</v>
      </c>
      <c r="D65" s="207" t="s">
        <v>47</v>
      </c>
      <c r="E65" s="395" t="s">
        <v>221</v>
      </c>
      <c r="F65" s="396"/>
      <c r="G65" s="360"/>
      <c r="H65" s="82">
        <f t="shared" si="36"/>
        <v>0</v>
      </c>
      <c r="I65" s="54"/>
      <c r="J65" s="325">
        <f t="shared" ref="J65:U77" si="39">IF($C30&gt;0,(J$16*$C30)*$G65,0)</f>
        <v>0</v>
      </c>
      <c r="K65" s="325">
        <f t="shared" si="39"/>
        <v>0</v>
      </c>
      <c r="L65" s="325">
        <f t="shared" si="39"/>
        <v>0</v>
      </c>
      <c r="M65" s="325">
        <f t="shared" si="39"/>
        <v>0</v>
      </c>
      <c r="N65" s="325">
        <f t="shared" si="39"/>
        <v>0</v>
      </c>
      <c r="O65" s="325">
        <f t="shared" si="39"/>
        <v>0</v>
      </c>
      <c r="P65" s="325">
        <f t="shared" si="39"/>
        <v>0</v>
      </c>
      <c r="Q65" s="325">
        <f t="shared" si="39"/>
        <v>0</v>
      </c>
      <c r="R65" s="325">
        <f t="shared" si="39"/>
        <v>0</v>
      </c>
      <c r="S65" s="325">
        <f t="shared" si="39"/>
        <v>0</v>
      </c>
      <c r="T65" s="325">
        <f t="shared" si="39"/>
        <v>0</v>
      </c>
      <c r="U65" s="326">
        <f t="shared" si="39"/>
        <v>0</v>
      </c>
    </row>
    <row r="66" spans="1:23" x14ac:dyDescent="0.25">
      <c r="A66" s="11"/>
      <c r="B66" s="102" t="s">
        <v>23</v>
      </c>
      <c r="C66" s="322" t="s">
        <v>192</v>
      </c>
      <c r="D66" s="207" t="s">
        <v>47</v>
      </c>
      <c r="E66" s="395" t="s">
        <v>221</v>
      </c>
      <c r="F66" s="396"/>
      <c r="G66" s="360"/>
      <c r="H66" s="82">
        <f t="shared" si="36"/>
        <v>0</v>
      </c>
      <c r="I66" s="54"/>
      <c r="J66" s="325">
        <f t="shared" si="39"/>
        <v>0</v>
      </c>
      <c r="K66" s="325">
        <f t="shared" si="39"/>
        <v>0</v>
      </c>
      <c r="L66" s="325">
        <f t="shared" si="39"/>
        <v>0</v>
      </c>
      <c r="M66" s="325">
        <f t="shared" si="39"/>
        <v>0</v>
      </c>
      <c r="N66" s="325">
        <f t="shared" si="39"/>
        <v>0</v>
      </c>
      <c r="O66" s="325">
        <f t="shared" si="39"/>
        <v>0</v>
      </c>
      <c r="P66" s="325">
        <f t="shared" si="39"/>
        <v>0</v>
      </c>
      <c r="Q66" s="325">
        <f t="shared" si="39"/>
        <v>0</v>
      </c>
      <c r="R66" s="325">
        <f t="shared" si="39"/>
        <v>0</v>
      </c>
      <c r="S66" s="325">
        <f t="shared" si="39"/>
        <v>0</v>
      </c>
      <c r="T66" s="325">
        <f t="shared" si="39"/>
        <v>0</v>
      </c>
      <c r="U66" s="326">
        <f t="shared" si="39"/>
        <v>0</v>
      </c>
    </row>
    <row r="67" spans="1:23" x14ac:dyDescent="0.25">
      <c r="A67" s="11"/>
      <c r="B67" s="102" t="s">
        <v>24</v>
      </c>
      <c r="C67" s="322" t="s">
        <v>192</v>
      </c>
      <c r="D67" s="207" t="s">
        <v>47</v>
      </c>
      <c r="E67" s="395" t="s">
        <v>221</v>
      </c>
      <c r="F67" s="396"/>
      <c r="G67" s="360"/>
      <c r="H67" s="82">
        <f t="shared" si="36"/>
        <v>0</v>
      </c>
      <c r="I67" s="54"/>
      <c r="J67" s="325">
        <f t="shared" si="39"/>
        <v>0</v>
      </c>
      <c r="K67" s="325">
        <f t="shared" si="39"/>
        <v>0</v>
      </c>
      <c r="L67" s="325">
        <f t="shared" si="39"/>
        <v>0</v>
      </c>
      <c r="M67" s="325">
        <f t="shared" si="39"/>
        <v>0</v>
      </c>
      <c r="N67" s="325">
        <f t="shared" si="39"/>
        <v>0</v>
      </c>
      <c r="O67" s="325">
        <f t="shared" si="39"/>
        <v>0</v>
      </c>
      <c r="P67" s="325">
        <f t="shared" si="39"/>
        <v>0</v>
      </c>
      <c r="Q67" s="325">
        <f t="shared" si="39"/>
        <v>0</v>
      </c>
      <c r="R67" s="325">
        <f t="shared" si="39"/>
        <v>0</v>
      </c>
      <c r="S67" s="325">
        <f t="shared" si="39"/>
        <v>0</v>
      </c>
      <c r="T67" s="325">
        <f t="shared" si="39"/>
        <v>0</v>
      </c>
      <c r="U67" s="326">
        <f t="shared" si="39"/>
        <v>0</v>
      </c>
    </row>
    <row r="68" spans="1:23" x14ac:dyDescent="0.25">
      <c r="A68" s="11"/>
      <c r="B68" s="212" t="s">
        <v>26</v>
      </c>
      <c r="C68" s="322" t="s">
        <v>192</v>
      </c>
      <c r="D68" s="207" t="s">
        <v>47</v>
      </c>
      <c r="E68" s="395" t="s">
        <v>221</v>
      </c>
      <c r="F68" s="396"/>
      <c r="G68" s="360"/>
      <c r="H68" s="82">
        <f t="shared" si="36"/>
        <v>0</v>
      </c>
      <c r="I68" s="54"/>
      <c r="J68" s="325">
        <f t="shared" si="39"/>
        <v>0</v>
      </c>
      <c r="K68" s="325">
        <f t="shared" si="39"/>
        <v>0</v>
      </c>
      <c r="L68" s="325">
        <f t="shared" si="39"/>
        <v>0</v>
      </c>
      <c r="M68" s="325">
        <f t="shared" si="39"/>
        <v>0</v>
      </c>
      <c r="N68" s="325">
        <f t="shared" si="39"/>
        <v>0</v>
      </c>
      <c r="O68" s="325">
        <f t="shared" si="39"/>
        <v>0</v>
      </c>
      <c r="P68" s="325">
        <f t="shared" si="39"/>
        <v>0</v>
      </c>
      <c r="Q68" s="325">
        <f t="shared" si="39"/>
        <v>0</v>
      </c>
      <c r="R68" s="325">
        <f t="shared" si="39"/>
        <v>0</v>
      </c>
      <c r="S68" s="325">
        <f t="shared" si="39"/>
        <v>0</v>
      </c>
      <c r="T68" s="325">
        <f t="shared" si="39"/>
        <v>0</v>
      </c>
      <c r="U68" s="326">
        <f t="shared" si="39"/>
        <v>0</v>
      </c>
    </row>
    <row r="69" spans="1:23" x14ac:dyDescent="0.25">
      <c r="A69" s="11"/>
      <c r="B69" s="102" t="s">
        <v>27</v>
      </c>
      <c r="C69" s="322" t="s">
        <v>192</v>
      </c>
      <c r="D69" s="207" t="s">
        <v>47</v>
      </c>
      <c r="E69" s="395" t="s">
        <v>221</v>
      </c>
      <c r="F69" s="396"/>
      <c r="G69" s="360"/>
      <c r="H69" s="82">
        <f t="shared" si="36"/>
        <v>0</v>
      </c>
      <c r="I69" s="54"/>
      <c r="J69" s="325">
        <f t="shared" si="39"/>
        <v>0</v>
      </c>
      <c r="K69" s="325">
        <f t="shared" si="39"/>
        <v>0</v>
      </c>
      <c r="L69" s="325">
        <f t="shared" si="39"/>
        <v>0</v>
      </c>
      <c r="M69" s="325">
        <f t="shared" si="39"/>
        <v>0</v>
      </c>
      <c r="N69" s="325">
        <f t="shared" si="39"/>
        <v>0</v>
      </c>
      <c r="O69" s="325">
        <f t="shared" si="39"/>
        <v>0</v>
      </c>
      <c r="P69" s="325">
        <f t="shared" si="39"/>
        <v>0</v>
      </c>
      <c r="Q69" s="325">
        <f t="shared" si="39"/>
        <v>0</v>
      </c>
      <c r="R69" s="325">
        <f t="shared" si="39"/>
        <v>0</v>
      </c>
      <c r="S69" s="325">
        <f t="shared" si="39"/>
        <v>0</v>
      </c>
      <c r="T69" s="325">
        <f t="shared" si="39"/>
        <v>0</v>
      </c>
      <c r="U69" s="326">
        <f t="shared" si="39"/>
        <v>0</v>
      </c>
    </row>
    <row r="70" spans="1:23" x14ac:dyDescent="0.25">
      <c r="A70" s="11"/>
      <c r="B70" s="102" t="s">
        <v>29</v>
      </c>
      <c r="C70" s="322" t="s">
        <v>192</v>
      </c>
      <c r="D70" s="207" t="s">
        <v>47</v>
      </c>
      <c r="E70" s="395" t="s">
        <v>221</v>
      </c>
      <c r="F70" s="396"/>
      <c r="G70" s="360"/>
      <c r="H70" s="82">
        <f t="shared" si="36"/>
        <v>0</v>
      </c>
      <c r="I70" s="54"/>
      <c r="J70" s="325">
        <f t="shared" si="39"/>
        <v>0</v>
      </c>
      <c r="K70" s="325">
        <f t="shared" si="39"/>
        <v>0</v>
      </c>
      <c r="L70" s="325">
        <f t="shared" si="39"/>
        <v>0</v>
      </c>
      <c r="M70" s="325">
        <f t="shared" si="39"/>
        <v>0</v>
      </c>
      <c r="N70" s="325">
        <f t="shared" si="39"/>
        <v>0</v>
      </c>
      <c r="O70" s="325">
        <f t="shared" si="39"/>
        <v>0</v>
      </c>
      <c r="P70" s="325">
        <f t="shared" si="39"/>
        <v>0</v>
      </c>
      <c r="Q70" s="325">
        <f t="shared" si="39"/>
        <v>0</v>
      </c>
      <c r="R70" s="325">
        <f t="shared" si="39"/>
        <v>0</v>
      </c>
      <c r="S70" s="325">
        <f t="shared" si="39"/>
        <v>0</v>
      </c>
      <c r="T70" s="325">
        <f t="shared" si="39"/>
        <v>0</v>
      </c>
      <c r="U70" s="326">
        <f t="shared" si="39"/>
        <v>0</v>
      </c>
    </row>
    <row r="71" spans="1:23" x14ac:dyDescent="0.25">
      <c r="A71" s="11"/>
      <c r="B71" s="212" t="s">
        <v>28</v>
      </c>
      <c r="C71" s="322" t="s">
        <v>192</v>
      </c>
      <c r="D71" s="207" t="s">
        <v>47</v>
      </c>
      <c r="E71" s="395" t="s">
        <v>221</v>
      </c>
      <c r="F71" s="396"/>
      <c r="G71" s="360"/>
      <c r="H71" s="82">
        <f t="shared" si="36"/>
        <v>0</v>
      </c>
      <c r="I71" s="54"/>
      <c r="J71" s="325">
        <f t="shared" si="39"/>
        <v>0</v>
      </c>
      <c r="K71" s="325">
        <f t="shared" si="39"/>
        <v>0</v>
      </c>
      <c r="L71" s="325">
        <f t="shared" si="39"/>
        <v>0</v>
      </c>
      <c r="M71" s="325">
        <f t="shared" si="39"/>
        <v>0</v>
      </c>
      <c r="N71" s="325">
        <f t="shared" si="39"/>
        <v>0</v>
      </c>
      <c r="O71" s="325">
        <f t="shared" si="39"/>
        <v>0</v>
      </c>
      <c r="P71" s="325">
        <f t="shared" si="39"/>
        <v>0</v>
      </c>
      <c r="Q71" s="325">
        <f t="shared" si="39"/>
        <v>0</v>
      </c>
      <c r="R71" s="325">
        <f t="shared" si="39"/>
        <v>0</v>
      </c>
      <c r="S71" s="325">
        <f t="shared" si="39"/>
        <v>0</v>
      </c>
      <c r="T71" s="325">
        <f t="shared" si="39"/>
        <v>0</v>
      </c>
      <c r="U71" s="326">
        <f t="shared" si="39"/>
        <v>0</v>
      </c>
    </row>
    <row r="72" spans="1:23" x14ac:dyDescent="0.25">
      <c r="A72" s="11"/>
      <c r="B72" s="212" t="s">
        <v>31</v>
      </c>
      <c r="C72" s="322" t="s">
        <v>192</v>
      </c>
      <c r="D72" s="207" t="s">
        <v>47</v>
      </c>
      <c r="E72" s="395" t="s">
        <v>221</v>
      </c>
      <c r="F72" s="396"/>
      <c r="G72" s="360"/>
      <c r="H72" s="82">
        <f t="shared" si="36"/>
        <v>0</v>
      </c>
      <c r="I72" s="54"/>
      <c r="J72" s="325">
        <f t="shared" si="39"/>
        <v>0</v>
      </c>
      <c r="K72" s="325">
        <f t="shared" si="39"/>
        <v>0</v>
      </c>
      <c r="L72" s="325">
        <f t="shared" si="39"/>
        <v>0</v>
      </c>
      <c r="M72" s="325">
        <f t="shared" si="39"/>
        <v>0</v>
      </c>
      <c r="N72" s="325">
        <f t="shared" si="39"/>
        <v>0</v>
      </c>
      <c r="O72" s="325">
        <f t="shared" si="39"/>
        <v>0</v>
      </c>
      <c r="P72" s="325">
        <f t="shared" si="39"/>
        <v>0</v>
      </c>
      <c r="Q72" s="325">
        <f t="shared" si="39"/>
        <v>0</v>
      </c>
      <c r="R72" s="325">
        <f t="shared" si="39"/>
        <v>0</v>
      </c>
      <c r="S72" s="325">
        <f t="shared" si="39"/>
        <v>0</v>
      </c>
      <c r="T72" s="325">
        <f t="shared" si="39"/>
        <v>0</v>
      </c>
      <c r="U72" s="326">
        <f t="shared" si="39"/>
        <v>0</v>
      </c>
    </row>
    <row r="73" spans="1:23" x14ac:dyDescent="0.25">
      <c r="A73" s="11"/>
      <c r="B73" s="212" t="s">
        <v>32</v>
      </c>
      <c r="C73" s="322" t="s">
        <v>192</v>
      </c>
      <c r="D73" s="207" t="s">
        <v>47</v>
      </c>
      <c r="E73" s="395" t="s">
        <v>221</v>
      </c>
      <c r="F73" s="396"/>
      <c r="G73" s="360"/>
      <c r="H73" s="82">
        <f t="shared" si="36"/>
        <v>0</v>
      </c>
      <c r="I73" s="54"/>
      <c r="J73" s="325">
        <f t="shared" si="39"/>
        <v>0</v>
      </c>
      <c r="K73" s="325">
        <f t="shared" si="39"/>
        <v>0</v>
      </c>
      <c r="L73" s="325">
        <f t="shared" si="39"/>
        <v>0</v>
      </c>
      <c r="M73" s="325">
        <f t="shared" si="39"/>
        <v>0</v>
      </c>
      <c r="N73" s="325">
        <f t="shared" si="39"/>
        <v>0</v>
      </c>
      <c r="O73" s="325">
        <f t="shared" si="39"/>
        <v>0</v>
      </c>
      <c r="P73" s="325">
        <f t="shared" si="39"/>
        <v>0</v>
      </c>
      <c r="Q73" s="325">
        <f t="shared" si="39"/>
        <v>0</v>
      </c>
      <c r="R73" s="325">
        <f t="shared" si="39"/>
        <v>0</v>
      </c>
      <c r="S73" s="325">
        <f t="shared" si="39"/>
        <v>0</v>
      </c>
      <c r="T73" s="325">
        <f t="shared" si="39"/>
        <v>0</v>
      </c>
      <c r="U73" s="326">
        <f t="shared" si="39"/>
        <v>0</v>
      </c>
    </row>
    <row r="74" spans="1:23" x14ac:dyDescent="0.25">
      <c r="A74" s="11"/>
      <c r="B74" s="102" t="s">
        <v>33</v>
      </c>
      <c r="C74" s="322" t="s">
        <v>192</v>
      </c>
      <c r="D74" s="207" t="s">
        <v>47</v>
      </c>
      <c r="E74" s="395" t="s">
        <v>221</v>
      </c>
      <c r="F74" s="396"/>
      <c r="G74" s="360"/>
      <c r="H74" s="82">
        <f t="shared" si="36"/>
        <v>0</v>
      </c>
      <c r="I74" s="54"/>
      <c r="J74" s="325">
        <f t="shared" si="39"/>
        <v>0</v>
      </c>
      <c r="K74" s="325">
        <f t="shared" si="39"/>
        <v>0</v>
      </c>
      <c r="L74" s="325">
        <f t="shared" si="39"/>
        <v>0</v>
      </c>
      <c r="M74" s="325">
        <f t="shared" si="39"/>
        <v>0</v>
      </c>
      <c r="N74" s="325">
        <f t="shared" si="39"/>
        <v>0</v>
      </c>
      <c r="O74" s="325">
        <f t="shared" si="39"/>
        <v>0</v>
      </c>
      <c r="P74" s="325">
        <f t="shared" si="39"/>
        <v>0</v>
      </c>
      <c r="Q74" s="325">
        <f t="shared" si="39"/>
        <v>0</v>
      </c>
      <c r="R74" s="325">
        <f t="shared" si="39"/>
        <v>0</v>
      </c>
      <c r="S74" s="325">
        <f t="shared" si="39"/>
        <v>0</v>
      </c>
      <c r="T74" s="325">
        <f t="shared" si="39"/>
        <v>0</v>
      </c>
      <c r="U74" s="326">
        <f t="shared" si="39"/>
        <v>0</v>
      </c>
    </row>
    <row r="75" spans="1:23" x14ac:dyDescent="0.25">
      <c r="A75" s="11"/>
      <c r="B75" s="212" t="s">
        <v>35</v>
      </c>
      <c r="C75" s="322" t="s">
        <v>192</v>
      </c>
      <c r="D75" s="207" t="s">
        <v>47</v>
      </c>
      <c r="E75" s="395" t="s">
        <v>221</v>
      </c>
      <c r="F75" s="362"/>
      <c r="G75" s="360"/>
      <c r="H75" s="82">
        <f t="shared" si="36"/>
        <v>0</v>
      </c>
      <c r="I75" s="54"/>
      <c r="J75" s="325">
        <f t="shared" si="39"/>
        <v>0</v>
      </c>
      <c r="K75" s="325">
        <f t="shared" si="39"/>
        <v>0</v>
      </c>
      <c r="L75" s="325">
        <f t="shared" si="39"/>
        <v>0</v>
      </c>
      <c r="M75" s="325">
        <f t="shared" si="39"/>
        <v>0</v>
      </c>
      <c r="N75" s="325">
        <f t="shared" si="39"/>
        <v>0</v>
      </c>
      <c r="O75" s="325">
        <f t="shared" si="39"/>
        <v>0</v>
      </c>
      <c r="P75" s="325">
        <f t="shared" si="39"/>
        <v>0</v>
      </c>
      <c r="Q75" s="325">
        <f t="shared" si="39"/>
        <v>0</v>
      </c>
      <c r="R75" s="325">
        <f t="shared" si="39"/>
        <v>0</v>
      </c>
      <c r="S75" s="325">
        <f t="shared" si="39"/>
        <v>0</v>
      </c>
      <c r="T75" s="325">
        <f t="shared" si="39"/>
        <v>0</v>
      </c>
      <c r="U75" s="326">
        <f t="shared" si="39"/>
        <v>0</v>
      </c>
    </row>
    <row r="76" spans="1:23" x14ac:dyDescent="0.25">
      <c r="A76" s="11"/>
      <c r="B76" s="212" t="s">
        <v>36</v>
      </c>
      <c r="C76" s="322" t="s">
        <v>192</v>
      </c>
      <c r="D76" s="207" t="s">
        <v>47</v>
      </c>
      <c r="E76" s="395" t="s">
        <v>221</v>
      </c>
      <c r="F76" s="361"/>
      <c r="G76" s="360"/>
      <c r="H76" s="82">
        <f t="shared" si="36"/>
        <v>0</v>
      </c>
      <c r="I76" s="54"/>
      <c r="J76" s="325">
        <f t="shared" si="39"/>
        <v>0</v>
      </c>
      <c r="K76" s="325">
        <f t="shared" si="39"/>
        <v>0</v>
      </c>
      <c r="L76" s="325">
        <f t="shared" si="39"/>
        <v>0</v>
      </c>
      <c r="M76" s="325">
        <f t="shared" si="39"/>
        <v>0</v>
      </c>
      <c r="N76" s="325">
        <f t="shared" si="39"/>
        <v>0</v>
      </c>
      <c r="O76" s="325">
        <f t="shared" si="39"/>
        <v>0</v>
      </c>
      <c r="P76" s="325">
        <f t="shared" si="39"/>
        <v>0</v>
      </c>
      <c r="Q76" s="325">
        <f t="shared" si="39"/>
        <v>0</v>
      </c>
      <c r="R76" s="325">
        <f t="shared" si="39"/>
        <v>0</v>
      </c>
      <c r="S76" s="325">
        <f t="shared" si="39"/>
        <v>0</v>
      </c>
      <c r="T76" s="325">
        <f t="shared" si="39"/>
        <v>0</v>
      </c>
      <c r="U76" s="326">
        <f t="shared" si="39"/>
        <v>0</v>
      </c>
    </row>
    <row r="77" spans="1:23" ht="15.75" thickBot="1" x14ac:dyDescent="0.3">
      <c r="A77" s="84"/>
      <c r="B77" s="214" t="s">
        <v>38</v>
      </c>
      <c r="C77" s="323" t="s">
        <v>192</v>
      </c>
      <c r="D77" s="215" t="s">
        <v>47</v>
      </c>
      <c r="E77" s="397" t="s">
        <v>221</v>
      </c>
      <c r="F77" s="363"/>
      <c r="G77" s="360"/>
      <c r="H77" s="82">
        <f t="shared" si="36"/>
        <v>0</v>
      </c>
      <c r="I77" s="54"/>
      <c r="J77" s="325">
        <f t="shared" si="39"/>
        <v>0</v>
      </c>
      <c r="K77" s="325">
        <f t="shared" si="39"/>
        <v>0</v>
      </c>
      <c r="L77" s="325">
        <f t="shared" si="39"/>
        <v>0</v>
      </c>
      <c r="M77" s="325">
        <f t="shared" si="39"/>
        <v>0</v>
      </c>
      <c r="N77" s="325">
        <f t="shared" si="39"/>
        <v>0</v>
      </c>
      <c r="O77" s="325">
        <f t="shared" si="39"/>
        <v>0</v>
      </c>
      <c r="P77" s="325">
        <f t="shared" si="39"/>
        <v>0</v>
      </c>
      <c r="Q77" s="325">
        <f t="shared" si="39"/>
        <v>0</v>
      </c>
      <c r="R77" s="325">
        <f t="shared" si="39"/>
        <v>0</v>
      </c>
      <c r="S77" s="325">
        <f t="shared" si="39"/>
        <v>0</v>
      </c>
      <c r="T77" s="325">
        <f t="shared" si="39"/>
        <v>0</v>
      </c>
      <c r="U77" s="326">
        <f t="shared" si="39"/>
        <v>0</v>
      </c>
    </row>
    <row r="78" spans="1:23" ht="16.5" thickTop="1" thickBot="1" x14ac:dyDescent="0.3">
      <c r="A78" s="11"/>
      <c r="B78" s="85"/>
      <c r="C78" s="86"/>
      <c r="D78" s="86"/>
      <c r="E78" s="87"/>
      <c r="F78" s="88"/>
      <c r="G78" s="89" t="e">
        <f>H78/W16</f>
        <v>#DIV/0!</v>
      </c>
      <c r="H78" s="75">
        <f>SUM(H56:H77)</f>
        <v>0</v>
      </c>
      <c r="I78" s="76"/>
      <c r="J78" s="327">
        <f>SUM(J56:J77)</f>
        <v>0</v>
      </c>
      <c r="K78" s="327">
        <f t="shared" ref="K78:T78" si="40">SUM(K56:K77)</f>
        <v>0</v>
      </c>
      <c r="L78" s="327">
        <f t="shared" si="40"/>
        <v>0</v>
      </c>
      <c r="M78" s="327">
        <f t="shared" si="40"/>
        <v>0</v>
      </c>
      <c r="N78" s="327">
        <f t="shared" si="40"/>
        <v>0</v>
      </c>
      <c r="O78" s="327">
        <f t="shared" si="40"/>
        <v>0</v>
      </c>
      <c r="P78" s="327">
        <f t="shared" si="40"/>
        <v>0</v>
      </c>
      <c r="Q78" s="327">
        <f t="shared" si="40"/>
        <v>0</v>
      </c>
      <c r="R78" s="327">
        <f t="shared" si="40"/>
        <v>0</v>
      </c>
      <c r="S78" s="327">
        <f t="shared" si="40"/>
        <v>0</v>
      </c>
      <c r="T78" s="327">
        <f t="shared" si="40"/>
        <v>0</v>
      </c>
      <c r="U78" s="328">
        <f>SUM(U56:U77)</f>
        <v>0</v>
      </c>
      <c r="W78" s="67">
        <f>SUM(J78:U78)</f>
        <v>0</v>
      </c>
    </row>
    <row r="79" spans="1:23" ht="15.75" thickBot="1" x14ac:dyDescent="0.3">
      <c r="A79" s="11"/>
      <c r="B79" s="84"/>
      <c r="C79" s="84"/>
      <c r="D79" s="84"/>
      <c r="E79" s="52"/>
      <c r="F79" s="90"/>
      <c r="G79" s="91"/>
      <c r="H79" s="92"/>
      <c r="I79" s="46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</row>
    <row r="80" spans="1:23" ht="15.75" thickBot="1" x14ac:dyDescent="0.3">
      <c r="A80" s="11"/>
      <c r="B80" s="93" t="s">
        <v>48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40"/>
    </row>
    <row r="81" spans="1:21" x14ac:dyDescent="0.25">
      <c r="A81" s="11"/>
      <c r="B81" s="94" t="s">
        <v>49</v>
      </c>
      <c r="C81" s="80" t="s">
        <v>44</v>
      </c>
      <c r="D81" s="42" t="s">
        <v>220</v>
      </c>
      <c r="E81" s="80" t="s">
        <v>50</v>
      </c>
      <c r="F81" s="80" t="s">
        <v>51</v>
      </c>
      <c r="G81" s="42" t="s">
        <v>239</v>
      </c>
      <c r="H81" s="42" t="s">
        <v>18</v>
      </c>
      <c r="I81" s="43"/>
      <c r="J81" s="178">
        <v>45658</v>
      </c>
      <c r="K81" s="178">
        <v>45689</v>
      </c>
      <c r="L81" s="178">
        <v>45717</v>
      </c>
      <c r="M81" s="178">
        <v>45748</v>
      </c>
      <c r="N81" s="178">
        <v>45778</v>
      </c>
      <c r="O81" s="178">
        <v>45809</v>
      </c>
      <c r="P81" s="178">
        <v>45839</v>
      </c>
      <c r="Q81" s="178">
        <v>45870</v>
      </c>
      <c r="R81" s="178">
        <v>45901</v>
      </c>
      <c r="S81" s="178">
        <v>45931</v>
      </c>
      <c r="T81" s="178">
        <v>45962</v>
      </c>
      <c r="U81" s="178">
        <v>45992</v>
      </c>
    </row>
    <row r="82" spans="1:21" x14ac:dyDescent="0.25">
      <c r="A82" s="11"/>
      <c r="B82" s="95" t="s">
        <v>52</v>
      </c>
      <c r="C82" s="330" t="s">
        <v>212</v>
      </c>
      <c r="D82" s="97" t="s">
        <v>53</v>
      </c>
      <c r="E82" s="98"/>
      <c r="F82" s="98"/>
      <c r="G82" s="96"/>
      <c r="H82" s="99">
        <f>SUM(J82:U82)</f>
        <v>0</v>
      </c>
      <c r="J82" s="364"/>
      <c r="K82" s="364"/>
      <c r="L82" s="364"/>
      <c r="M82" s="364"/>
      <c r="N82" s="364"/>
      <c r="O82" s="364"/>
      <c r="P82" s="364"/>
      <c r="Q82" s="364"/>
      <c r="R82" s="364"/>
      <c r="S82" s="364"/>
      <c r="T82" s="364"/>
      <c r="U82" s="365"/>
    </row>
    <row r="83" spans="1:21" x14ac:dyDescent="0.25">
      <c r="A83" s="11"/>
      <c r="B83" s="102" t="s">
        <v>227</v>
      </c>
      <c r="C83" s="331" t="s">
        <v>213</v>
      </c>
      <c r="D83" s="104" t="s">
        <v>53</v>
      </c>
      <c r="E83" s="103">
        <v>699</v>
      </c>
      <c r="F83" s="103">
        <v>3675</v>
      </c>
      <c r="G83" s="103"/>
      <c r="H83" s="99">
        <f t="shared" ref="H83:H105" si="41">SUM(J83:U83)</f>
        <v>0</v>
      </c>
      <c r="I83" s="46"/>
      <c r="J83" s="364"/>
      <c r="K83" s="364"/>
      <c r="L83" s="364"/>
      <c r="M83" s="364"/>
      <c r="N83" s="364"/>
      <c r="O83" s="364"/>
      <c r="P83" s="364"/>
      <c r="Q83" s="364"/>
      <c r="R83" s="364"/>
      <c r="S83" s="364"/>
      <c r="T83" s="364"/>
      <c r="U83" s="365"/>
    </row>
    <row r="84" spans="1:21" x14ac:dyDescent="0.25">
      <c r="A84" s="11"/>
      <c r="B84" s="102" t="s">
        <v>54</v>
      </c>
      <c r="C84" s="331" t="s">
        <v>216</v>
      </c>
      <c r="D84" s="104" t="s">
        <v>53</v>
      </c>
      <c r="E84" s="103">
        <v>699</v>
      </c>
      <c r="F84" s="103">
        <v>3691</v>
      </c>
      <c r="G84" s="103"/>
      <c r="H84" s="99">
        <f t="shared" si="41"/>
        <v>0</v>
      </c>
      <c r="I84" s="46"/>
      <c r="J84" s="364"/>
      <c r="K84" s="364"/>
      <c r="L84" s="364"/>
      <c r="M84" s="364"/>
      <c r="N84" s="364"/>
      <c r="O84" s="364"/>
      <c r="P84" s="364"/>
      <c r="Q84" s="364"/>
      <c r="R84" s="364"/>
      <c r="S84" s="364"/>
      <c r="T84" s="364"/>
      <c r="U84" s="365"/>
    </row>
    <row r="85" spans="1:21" x14ac:dyDescent="0.25">
      <c r="A85" s="11"/>
      <c r="B85" s="102" t="s">
        <v>55</v>
      </c>
      <c r="C85" s="331" t="s">
        <v>217</v>
      </c>
      <c r="D85" s="104" t="s">
        <v>53</v>
      </c>
      <c r="E85" s="103">
        <v>699</v>
      </c>
      <c r="F85" s="103">
        <v>3677</v>
      </c>
      <c r="G85" s="103"/>
      <c r="H85" s="99">
        <f t="shared" si="41"/>
        <v>0</v>
      </c>
      <c r="I85" s="46"/>
      <c r="J85" s="364"/>
      <c r="K85" s="364"/>
      <c r="L85" s="364"/>
      <c r="M85" s="364"/>
      <c r="N85" s="364"/>
      <c r="O85" s="364"/>
      <c r="P85" s="364"/>
      <c r="Q85" s="364"/>
      <c r="R85" s="364"/>
      <c r="S85" s="364"/>
      <c r="T85" s="364"/>
      <c r="U85" s="365"/>
    </row>
    <row r="86" spans="1:21" x14ac:dyDescent="0.25">
      <c r="A86" s="11"/>
      <c r="B86" s="105" t="s">
        <v>228</v>
      </c>
      <c r="C86" s="103">
        <v>721</v>
      </c>
      <c r="D86" s="104" t="s">
        <v>53</v>
      </c>
      <c r="E86" s="103">
        <v>699</v>
      </c>
      <c r="F86" s="103">
        <v>3671</v>
      </c>
      <c r="G86" s="103"/>
      <c r="H86" s="99">
        <f t="shared" si="41"/>
        <v>0</v>
      </c>
      <c r="J86" s="364"/>
      <c r="K86" s="364"/>
      <c r="L86" s="364"/>
      <c r="M86" s="364"/>
      <c r="N86" s="364"/>
      <c r="O86" s="364"/>
      <c r="P86" s="364"/>
      <c r="Q86" s="364"/>
      <c r="R86" s="364"/>
      <c r="S86" s="364"/>
      <c r="T86" s="364"/>
      <c r="U86" s="365"/>
    </row>
    <row r="87" spans="1:21" x14ac:dyDescent="0.25">
      <c r="A87" s="11"/>
      <c r="B87" s="105" t="s">
        <v>56</v>
      </c>
      <c r="C87" s="331" t="s">
        <v>218</v>
      </c>
      <c r="D87" s="104" t="s">
        <v>53</v>
      </c>
      <c r="E87" s="103">
        <v>699</v>
      </c>
      <c r="F87" s="103">
        <v>3669</v>
      </c>
      <c r="G87" s="103"/>
      <c r="H87" s="99">
        <f t="shared" si="41"/>
        <v>0</v>
      </c>
      <c r="J87" s="364"/>
      <c r="K87" s="364"/>
      <c r="L87" s="364"/>
      <c r="M87" s="364"/>
      <c r="N87" s="364"/>
      <c r="O87" s="364"/>
      <c r="P87" s="364"/>
      <c r="Q87" s="364"/>
      <c r="R87" s="364"/>
      <c r="S87" s="364"/>
      <c r="T87" s="364"/>
      <c r="U87" s="365"/>
    </row>
    <row r="88" spans="1:21" x14ac:dyDescent="0.25">
      <c r="A88" s="11"/>
      <c r="B88" s="105" t="s">
        <v>57</v>
      </c>
      <c r="C88" s="331" t="s">
        <v>219</v>
      </c>
      <c r="D88" s="104" t="s">
        <v>53</v>
      </c>
      <c r="E88" s="103">
        <v>699</v>
      </c>
      <c r="F88" s="103">
        <v>3665</v>
      </c>
      <c r="G88" s="103"/>
      <c r="H88" s="99">
        <f t="shared" si="41"/>
        <v>0</v>
      </c>
      <c r="J88" s="364"/>
      <c r="K88" s="364"/>
      <c r="L88" s="364"/>
      <c r="M88" s="364"/>
      <c r="N88" s="364"/>
      <c r="O88" s="364"/>
      <c r="P88" s="364"/>
      <c r="Q88" s="364"/>
      <c r="R88" s="364"/>
      <c r="S88" s="364"/>
      <c r="T88" s="364"/>
      <c r="U88" s="365"/>
    </row>
    <row r="89" spans="1:21" x14ac:dyDescent="0.25">
      <c r="A89" s="11"/>
      <c r="B89" s="105" t="s">
        <v>229</v>
      </c>
      <c r="C89" s="331" t="s">
        <v>215</v>
      </c>
      <c r="D89" s="104" t="s">
        <v>53</v>
      </c>
      <c r="E89" s="103">
        <v>699</v>
      </c>
      <c r="F89" s="103">
        <v>3963</v>
      </c>
      <c r="G89" s="103"/>
      <c r="H89" s="99">
        <f t="shared" si="41"/>
        <v>0</v>
      </c>
      <c r="J89" s="364"/>
      <c r="K89" s="364"/>
      <c r="L89" s="364"/>
      <c r="M89" s="364"/>
      <c r="N89" s="364"/>
      <c r="O89" s="364"/>
      <c r="P89" s="364"/>
      <c r="Q89" s="364"/>
      <c r="R89" s="364"/>
      <c r="S89" s="364"/>
      <c r="T89" s="364"/>
      <c r="U89" s="365"/>
    </row>
    <row r="90" spans="1:21" x14ac:dyDescent="0.25">
      <c r="A90" s="11"/>
      <c r="B90" s="105" t="s">
        <v>238</v>
      </c>
      <c r="C90" s="331" t="s">
        <v>214</v>
      </c>
      <c r="D90" s="332" t="s">
        <v>59</v>
      </c>
      <c r="E90" s="103"/>
      <c r="F90" s="103"/>
      <c r="G90" s="103"/>
      <c r="H90" s="99">
        <f t="shared" si="41"/>
        <v>0</v>
      </c>
      <c r="J90" s="364"/>
      <c r="K90" s="364"/>
      <c r="L90" s="364"/>
      <c r="M90" s="364"/>
      <c r="N90" s="364"/>
      <c r="O90" s="364"/>
      <c r="P90" s="364"/>
      <c r="Q90" s="364"/>
      <c r="R90" s="364"/>
      <c r="S90" s="364"/>
      <c r="T90" s="364"/>
      <c r="U90" s="365"/>
    </row>
    <row r="91" spans="1:21" x14ac:dyDescent="0.25">
      <c r="A91" s="11"/>
      <c r="B91" s="105" t="s">
        <v>225</v>
      </c>
      <c r="C91" s="103">
        <v>720</v>
      </c>
      <c r="D91" s="332" t="s">
        <v>59</v>
      </c>
      <c r="E91" s="103"/>
      <c r="F91" s="103"/>
      <c r="G91" s="103"/>
      <c r="H91" s="99">
        <f t="shared" si="41"/>
        <v>0</v>
      </c>
      <c r="I91" s="46"/>
      <c r="J91" s="47">
        <f>J115</f>
        <v>0</v>
      </c>
      <c r="K91" s="47">
        <f t="shared" ref="K91:U91" si="42">K115</f>
        <v>0</v>
      </c>
      <c r="L91" s="47">
        <f t="shared" si="42"/>
        <v>0</v>
      </c>
      <c r="M91" s="47">
        <f t="shared" si="42"/>
        <v>0</v>
      </c>
      <c r="N91" s="47">
        <f t="shared" si="42"/>
        <v>0</v>
      </c>
      <c r="O91" s="47">
        <f t="shared" si="42"/>
        <v>0</v>
      </c>
      <c r="P91" s="47">
        <f t="shared" si="42"/>
        <v>0</v>
      </c>
      <c r="Q91" s="47">
        <f t="shared" si="42"/>
        <v>0</v>
      </c>
      <c r="R91" s="47">
        <f t="shared" si="42"/>
        <v>0</v>
      </c>
      <c r="S91" s="47">
        <f t="shared" si="42"/>
        <v>0</v>
      </c>
      <c r="T91" s="47">
        <f t="shared" si="42"/>
        <v>0</v>
      </c>
      <c r="U91" s="48">
        <f t="shared" si="42"/>
        <v>0</v>
      </c>
    </row>
    <row r="92" spans="1:21" x14ac:dyDescent="0.25">
      <c r="A92" s="11"/>
      <c r="B92" s="105" t="s">
        <v>226</v>
      </c>
      <c r="C92" s="103">
        <v>720</v>
      </c>
      <c r="D92" s="332" t="s">
        <v>59</v>
      </c>
      <c r="E92" s="103"/>
      <c r="F92" s="103"/>
      <c r="G92" s="103"/>
      <c r="H92" s="99">
        <f t="shared" si="41"/>
        <v>0</v>
      </c>
      <c r="I92" s="46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8"/>
    </row>
    <row r="93" spans="1:21" x14ac:dyDescent="0.25">
      <c r="A93" s="11"/>
      <c r="B93" s="105" t="s">
        <v>205</v>
      </c>
      <c r="C93" s="103">
        <v>720</v>
      </c>
      <c r="D93" s="332" t="s">
        <v>59</v>
      </c>
      <c r="E93" s="103"/>
      <c r="F93" s="103"/>
      <c r="G93" s="103"/>
      <c r="H93" s="99">
        <f t="shared" si="41"/>
        <v>0</v>
      </c>
      <c r="I93" s="46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8"/>
    </row>
    <row r="94" spans="1:21" x14ac:dyDescent="0.25">
      <c r="A94" s="11"/>
      <c r="B94" s="105" t="s">
        <v>60</v>
      </c>
      <c r="C94" s="331" t="s">
        <v>194</v>
      </c>
      <c r="D94" s="332" t="s">
        <v>59</v>
      </c>
      <c r="E94" s="103"/>
      <c r="F94" s="103"/>
      <c r="G94" s="103"/>
      <c r="H94" s="99">
        <f t="shared" si="41"/>
        <v>0</v>
      </c>
      <c r="J94" s="47">
        <f>J119</f>
        <v>0</v>
      </c>
      <c r="K94" s="47">
        <f t="shared" ref="K94:U94" si="43">K119</f>
        <v>0</v>
      </c>
      <c r="L94" s="47">
        <f t="shared" si="43"/>
        <v>0</v>
      </c>
      <c r="M94" s="47">
        <f t="shared" si="43"/>
        <v>0</v>
      </c>
      <c r="N94" s="47">
        <f t="shared" si="43"/>
        <v>0</v>
      </c>
      <c r="O94" s="47">
        <f t="shared" si="43"/>
        <v>0</v>
      </c>
      <c r="P94" s="47">
        <f t="shared" si="43"/>
        <v>0</v>
      </c>
      <c r="Q94" s="47">
        <f t="shared" si="43"/>
        <v>0</v>
      </c>
      <c r="R94" s="47">
        <f t="shared" si="43"/>
        <v>0</v>
      </c>
      <c r="S94" s="47">
        <f t="shared" si="43"/>
        <v>0</v>
      </c>
      <c r="T94" s="47">
        <f t="shared" si="43"/>
        <v>0</v>
      </c>
      <c r="U94" s="48">
        <f t="shared" si="43"/>
        <v>0</v>
      </c>
    </row>
    <row r="95" spans="1:21" x14ac:dyDescent="0.25">
      <c r="A95" s="11"/>
      <c r="B95" s="105" t="s">
        <v>80</v>
      </c>
      <c r="C95" s="331" t="s">
        <v>194</v>
      </c>
      <c r="D95" s="332" t="s">
        <v>59</v>
      </c>
      <c r="E95" s="103"/>
      <c r="F95" s="103"/>
      <c r="G95" s="103"/>
      <c r="H95" s="99">
        <f t="shared" si="41"/>
        <v>0</v>
      </c>
      <c r="J95" s="47">
        <f>J120</f>
        <v>0</v>
      </c>
      <c r="K95" s="47">
        <f t="shared" ref="K95:U95" si="44">K120</f>
        <v>0</v>
      </c>
      <c r="L95" s="47">
        <f t="shared" si="44"/>
        <v>0</v>
      </c>
      <c r="M95" s="47">
        <f t="shared" si="44"/>
        <v>0</v>
      </c>
      <c r="N95" s="47">
        <f t="shared" si="44"/>
        <v>0</v>
      </c>
      <c r="O95" s="47">
        <f t="shared" si="44"/>
        <v>0</v>
      </c>
      <c r="P95" s="47">
        <f t="shared" si="44"/>
        <v>0</v>
      </c>
      <c r="Q95" s="47">
        <f t="shared" si="44"/>
        <v>0</v>
      </c>
      <c r="R95" s="47">
        <f t="shared" si="44"/>
        <v>0</v>
      </c>
      <c r="S95" s="47">
        <f t="shared" si="44"/>
        <v>0</v>
      </c>
      <c r="T95" s="47">
        <f t="shared" si="44"/>
        <v>0</v>
      </c>
      <c r="U95" s="48">
        <f t="shared" si="44"/>
        <v>0</v>
      </c>
    </row>
    <row r="96" spans="1:21" x14ac:dyDescent="0.25">
      <c r="A96" s="11"/>
      <c r="B96" s="105" t="s">
        <v>230</v>
      </c>
      <c r="C96" s="104">
        <v>305</v>
      </c>
      <c r="D96" s="332" t="s">
        <v>61</v>
      </c>
      <c r="E96" s="103"/>
      <c r="F96" s="103"/>
      <c r="G96" s="103"/>
      <c r="H96" s="99">
        <f t="shared" si="41"/>
        <v>0</v>
      </c>
      <c r="J96" s="364"/>
      <c r="K96" s="364"/>
      <c r="L96" s="364"/>
      <c r="M96" s="364"/>
      <c r="N96" s="364"/>
      <c r="O96" s="364"/>
      <c r="P96" s="364"/>
      <c r="Q96" s="364"/>
      <c r="R96" s="364"/>
      <c r="S96" s="364"/>
      <c r="T96" s="364"/>
      <c r="U96" s="365"/>
    </row>
    <row r="97" spans="1:23" x14ac:dyDescent="0.25">
      <c r="A97" s="11"/>
      <c r="B97" s="105" t="s">
        <v>231</v>
      </c>
      <c r="C97" s="104">
        <v>306</v>
      </c>
      <c r="D97" s="332" t="s">
        <v>61</v>
      </c>
      <c r="E97" s="4"/>
      <c r="F97" s="103"/>
      <c r="G97" s="103"/>
      <c r="H97" s="99">
        <f t="shared" si="41"/>
        <v>0</v>
      </c>
      <c r="J97" s="364"/>
      <c r="K97" s="364"/>
      <c r="L97" s="364"/>
      <c r="M97" s="364"/>
      <c r="N97" s="364"/>
      <c r="O97" s="364"/>
      <c r="P97" s="364"/>
      <c r="Q97" s="364"/>
      <c r="R97" s="364"/>
      <c r="S97" s="364"/>
      <c r="T97" s="364"/>
      <c r="U97" s="365"/>
    </row>
    <row r="98" spans="1:23" x14ac:dyDescent="0.25">
      <c r="A98" s="11"/>
      <c r="B98" s="105" t="s">
        <v>232</v>
      </c>
      <c r="C98" s="334" t="s">
        <v>195</v>
      </c>
      <c r="D98" s="332" t="s">
        <v>62</v>
      </c>
      <c r="E98" s="103"/>
      <c r="F98" s="103"/>
      <c r="G98" s="103"/>
      <c r="H98" s="99">
        <f t="shared" si="41"/>
        <v>0</v>
      </c>
      <c r="J98" s="364"/>
      <c r="K98" s="364"/>
      <c r="L98" s="364"/>
      <c r="M98" s="364"/>
      <c r="N98" s="364"/>
      <c r="O98" s="364"/>
      <c r="P98" s="364"/>
      <c r="Q98" s="364"/>
      <c r="R98" s="364"/>
      <c r="S98" s="364"/>
      <c r="T98" s="364"/>
      <c r="U98" s="365"/>
    </row>
    <row r="99" spans="1:23" x14ac:dyDescent="0.25">
      <c r="A99" s="11"/>
      <c r="B99" s="105" t="s">
        <v>233</v>
      </c>
      <c r="C99" s="334" t="s">
        <v>196</v>
      </c>
      <c r="D99" s="332" t="s">
        <v>62</v>
      </c>
      <c r="E99" s="103"/>
      <c r="F99" s="103"/>
      <c r="G99" s="103"/>
      <c r="H99" s="99">
        <f t="shared" si="41"/>
        <v>0</v>
      </c>
      <c r="J99" s="364"/>
      <c r="K99" s="364"/>
      <c r="L99" s="364"/>
      <c r="M99" s="364"/>
      <c r="N99" s="364"/>
      <c r="O99" s="364"/>
      <c r="P99" s="364"/>
      <c r="Q99" s="364"/>
      <c r="R99" s="364"/>
      <c r="S99" s="364"/>
      <c r="T99" s="364"/>
      <c r="U99" s="365"/>
    </row>
    <row r="100" spans="1:23" x14ac:dyDescent="0.25">
      <c r="A100" s="11"/>
      <c r="B100" s="105" t="s">
        <v>235</v>
      </c>
      <c r="C100" s="334" t="s">
        <v>197</v>
      </c>
      <c r="D100" s="332" t="s">
        <v>63</v>
      </c>
      <c r="E100" s="103"/>
      <c r="F100" s="103"/>
      <c r="G100" s="103"/>
      <c r="H100" s="99">
        <f>SUM(J100:U100)</f>
        <v>0</v>
      </c>
      <c r="J100" s="364"/>
      <c r="K100" s="364"/>
      <c r="L100" s="364"/>
      <c r="M100" s="364"/>
      <c r="N100" s="364"/>
      <c r="O100" s="364"/>
      <c r="P100" s="364"/>
      <c r="Q100" s="364"/>
      <c r="R100" s="364"/>
      <c r="S100" s="364"/>
      <c r="T100" s="364"/>
      <c r="U100" s="365"/>
    </row>
    <row r="101" spans="1:23" x14ac:dyDescent="0.25">
      <c r="A101" s="11"/>
      <c r="B101" s="105" t="s">
        <v>64</v>
      </c>
      <c r="C101" s="334" t="s">
        <v>198</v>
      </c>
      <c r="D101" s="332" t="s">
        <v>63</v>
      </c>
      <c r="E101" s="104"/>
      <c r="F101" s="103"/>
      <c r="G101" s="400" t="e">
        <f>H101/$W$16</f>
        <v>#DIV/0!</v>
      </c>
      <c r="H101" s="99">
        <f>SUM(J101:U101)</f>
        <v>0</v>
      </c>
      <c r="J101" s="364"/>
      <c r="K101" s="364"/>
      <c r="L101" s="364"/>
      <c r="M101" s="364"/>
      <c r="N101" s="364"/>
      <c r="O101" s="364"/>
      <c r="P101" s="364"/>
      <c r="Q101" s="364"/>
      <c r="R101" s="364"/>
      <c r="S101" s="364"/>
      <c r="T101" s="364"/>
      <c r="U101" s="365"/>
    </row>
    <row r="102" spans="1:23" x14ac:dyDescent="0.25">
      <c r="A102" s="11"/>
      <c r="B102" s="105" t="s">
        <v>65</v>
      </c>
      <c r="C102" s="334" t="s">
        <v>199</v>
      </c>
      <c r="D102" s="332" t="s">
        <v>63</v>
      </c>
      <c r="E102" s="104">
        <v>365</v>
      </c>
      <c r="F102" s="103"/>
      <c r="G102" s="103"/>
      <c r="H102" s="99">
        <f t="shared" si="41"/>
        <v>0</v>
      </c>
      <c r="J102" s="364"/>
      <c r="K102" s="364"/>
      <c r="L102" s="364"/>
      <c r="M102" s="364"/>
      <c r="N102" s="364"/>
      <c r="O102" s="364"/>
      <c r="P102" s="364"/>
      <c r="Q102" s="364"/>
      <c r="R102" s="364"/>
      <c r="S102" s="364"/>
      <c r="T102" s="364"/>
      <c r="U102" s="365"/>
    </row>
    <row r="103" spans="1:23" x14ac:dyDescent="0.25">
      <c r="A103" s="11"/>
      <c r="B103" s="105" t="s">
        <v>66</v>
      </c>
      <c r="C103" s="334" t="s">
        <v>200</v>
      </c>
      <c r="D103" s="332" t="s">
        <v>67</v>
      </c>
      <c r="E103" s="103">
        <v>338</v>
      </c>
      <c r="F103" s="103"/>
      <c r="G103" s="398">
        <v>0.33</v>
      </c>
      <c r="H103" s="99">
        <f t="shared" si="41"/>
        <v>0</v>
      </c>
      <c r="I103" s="46"/>
      <c r="J103" s="47">
        <f>$G$103*J16</f>
        <v>0</v>
      </c>
      <c r="K103" s="47">
        <f t="shared" ref="K103:U103" si="45">$G$103*K16</f>
        <v>0</v>
      </c>
      <c r="L103" s="47">
        <f t="shared" si="45"/>
        <v>0</v>
      </c>
      <c r="M103" s="47">
        <f t="shared" si="45"/>
        <v>0</v>
      </c>
      <c r="N103" s="47">
        <f t="shared" si="45"/>
        <v>0</v>
      </c>
      <c r="O103" s="47">
        <f t="shared" si="45"/>
        <v>0</v>
      </c>
      <c r="P103" s="47">
        <f t="shared" si="45"/>
        <v>0</v>
      </c>
      <c r="Q103" s="47">
        <f t="shared" si="45"/>
        <v>0</v>
      </c>
      <c r="R103" s="47">
        <f t="shared" si="45"/>
        <v>0</v>
      </c>
      <c r="S103" s="47">
        <f t="shared" si="45"/>
        <v>0</v>
      </c>
      <c r="T103" s="47">
        <f t="shared" si="45"/>
        <v>0</v>
      </c>
      <c r="U103" s="48">
        <f t="shared" si="45"/>
        <v>0</v>
      </c>
    </row>
    <row r="104" spans="1:23" x14ac:dyDescent="0.25">
      <c r="A104" s="11"/>
      <c r="B104" s="105" t="s">
        <v>234</v>
      </c>
      <c r="C104" s="104">
        <v>351</v>
      </c>
      <c r="D104" s="332" t="s">
        <v>67</v>
      </c>
      <c r="E104" s="103">
        <v>324</v>
      </c>
      <c r="F104" s="103"/>
      <c r="G104" s="399">
        <v>1.6000000000000001E-3</v>
      </c>
      <c r="H104" s="99">
        <f>SUM(J104:U104)</f>
        <v>0</v>
      </c>
      <c r="J104" s="47">
        <f>$G$104*J46/100</f>
        <v>0</v>
      </c>
      <c r="K104" s="47">
        <f t="shared" ref="K104:U104" si="46">$G$104*K46/100</f>
        <v>0</v>
      </c>
      <c r="L104" s="47">
        <f t="shared" si="46"/>
        <v>0</v>
      </c>
      <c r="M104" s="47">
        <f t="shared" si="46"/>
        <v>0</v>
      </c>
      <c r="N104" s="47">
        <f t="shared" si="46"/>
        <v>0</v>
      </c>
      <c r="O104" s="47">
        <f t="shared" si="46"/>
        <v>0</v>
      </c>
      <c r="P104" s="47">
        <f t="shared" si="46"/>
        <v>0</v>
      </c>
      <c r="Q104" s="47">
        <f t="shared" si="46"/>
        <v>0</v>
      </c>
      <c r="R104" s="47">
        <f t="shared" si="46"/>
        <v>0</v>
      </c>
      <c r="S104" s="47">
        <f t="shared" si="46"/>
        <v>0</v>
      </c>
      <c r="T104" s="47">
        <f t="shared" si="46"/>
        <v>0</v>
      </c>
      <c r="U104" s="48">
        <f t="shared" si="46"/>
        <v>0</v>
      </c>
    </row>
    <row r="105" spans="1:23" ht="15.75" thickBot="1" x14ac:dyDescent="0.3">
      <c r="A105" s="11"/>
      <c r="B105" s="106" t="s">
        <v>68</v>
      </c>
      <c r="C105" s="333" t="s">
        <v>201</v>
      </c>
      <c r="D105" s="335" t="s">
        <v>67</v>
      </c>
      <c r="E105" s="108"/>
      <c r="F105" s="108"/>
      <c r="G105" s="398">
        <v>3.75</v>
      </c>
      <c r="H105" s="99">
        <f t="shared" si="41"/>
        <v>0</v>
      </c>
      <c r="J105" s="350">
        <f>$G$105*J16</f>
        <v>0</v>
      </c>
      <c r="K105" s="350">
        <f t="shared" ref="K105:U105" si="47">$G$105*K16</f>
        <v>0</v>
      </c>
      <c r="L105" s="350">
        <f t="shared" si="47"/>
        <v>0</v>
      </c>
      <c r="M105" s="350">
        <f t="shared" si="47"/>
        <v>0</v>
      </c>
      <c r="N105" s="350">
        <f t="shared" si="47"/>
        <v>0</v>
      </c>
      <c r="O105" s="350">
        <f t="shared" si="47"/>
        <v>0</v>
      </c>
      <c r="P105" s="350">
        <f t="shared" si="47"/>
        <v>0</v>
      </c>
      <c r="Q105" s="350">
        <f t="shared" si="47"/>
        <v>0</v>
      </c>
      <c r="R105" s="350">
        <f t="shared" si="47"/>
        <v>0</v>
      </c>
      <c r="S105" s="350">
        <f t="shared" si="47"/>
        <v>0</v>
      </c>
      <c r="T105" s="350">
        <f t="shared" si="47"/>
        <v>0</v>
      </c>
      <c r="U105" s="351">
        <f t="shared" si="47"/>
        <v>0</v>
      </c>
    </row>
    <row r="106" spans="1:23" x14ac:dyDescent="0.25">
      <c r="B106" s="11"/>
      <c r="U106" s="109"/>
    </row>
    <row r="107" spans="1:23" ht="15.75" thickBot="1" x14ac:dyDescent="0.3">
      <c r="A107" s="11"/>
      <c r="B107" s="110" t="s">
        <v>69</v>
      </c>
      <c r="C107" s="33"/>
      <c r="D107" s="33"/>
      <c r="E107" s="33"/>
      <c r="F107" s="33"/>
      <c r="G107" s="111" t="e">
        <f>H107/B127</f>
        <v>#DIV/0!</v>
      </c>
      <c r="H107" s="64">
        <f>SUM(H82:H105)</f>
        <v>0</v>
      </c>
      <c r="I107" s="112"/>
      <c r="J107" s="64">
        <f t="shared" ref="J107:U107" si="48">SUM(J82:J105)</f>
        <v>0</v>
      </c>
      <c r="K107" s="64">
        <f t="shared" si="48"/>
        <v>0</v>
      </c>
      <c r="L107" s="64">
        <f t="shared" si="48"/>
        <v>0</v>
      </c>
      <c r="M107" s="64">
        <f t="shared" si="48"/>
        <v>0</v>
      </c>
      <c r="N107" s="64">
        <f t="shared" si="48"/>
        <v>0</v>
      </c>
      <c r="O107" s="64">
        <f t="shared" si="48"/>
        <v>0</v>
      </c>
      <c r="P107" s="64">
        <f t="shared" si="48"/>
        <v>0</v>
      </c>
      <c r="Q107" s="64">
        <f t="shared" si="48"/>
        <v>0</v>
      </c>
      <c r="R107" s="64">
        <f t="shared" si="48"/>
        <v>0</v>
      </c>
      <c r="S107" s="64">
        <f t="shared" si="48"/>
        <v>0</v>
      </c>
      <c r="T107" s="64">
        <f t="shared" si="48"/>
        <v>0</v>
      </c>
      <c r="U107" s="66">
        <f t="shared" si="48"/>
        <v>0</v>
      </c>
    </row>
    <row r="108" spans="1:23" ht="15.75" thickBot="1" x14ac:dyDescent="0.3"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</row>
    <row r="109" spans="1:23" ht="16.5" thickTop="1" thickBot="1" x14ac:dyDescent="0.3">
      <c r="B109" s="113" t="s">
        <v>70</v>
      </c>
      <c r="C109" s="114"/>
      <c r="D109" s="114"/>
      <c r="E109" s="114"/>
      <c r="F109" s="114"/>
      <c r="G109" s="115"/>
      <c r="H109" s="116">
        <f>H51+H78+H107</f>
        <v>0</v>
      </c>
      <c r="I109" s="115"/>
      <c r="J109" s="116">
        <f t="shared" ref="J109:U109" si="49">J51+J78+J107</f>
        <v>0</v>
      </c>
      <c r="K109" s="116">
        <f t="shared" si="49"/>
        <v>0</v>
      </c>
      <c r="L109" s="116">
        <f t="shared" si="49"/>
        <v>0</v>
      </c>
      <c r="M109" s="116">
        <f t="shared" si="49"/>
        <v>0</v>
      </c>
      <c r="N109" s="116">
        <f t="shared" si="49"/>
        <v>0</v>
      </c>
      <c r="O109" s="116">
        <f t="shared" si="49"/>
        <v>0</v>
      </c>
      <c r="P109" s="116">
        <f t="shared" si="49"/>
        <v>0</v>
      </c>
      <c r="Q109" s="116">
        <f t="shared" si="49"/>
        <v>0</v>
      </c>
      <c r="R109" s="116">
        <f t="shared" si="49"/>
        <v>0</v>
      </c>
      <c r="S109" s="116">
        <f t="shared" si="49"/>
        <v>0</v>
      </c>
      <c r="T109" s="116">
        <f t="shared" si="49"/>
        <v>0</v>
      </c>
      <c r="U109" s="117">
        <f t="shared" si="49"/>
        <v>0</v>
      </c>
      <c r="W109" s="67">
        <f>SUM(J109:U109)</f>
        <v>0</v>
      </c>
    </row>
    <row r="110" spans="1:23" ht="15.75" thickBot="1" x14ac:dyDescent="0.3"/>
    <row r="111" spans="1:23" ht="16.5" thickTop="1" thickBot="1" x14ac:dyDescent="0.3">
      <c r="B111" s="113" t="s">
        <v>71</v>
      </c>
      <c r="C111" s="114"/>
      <c r="D111" s="114"/>
      <c r="E111" s="114"/>
      <c r="F111" s="114"/>
      <c r="G111" s="114"/>
      <c r="H111" s="116">
        <f>H46-H109</f>
        <v>0</v>
      </c>
      <c r="I111" s="115"/>
      <c r="J111" s="116">
        <f t="shared" ref="J111:U111" si="50">J46-J109</f>
        <v>0</v>
      </c>
      <c r="K111" s="116">
        <f t="shared" si="50"/>
        <v>0</v>
      </c>
      <c r="L111" s="116">
        <f t="shared" si="50"/>
        <v>0</v>
      </c>
      <c r="M111" s="116">
        <f t="shared" si="50"/>
        <v>0</v>
      </c>
      <c r="N111" s="116">
        <f t="shared" si="50"/>
        <v>0</v>
      </c>
      <c r="O111" s="116">
        <f t="shared" si="50"/>
        <v>0</v>
      </c>
      <c r="P111" s="116">
        <f t="shared" si="50"/>
        <v>0</v>
      </c>
      <c r="Q111" s="116">
        <f t="shared" si="50"/>
        <v>0</v>
      </c>
      <c r="R111" s="116">
        <f t="shared" si="50"/>
        <v>0</v>
      </c>
      <c r="S111" s="116">
        <f t="shared" si="50"/>
        <v>0</v>
      </c>
      <c r="T111" s="116">
        <f t="shared" si="50"/>
        <v>0</v>
      </c>
      <c r="U111" s="117">
        <f t="shared" si="50"/>
        <v>0</v>
      </c>
      <c r="W111" s="67">
        <f>SUM(J111:U111)</f>
        <v>0</v>
      </c>
    </row>
    <row r="112" spans="1:23" ht="15.75" thickBot="1" x14ac:dyDescent="0.3"/>
    <row r="113" spans="2:21" x14ac:dyDescent="0.25">
      <c r="B113" s="71" t="s">
        <v>72</v>
      </c>
      <c r="C113" s="80" t="s">
        <v>44</v>
      </c>
      <c r="D113" s="42" t="s">
        <v>220</v>
      </c>
      <c r="E113" s="42" t="s">
        <v>203</v>
      </c>
      <c r="F113" s="42" t="s">
        <v>240</v>
      </c>
      <c r="G113" s="42" t="s">
        <v>239</v>
      </c>
      <c r="H113" s="9"/>
      <c r="I113" s="118"/>
      <c r="J113" s="448" t="s">
        <v>73</v>
      </c>
      <c r="K113" s="448"/>
      <c r="L113" s="448"/>
      <c r="M113" s="448"/>
      <c r="N113" s="448"/>
      <c r="O113" s="448"/>
      <c r="P113" s="448"/>
      <c r="Q113" s="448"/>
      <c r="R113" s="448"/>
      <c r="S113" s="448"/>
      <c r="T113" s="448"/>
      <c r="U113" s="449"/>
    </row>
    <row r="114" spans="2:21" x14ac:dyDescent="0.25">
      <c r="B114" s="119" t="s">
        <v>74</v>
      </c>
      <c r="C114" s="340">
        <v>720</v>
      </c>
      <c r="D114" s="120" t="s">
        <v>59</v>
      </c>
      <c r="E114" s="121" t="s">
        <v>75</v>
      </c>
      <c r="F114" s="401"/>
      <c r="G114" s="345"/>
      <c r="H114" s="345">
        <f t="shared" ref="H114" si="51">SUM(J114:U114)</f>
        <v>0</v>
      </c>
      <c r="J114" s="366"/>
      <c r="K114" s="366"/>
      <c r="L114" s="366"/>
      <c r="M114" s="366"/>
      <c r="N114" s="366"/>
      <c r="O114" s="366"/>
      <c r="P114" s="366"/>
      <c r="Q114" s="366"/>
      <c r="R114" s="366"/>
      <c r="S114" s="366"/>
      <c r="T114" s="366"/>
      <c r="U114" s="367"/>
    </row>
    <row r="115" spans="2:21" x14ac:dyDescent="0.25">
      <c r="B115" s="119" t="s">
        <v>76</v>
      </c>
      <c r="C115" s="340">
        <v>720</v>
      </c>
      <c r="D115" s="120" t="s">
        <v>59</v>
      </c>
      <c r="E115" s="121" t="s">
        <v>75</v>
      </c>
      <c r="F115" s="401"/>
      <c r="G115" s="345" t="e">
        <f>H115/F115</f>
        <v>#DIV/0!</v>
      </c>
      <c r="H115" s="345">
        <f>SUM(J115:U115)</f>
        <v>0</v>
      </c>
      <c r="J115" s="366"/>
      <c r="K115" s="366"/>
      <c r="L115" s="366"/>
      <c r="M115" s="366"/>
      <c r="N115" s="366"/>
      <c r="O115" s="366"/>
      <c r="P115" s="366"/>
      <c r="Q115" s="366"/>
      <c r="R115" s="366"/>
      <c r="S115" s="366"/>
      <c r="T115" s="366"/>
      <c r="U115" s="368"/>
    </row>
    <row r="116" spans="2:21" x14ac:dyDescent="0.25">
      <c r="B116" s="119" t="s">
        <v>77</v>
      </c>
      <c r="C116" s="340">
        <v>720</v>
      </c>
      <c r="D116" s="120" t="s">
        <v>59</v>
      </c>
      <c r="E116" s="121" t="s">
        <v>75</v>
      </c>
      <c r="F116" s="401"/>
      <c r="G116" s="345"/>
      <c r="H116" s="345">
        <f t="shared" ref="H116:H122" si="52">SUM(J116:U116)</f>
        <v>0</v>
      </c>
      <c r="J116" s="366"/>
      <c r="K116" s="366"/>
      <c r="L116" s="366"/>
      <c r="M116" s="366"/>
      <c r="N116" s="366"/>
      <c r="O116" s="366"/>
      <c r="P116" s="366"/>
      <c r="Q116" s="366"/>
      <c r="R116" s="366"/>
      <c r="S116" s="366"/>
      <c r="T116" s="366"/>
      <c r="U116" s="368"/>
    </row>
    <row r="117" spans="2:21" x14ac:dyDescent="0.25">
      <c r="B117" s="119" t="s">
        <v>78</v>
      </c>
      <c r="C117" s="340">
        <v>720</v>
      </c>
      <c r="D117" s="120" t="s">
        <v>59</v>
      </c>
      <c r="E117" s="121" t="s">
        <v>75</v>
      </c>
      <c r="F117" s="401"/>
      <c r="G117" s="345"/>
      <c r="H117" s="345">
        <f t="shared" si="52"/>
        <v>0</v>
      </c>
      <c r="J117" s="366"/>
      <c r="K117" s="366"/>
      <c r="L117" s="366"/>
      <c r="M117" s="366"/>
      <c r="N117" s="366"/>
      <c r="O117" s="366"/>
      <c r="P117" s="366"/>
      <c r="Q117" s="366"/>
      <c r="R117" s="366"/>
      <c r="S117" s="366"/>
      <c r="T117" s="366"/>
      <c r="U117" s="368"/>
    </row>
    <row r="118" spans="2:21" x14ac:dyDescent="0.25">
      <c r="B118" s="119" t="s">
        <v>205</v>
      </c>
      <c r="C118" s="340">
        <v>720</v>
      </c>
      <c r="D118" s="120" t="s">
        <v>59</v>
      </c>
      <c r="E118" s="121" t="s">
        <v>206</v>
      </c>
      <c r="F118" s="401"/>
      <c r="G118" s="345"/>
      <c r="H118" s="345">
        <f>SUM(J118:U118)</f>
        <v>0</v>
      </c>
      <c r="J118" s="366"/>
      <c r="K118" s="366"/>
      <c r="L118" s="366"/>
      <c r="M118" s="366"/>
      <c r="N118" s="366"/>
      <c r="O118" s="366"/>
      <c r="P118" s="366"/>
      <c r="Q118" s="366"/>
      <c r="R118" s="366"/>
      <c r="S118" s="366"/>
      <c r="T118" s="366"/>
      <c r="U118" s="368"/>
    </row>
    <row r="119" spans="2:21" x14ac:dyDescent="0.25">
      <c r="B119" s="119" t="s">
        <v>60</v>
      </c>
      <c r="C119" s="341" t="s">
        <v>194</v>
      </c>
      <c r="D119" s="120" t="s">
        <v>59</v>
      </c>
      <c r="E119" s="121" t="s">
        <v>79</v>
      </c>
      <c r="F119" s="401"/>
      <c r="G119" s="345" t="e">
        <f>H119/F119</f>
        <v>#DIV/0!</v>
      </c>
      <c r="H119" s="345">
        <f t="shared" si="52"/>
        <v>0</v>
      </c>
      <c r="J119" s="366"/>
      <c r="K119" s="366"/>
      <c r="L119" s="366"/>
      <c r="M119" s="366"/>
      <c r="N119" s="366"/>
      <c r="O119" s="366"/>
      <c r="P119" s="366"/>
      <c r="Q119" s="366"/>
      <c r="R119" s="366"/>
      <c r="S119" s="366"/>
      <c r="T119" s="366"/>
      <c r="U119" s="368"/>
    </row>
    <row r="120" spans="2:21" x14ac:dyDescent="0.25">
      <c r="B120" s="119" t="s">
        <v>80</v>
      </c>
      <c r="C120" s="341" t="s">
        <v>194</v>
      </c>
      <c r="D120" s="120" t="s">
        <v>59</v>
      </c>
      <c r="E120" s="121" t="s">
        <v>81</v>
      </c>
      <c r="F120" s="401"/>
      <c r="G120" s="345" t="e">
        <f>H120/F120</f>
        <v>#DIV/0!</v>
      </c>
      <c r="H120" s="345">
        <f t="shared" si="52"/>
        <v>0</v>
      </c>
      <c r="J120" s="366"/>
      <c r="K120" s="366"/>
      <c r="L120" s="366"/>
      <c r="M120" s="366"/>
      <c r="N120" s="366"/>
      <c r="O120" s="366"/>
      <c r="P120" s="366"/>
      <c r="Q120" s="366"/>
      <c r="R120" s="366"/>
      <c r="S120" s="366"/>
      <c r="T120" s="366"/>
      <c r="U120" s="368"/>
    </row>
    <row r="121" spans="2:21" x14ac:dyDescent="0.25">
      <c r="B121" s="336" t="s">
        <v>237</v>
      </c>
      <c r="C121" s="342" t="s">
        <v>195</v>
      </c>
      <c r="D121" s="337" t="s">
        <v>62</v>
      </c>
      <c r="E121" s="338" t="s">
        <v>79</v>
      </c>
      <c r="F121" s="402"/>
      <c r="G121" s="345"/>
      <c r="H121" s="345">
        <f t="shared" si="52"/>
        <v>0</v>
      </c>
      <c r="J121" s="366"/>
      <c r="K121" s="366"/>
      <c r="L121" s="366"/>
      <c r="M121" s="366"/>
      <c r="N121" s="366"/>
      <c r="O121" s="366"/>
      <c r="P121" s="366"/>
      <c r="Q121" s="366"/>
      <c r="R121" s="366"/>
      <c r="S121" s="366"/>
      <c r="T121" s="366"/>
      <c r="U121" s="369"/>
    </row>
    <row r="122" spans="2:21" ht="15.75" thickBot="1" x14ac:dyDescent="0.3">
      <c r="B122" s="125" t="s">
        <v>236</v>
      </c>
      <c r="C122" s="343" t="s">
        <v>195</v>
      </c>
      <c r="D122" s="126" t="s">
        <v>62</v>
      </c>
      <c r="E122" s="127" t="s">
        <v>81</v>
      </c>
      <c r="F122" s="403"/>
      <c r="G122" s="346"/>
      <c r="H122" s="346">
        <f t="shared" si="52"/>
        <v>0</v>
      </c>
      <c r="I122" s="33"/>
      <c r="J122" s="370"/>
      <c r="K122" s="370"/>
      <c r="L122" s="370"/>
      <c r="M122" s="370"/>
      <c r="N122" s="370"/>
      <c r="O122" s="370"/>
      <c r="P122" s="370"/>
      <c r="Q122" s="370"/>
      <c r="R122" s="370"/>
      <c r="S122" s="370"/>
      <c r="T122" s="370"/>
      <c r="U122" s="371"/>
    </row>
    <row r="123" spans="2:21" x14ac:dyDescent="0.25">
      <c r="J123" s="131"/>
      <c r="K123" s="131"/>
      <c r="L123" s="131"/>
      <c r="M123" s="131"/>
      <c r="N123" s="131"/>
      <c r="O123" s="131"/>
      <c r="P123" s="131"/>
      <c r="Q123" s="131"/>
      <c r="R123" s="131"/>
      <c r="S123" s="131"/>
      <c r="T123" s="131"/>
      <c r="U123" s="131"/>
    </row>
    <row r="124" spans="2:21" ht="15.75" thickBot="1" x14ac:dyDescent="0.3">
      <c r="J124" s="131"/>
      <c r="K124" s="131"/>
      <c r="L124" s="131"/>
      <c r="M124" s="131"/>
      <c r="N124" s="131"/>
      <c r="O124" s="131"/>
      <c r="P124" s="131"/>
      <c r="Q124" s="131"/>
      <c r="R124" s="131"/>
      <c r="S124" s="131"/>
      <c r="T124" s="131"/>
      <c r="U124" s="131"/>
    </row>
    <row r="125" spans="2:21" x14ac:dyDescent="0.25">
      <c r="B125" s="71" t="s">
        <v>82</v>
      </c>
      <c r="C125" s="9"/>
      <c r="D125" s="9"/>
      <c r="E125" s="9"/>
      <c r="F125" s="9"/>
      <c r="G125" s="40"/>
      <c r="J125" s="131"/>
      <c r="K125" s="131"/>
      <c r="L125" s="131"/>
      <c r="M125" s="131"/>
      <c r="N125" s="131"/>
      <c r="O125" s="131"/>
      <c r="P125" s="131"/>
      <c r="Q125" s="131"/>
      <c r="R125" s="131"/>
      <c r="S125" s="131"/>
      <c r="T125" s="131"/>
      <c r="U125" s="131"/>
    </row>
    <row r="126" spans="2:21" x14ac:dyDescent="0.25">
      <c r="B126" s="132" t="s">
        <v>83</v>
      </c>
      <c r="C126" s="43" t="s">
        <v>84</v>
      </c>
      <c r="D126"/>
      <c r="E126"/>
      <c r="F126" s="450" t="s">
        <v>85</v>
      </c>
      <c r="G126" s="451"/>
      <c r="I126" s="131"/>
      <c r="J126" s="131"/>
      <c r="K126" s="131"/>
      <c r="L126" s="131"/>
      <c r="M126" s="131"/>
      <c r="N126" s="131"/>
      <c r="O126" s="131"/>
      <c r="P126" s="131"/>
      <c r="Q126" s="131"/>
      <c r="R126" s="131"/>
      <c r="S126" s="131"/>
      <c r="T126" s="131"/>
    </row>
    <row r="127" spans="2:21" ht="18.75" x14ac:dyDescent="0.3">
      <c r="B127" s="133">
        <f>W16</f>
        <v>0</v>
      </c>
      <c r="C127" s="134"/>
      <c r="D127" s="134"/>
      <c r="E127" s="134"/>
      <c r="F127" s="135"/>
      <c r="G127" s="136"/>
      <c r="I127" s="131"/>
      <c r="J127" s="131"/>
      <c r="K127" s="131"/>
      <c r="L127" s="131"/>
      <c r="M127" s="131"/>
      <c r="N127" s="131"/>
      <c r="O127" s="131"/>
      <c r="P127" s="131"/>
      <c r="Q127" s="131"/>
      <c r="R127" s="131"/>
      <c r="S127" s="131"/>
      <c r="T127" s="131"/>
    </row>
    <row r="128" spans="2:21" x14ac:dyDescent="0.25">
      <c r="B128" s="137" t="s">
        <v>86</v>
      </c>
      <c r="C128" s="134"/>
      <c r="D128" s="134"/>
      <c r="E128" s="138">
        <f>H46</f>
        <v>0</v>
      </c>
      <c r="F128" s="135"/>
      <c r="G128" s="139" t="e">
        <f>E128/$B$127</f>
        <v>#DIV/0!</v>
      </c>
      <c r="I128" s="131"/>
      <c r="J128" s="131"/>
      <c r="K128" s="131"/>
      <c r="L128" s="131"/>
      <c r="M128" s="131"/>
      <c r="N128" s="131"/>
      <c r="O128" s="131"/>
      <c r="P128" s="131"/>
      <c r="Q128" s="131"/>
      <c r="R128" s="131"/>
      <c r="S128" s="131"/>
      <c r="T128" s="131"/>
    </row>
    <row r="129" spans="2:21" ht="9" customHeight="1" x14ac:dyDescent="0.25">
      <c r="B129" s="11"/>
      <c r="C129" s="134"/>
      <c r="D129" s="134"/>
      <c r="E129" s="134"/>
      <c r="F129" s="135"/>
      <c r="G129" s="136"/>
      <c r="I129" s="131"/>
      <c r="J129" s="131"/>
      <c r="K129" s="131"/>
      <c r="L129" s="131"/>
      <c r="M129" s="131"/>
      <c r="N129" s="131"/>
      <c r="O129" s="131"/>
      <c r="P129" s="131"/>
      <c r="Q129" s="131"/>
      <c r="R129" s="131"/>
      <c r="S129" s="131"/>
      <c r="T129" s="131"/>
    </row>
    <row r="130" spans="2:21" x14ac:dyDescent="0.25">
      <c r="B130" s="137" t="s">
        <v>87</v>
      </c>
      <c r="C130" s="134"/>
      <c r="D130" s="134"/>
      <c r="E130" s="134"/>
      <c r="F130" s="135"/>
      <c r="G130" s="136"/>
      <c r="I130" s="131"/>
      <c r="J130" s="131"/>
      <c r="K130" s="131"/>
      <c r="L130" s="131"/>
      <c r="M130" s="131"/>
      <c r="N130" s="131"/>
      <c r="O130" s="131"/>
      <c r="P130" s="131"/>
      <c r="Q130" s="131"/>
      <c r="R130" s="131"/>
      <c r="S130" s="131"/>
      <c r="T130" s="131"/>
    </row>
    <row r="131" spans="2:21" x14ac:dyDescent="0.25">
      <c r="B131" s="24" t="s">
        <v>88</v>
      </c>
      <c r="C131" s="138">
        <f>H51+SUM(H82:H89)</f>
        <v>0</v>
      </c>
      <c r="D131" s="138"/>
      <c r="E131" s="134"/>
      <c r="F131" s="140" t="e">
        <f>C131/$B$127</f>
        <v>#DIV/0!</v>
      </c>
      <c r="G131" s="136"/>
      <c r="I131" s="131"/>
      <c r="J131" s="131"/>
      <c r="K131" s="131"/>
      <c r="L131" s="131"/>
      <c r="M131" s="131"/>
      <c r="N131" s="131"/>
      <c r="O131" s="131"/>
      <c r="P131" s="131"/>
      <c r="Q131" s="131"/>
      <c r="R131" s="131"/>
      <c r="S131" s="131"/>
      <c r="T131" s="131"/>
    </row>
    <row r="132" spans="2:21" x14ac:dyDescent="0.25">
      <c r="B132" s="24" t="s">
        <v>89</v>
      </c>
      <c r="C132" s="138">
        <f>H78</f>
        <v>0</v>
      </c>
      <c r="D132" s="138"/>
      <c r="E132" s="134"/>
      <c r="F132" s="140" t="e">
        <f t="shared" ref="F132:F138" si="53">C132/$B$127</f>
        <v>#DIV/0!</v>
      </c>
      <c r="G132" s="136"/>
      <c r="I132" s="131"/>
      <c r="J132" s="131"/>
      <c r="K132" s="131"/>
      <c r="L132" s="131"/>
      <c r="M132" s="131"/>
      <c r="N132" s="131"/>
      <c r="O132" s="131"/>
      <c r="P132" s="131"/>
      <c r="Q132" s="131"/>
      <c r="R132" s="131"/>
      <c r="S132" s="131"/>
      <c r="T132" s="131"/>
    </row>
    <row r="133" spans="2:21" x14ac:dyDescent="0.25">
      <c r="B133" s="24" t="s">
        <v>59</v>
      </c>
      <c r="C133" s="138">
        <f>SUM(H90:H95)</f>
        <v>0</v>
      </c>
      <c r="D133" s="138"/>
      <c r="E133" s="134"/>
      <c r="F133" s="140" t="e">
        <f t="shared" si="53"/>
        <v>#DIV/0!</v>
      </c>
      <c r="G133" s="136"/>
      <c r="I133" s="131"/>
      <c r="J133" s="131"/>
      <c r="K133" s="131"/>
      <c r="L133" s="131"/>
      <c r="M133" s="131"/>
      <c r="N133" s="131"/>
      <c r="O133" s="131"/>
      <c r="P133" s="131"/>
      <c r="Q133" s="148"/>
      <c r="R133" s="131"/>
      <c r="S133" s="131"/>
      <c r="T133" s="131"/>
    </row>
    <row r="134" spans="2:21" x14ac:dyDescent="0.25">
      <c r="B134" s="24" t="s">
        <v>90</v>
      </c>
      <c r="C134" s="138">
        <f>SUM(H96:H97)</f>
        <v>0</v>
      </c>
      <c r="D134" s="138"/>
      <c r="E134" s="134"/>
      <c r="F134" s="140" t="e">
        <f t="shared" si="53"/>
        <v>#DIV/0!</v>
      </c>
      <c r="G134" s="136"/>
      <c r="I134" s="131"/>
      <c r="J134" s="131"/>
      <c r="K134" s="131"/>
      <c r="L134" s="131"/>
      <c r="M134" s="131"/>
      <c r="N134" s="131"/>
      <c r="O134" s="131"/>
      <c r="P134" s="131"/>
      <c r="Q134" s="131"/>
      <c r="R134" s="131"/>
      <c r="S134" s="131"/>
      <c r="T134" s="131"/>
    </row>
    <row r="135" spans="2:21" x14ac:dyDescent="0.25">
      <c r="B135" s="24" t="s">
        <v>91</v>
      </c>
      <c r="C135" s="138">
        <f>SUM(H98:H99)</f>
        <v>0</v>
      </c>
      <c r="D135" s="138"/>
      <c r="E135" s="134"/>
      <c r="F135" s="140" t="e">
        <f t="shared" si="53"/>
        <v>#DIV/0!</v>
      </c>
      <c r="G135" s="136"/>
      <c r="I135" s="131"/>
      <c r="J135" s="131"/>
      <c r="K135" s="131"/>
      <c r="L135" s="131"/>
      <c r="M135" s="131"/>
      <c r="N135" s="131"/>
      <c r="O135" s="131"/>
      <c r="P135" s="131"/>
      <c r="Q135" s="131"/>
      <c r="R135" s="131"/>
      <c r="S135" s="131"/>
      <c r="T135" s="131"/>
    </row>
    <row r="136" spans="2:21" x14ac:dyDescent="0.25">
      <c r="B136" s="24" t="s">
        <v>63</v>
      </c>
      <c r="C136" s="138">
        <f>SUM(H100:H102)</f>
        <v>0</v>
      </c>
      <c r="D136" s="138"/>
      <c r="E136" s="134"/>
      <c r="F136" s="140" t="e">
        <f t="shared" si="53"/>
        <v>#DIV/0!</v>
      </c>
      <c r="G136" s="136"/>
      <c r="I136" s="131"/>
      <c r="J136" s="131"/>
      <c r="K136" s="131"/>
      <c r="L136" s="131"/>
      <c r="M136" s="131"/>
      <c r="N136" s="131"/>
      <c r="O136" s="131"/>
      <c r="P136" s="131"/>
      <c r="Q136" s="131"/>
      <c r="R136" s="131"/>
      <c r="S136" s="131"/>
      <c r="T136" s="131"/>
    </row>
    <row r="137" spans="2:21" x14ac:dyDescent="0.25">
      <c r="B137" s="24" t="s">
        <v>68</v>
      </c>
      <c r="C137" s="138">
        <f>H105</f>
        <v>0</v>
      </c>
      <c r="D137" s="138"/>
      <c r="E137" s="134"/>
      <c r="F137" s="140" t="e">
        <f t="shared" si="53"/>
        <v>#DIV/0!</v>
      </c>
      <c r="G137" s="136"/>
      <c r="I137" s="131"/>
      <c r="J137" s="131"/>
      <c r="K137" s="131"/>
      <c r="L137" s="131"/>
      <c r="M137" s="131"/>
      <c r="N137" s="131"/>
      <c r="O137" s="131"/>
      <c r="P137" s="131"/>
      <c r="Q137" s="131"/>
      <c r="R137" s="131"/>
      <c r="S137" s="131"/>
      <c r="T137" s="131"/>
    </row>
    <row r="138" spans="2:21" x14ac:dyDescent="0.25">
      <c r="B138" s="24" t="s">
        <v>92</v>
      </c>
      <c r="C138" s="141">
        <f>SUM(H103:H104)</f>
        <v>0</v>
      </c>
      <c r="D138" s="141"/>
      <c r="E138" s="141">
        <f>SUM(C131:C138)</f>
        <v>0</v>
      </c>
      <c r="F138" s="142" t="e">
        <f t="shared" si="53"/>
        <v>#DIV/0!</v>
      </c>
      <c r="G138" s="143" t="e">
        <f>SUM(F131:F138)</f>
        <v>#DIV/0!</v>
      </c>
      <c r="I138" s="131"/>
      <c r="J138" s="131"/>
      <c r="K138" s="131"/>
      <c r="L138" s="131"/>
      <c r="M138" s="131"/>
      <c r="N138" s="131"/>
      <c r="O138" s="131"/>
      <c r="P138" s="131"/>
      <c r="Q138" s="131"/>
      <c r="R138" s="131"/>
      <c r="S138" s="131"/>
      <c r="T138" s="131"/>
    </row>
    <row r="139" spans="2:21" ht="19.5" thickBot="1" x14ac:dyDescent="0.35">
      <c r="B139" s="32"/>
      <c r="C139" s="144"/>
      <c r="D139" s="144"/>
      <c r="E139" s="145">
        <f>E128-E138</f>
        <v>0</v>
      </c>
      <c r="F139" s="146"/>
      <c r="G139" s="147" t="e">
        <f>G128-G138</f>
        <v>#DIV/0!</v>
      </c>
      <c r="I139" s="131"/>
      <c r="J139" s="131"/>
      <c r="K139" s="131"/>
      <c r="L139" s="131"/>
      <c r="M139" s="131"/>
      <c r="N139" s="131"/>
      <c r="O139" s="131"/>
      <c r="P139" s="131"/>
      <c r="Q139" s="131"/>
      <c r="R139" s="131"/>
      <c r="S139" s="131"/>
      <c r="T139" s="131"/>
    </row>
    <row r="140" spans="2:21" x14ac:dyDescent="0.25">
      <c r="J140" s="131"/>
      <c r="K140" s="131"/>
      <c r="L140" s="131"/>
      <c r="M140" s="131"/>
      <c r="N140" s="131"/>
      <c r="O140" s="131"/>
      <c r="P140" s="131"/>
      <c r="Q140" s="131"/>
      <c r="R140" s="131"/>
      <c r="S140" s="131"/>
      <c r="T140" s="131"/>
      <c r="U140" s="131"/>
    </row>
    <row r="141" spans="2:21" x14ac:dyDescent="0.25">
      <c r="J141" s="131"/>
      <c r="K141" s="131"/>
      <c r="L141" s="131"/>
      <c r="M141" s="131"/>
      <c r="N141" s="131"/>
      <c r="O141" s="131"/>
      <c r="P141" s="131"/>
      <c r="Q141" s="131"/>
      <c r="R141" s="131"/>
      <c r="S141" s="131"/>
      <c r="T141" s="131"/>
      <c r="U141" s="131"/>
    </row>
    <row r="142" spans="2:21" x14ac:dyDescent="0.25">
      <c r="J142" s="131"/>
      <c r="K142" s="131"/>
      <c r="L142" s="131"/>
      <c r="M142" s="148"/>
      <c r="N142" s="131"/>
      <c r="O142" s="131"/>
      <c r="P142" s="131"/>
      <c r="Q142" s="131"/>
      <c r="R142" s="131"/>
      <c r="S142" s="131"/>
      <c r="T142" s="131"/>
      <c r="U142" s="131"/>
    </row>
  </sheetData>
  <sheetProtection algorithmName="SHA-512" hashValue="P23QLWN7cBpsWgLW8L/cC4JmslHCYwTcSY1TxPxFGCPVwjneF++6EznUd/30mwLfq5sjT7auvHzTj4zljrzwqA==" saltValue="4S1VMjufCAOSk+rHeNLLZA==" spinCount="100000" sheet="1" selectLockedCells="1"/>
  <protectedRanges>
    <protectedRange sqref="J7:U13" name="Production_1"/>
    <protectedRange sqref="J4:U6" name="Production_1_1"/>
    <protectedRange sqref="F41:G41" name="JAS converions_1"/>
    <protectedRange sqref="G56:G77" name="Log transport costs_1"/>
    <protectedRange sqref="C20:C40" name="Grade mix_1"/>
    <protectedRange sqref="F20:G40" name="JAS converions_1_1"/>
  </protectedRanges>
  <mergeCells count="6">
    <mergeCell ref="J113:U113"/>
    <mergeCell ref="F126:G126"/>
    <mergeCell ref="I10:I12"/>
    <mergeCell ref="I13:I16"/>
    <mergeCell ref="I4:I6"/>
    <mergeCell ref="I7:I9"/>
  </mergeCells>
  <phoneticPr fontId="18" type="noConversion"/>
  <conditionalFormatting sqref="C42">
    <cfRule type="cellIs" dxfId="13" priority="1" operator="greaterThan">
      <formula>0.99</formula>
    </cfRule>
  </conditionalFormatting>
  <dataValidations count="1">
    <dataValidation type="whole" errorStyle="warning" allowBlank="1" showInputMessage="1" showErrorMessage="1" errorTitle="High number of skids" error="Are you sure you are going to build this many skids?" sqref="J119:U122" xr:uid="{760956B9-831B-487B-BA2A-87A522EC74DC}">
      <formula1>0</formula1>
      <formula2>10</formula2>
    </dataValidation>
  </dataValidations>
  <pageMargins left="0.70866141732283472" right="0.70866141732283472" top="0.74803149606299213" bottom="0.74803149606299213" header="0.31496062992125984" footer="0.31496062992125984"/>
  <pageSetup paperSize="8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C0264-918B-40FD-9B04-36B5A2A76674}">
  <sheetPr codeName="Sheet2">
    <tabColor theme="5" tint="0.79998168889431442"/>
    <pageSetUpPr fitToPage="1"/>
  </sheetPr>
  <dimension ref="A1:X173"/>
  <sheetViews>
    <sheetView tabSelected="1" zoomScale="80" zoomScaleNormal="80" workbookViewId="0">
      <pane xSplit="8" ySplit="19" topLeftCell="I20" activePane="bottomRight" state="frozen"/>
      <selection activeCell="I2" sqref="I2"/>
      <selection pane="topRight" activeCell="I2" sqref="I2"/>
      <selection pane="bottomLeft" activeCell="I2" sqref="I2"/>
      <selection pane="bottomRight" activeCell="E45" sqref="E45:G46"/>
    </sheetView>
  </sheetViews>
  <sheetFormatPr defaultColWidth="9" defaultRowHeight="15" x14ac:dyDescent="0.25"/>
  <cols>
    <col min="1" max="1" width="2.28515625" style="1" customWidth="1"/>
    <col min="2" max="2" width="39.7109375" style="1" customWidth="1"/>
    <col min="3" max="3" width="13.85546875" style="1" customWidth="1"/>
    <col min="4" max="4" width="14.7109375" style="1" customWidth="1"/>
    <col min="5" max="5" width="19.7109375" style="1" customWidth="1"/>
    <col min="6" max="6" width="12.42578125" style="1" customWidth="1"/>
    <col min="7" max="7" width="13.28515625" style="1" bestFit="1" customWidth="1"/>
    <col min="8" max="8" width="20.42578125" style="1" customWidth="1"/>
    <col min="9" max="9" width="8.7109375" style="1" customWidth="1"/>
    <col min="10" max="21" width="15.7109375" style="1" bestFit="1" customWidth="1"/>
    <col min="22" max="22" width="5" style="1" customWidth="1"/>
    <col min="23" max="23" width="15.28515625" style="4" bestFit="1" customWidth="1"/>
    <col min="24" max="24" width="17.5703125" style="1" customWidth="1"/>
    <col min="25" max="16384" width="9" style="1"/>
  </cols>
  <sheetData>
    <row r="1" spans="2:24" ht="15.75" thickBot="1" x14ac:dyDescent="0.3">
      <c r="C1" s="2">
        <f>'Eastfork Budget'!C1</f>
        <v>2025</v>
      </c>
      <c r="D1" s="3" t="s">
        <v>0</v>
      </c>
    </row>
    <row r="2" spans="2:24" ht="27" thickBot="1" x14ac:dyDescent="0.45">
      <c r="B2" s="5" t="str">
        <f>'Eastfork Budget'!B2</f>
        <v>Eastfork</v>
      </c>
      <c r="H2" s="43" t="s">
        <v>209</v>
      </c>
      <c r="I2" s="404"/>
      <c r="W2" s="6"/>
      <c r="X2" s="7"/>
    </row>
    <row r="3" spans="2:24" ht="15.75" x14ac:dyDescent="0.25">
      <c r="B3" s="8" t="s">
        <v>1</v>
      </c>
      <c r="C3" s="9"/>
      <c r="D3" s="9"/>
      <c r="E3" s="9"/>
      <c r="F3" s="9"/>
      <c r="G3" s="9" t="s">
        <v>241</v>
      </c>
      <c r="H3" s="10"/>
      <c r="I3" s="304">
        <f>IF(NOT(ISBLANK(J5)), J5, IF(NOT(ISBLANK(J8)), J8, IF(NOT(ISBLANK(J11)), J11, 0)))+IF(NOT(ISBLANK(K5)), K5, IF(NOT(ISBLANK(K8)), K8, IF(NOT(ISBLANK(K11)), K11, 0)))+IF(NOT(ISBLANK(L5)), L5, IF(NOT(ISBLANK(L8)), L8, IF(NOT(ISBLANK(L11)), L11, 0)))+IF(NOT(ISBLANK(M5)), M5, IF(NOT(ISBLANK(M8)), M8, IF(NOT(ISBLANK(M11)), M11, 0)))+IF(NOT(ISBLANK(N5)), N5, IF(NOT(ISBLANK(N8)), N8, IF(NOT(ISBLANK(N11)), N11, 0)))+IF(NOT(ISBLANK(O5)), O5, IF(NOT(ISBLANK(O8)), O8, IF(NOT(ISBLANK(O11)), O11, 0)))+IF(NOT(ISBLANK(P5)), P5, IF(NOT(ISBLANK(P8)), P8, IF(NOT(ISBLANK(P11)), P11, 0)))+IF(NOT(ISBLANK(Q5)), Q5, IF(NOT(ISBLANK(Q8)), Q8, IF(NOT(ISBLANK(Q11)), Q11, 0)))+IF(NOT(ISBLANK(R5)), R5, IF(NOT(ISBLANK(R8)), R8, IF(NOT(ISBLANK(R11)), R11, 0)))+IF(NOT(ISBLANK(S5)), S5, IF(NOT(ISBLANK(S8)), S8, IF(NOT(ISBLANK(S11)), S11, 0)))+IF(NOT(ISBLANK(T5)), T5, IF(NOT(ISBLANK(T8)), T8, IF(NOT(ISBLANK(T11)), T11, 0)))+IF(NOT(ISBLANK(U5)), U5, IF(NOT(ISBLANK(U8)), U8, IF(NOT(ISBLANK(U11)), U11, 0)))</f>
        <v>0</v>
      </c>
      <c r="J3" s="178">
        <v>45658</v>
      </c>
      <c r="K3" s="178">
        <v>45689</v>
      </c>
      <c r="L3" s="178">
        <v>45717</v>
      </c>
      <c r="M3" s="178">
        <v>45748</v>
      </c>
      <c r="N3" s="178">
        <v>45778</v>
      </c>
      <c r="O3" s="178">
        <v>45809</v>
      </c>
      <c r="P3" s="178">
        <v>45839</v>
      </c>
      <c r="Q3" s="178">
        <v>45870</v>
      </c>
      <c r="R3" s="178">
        <v>45901</v>
      </c>
      <c r="S3" s="178">
        <v>45931</v>
      </c>
      <c r="T3" s="178">
        <v>45962</v>
      </c>
      <c r="U3" s="178">
        <v>45992</v>
      </c>
      <c r="W3" s="6"/>
      <c r="X3" s="7"/>
    </row>
    <row r="4" spans="2:24" x14ac:dyDescent="0.25">
      <c r="B4" s="11"/>
      <c r="G4" s="12" t="s">
        <v>3</v>
      </c>
      <c r="H4" s="301" t="s">
        <v>242</v>
      </c>
      <c r="I4" s="458">
        <f>IFERROR(SUM(J4:U4)/$W$16,0)</f>
        <v>0</v>
      </c>
      <c r="J4" s="13"/>
      <c r="K4" s="13"/>
      <c r="L4" s="13"/>
      <c r="M4" s="14"/>
      <c r="N4" s="14"/>
      <c r="O4" s="14"/>
      <c r="P4" s="14"/>
      <c r="Q4" s="14"/>
      <c r="R4" s="14"/>
      <c r="S4" s="14"/>
      <c r="T4" s="14"/>
      <c r="U4" s="15"/>
      <c r="W4" s="6"/>
      <c r="X4" s="7"/>
    </row>
    <row r="5" spans="2:24" x14ac:dyDescent="0.25">
      <c r="B5" s="11"/>
      <c r="G5" s="16"/>
      <c r="H5" s="1" t="s">
        <v>5</v>
      </c>
      <c r="I5" s="459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5"/>
      <c r="W5" s="6"/>
      <c r="X5" s="7"/>
    </row>
    <row r="6" spans="2:24" ht="15.75" thickBot="1" x14ac:dyDescent="0.3">
      <c r="B6" s="11"/>
      <c r="G6" s="17"/>
      <c r="H6" s="302" t="s">
        <v>6</v>
      </c>
      <c r="I6" s="460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380"/>
      <c r="W6" s="6"/>
      <c r="X6" s="7"/>
    </row>
    <row r="7" spans="2:24" x14ac:dyDescent="0.25">
      <c r="B7" s="11"/>
      <c r="G7" s="12" t="s">
        <v>7</v>
      </c>
      <c r="H7" s="301" t="s">
        <v>242</v>
      </c>
      <c r="I7" s="458">
        <f>IFERROR(SUM(J7:U7)/$W$16,0)</f>
        <v>0</v>
      </c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20"/>
      <c r="W7" s="6"/>
      <c r="X7" s="7"/>
    </row>
    <row r="8" spans="2:24" x14ac:dyDescent="0.25">
      <c r="B8" s="11"/>
      <c r="G8" s="16"/>
      <c r="H8" s="1" t="s">
        <v>5</v>
      </c>
      <c r="I8" s="459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5"/>
      <c r="W8" s="6"/>
      <c r="X8" s="7"/>
    </row>
    <row r="9" spans="2:24" ht="15.75" thickBot="1" x14ac:dyDescent="0.3">
      <c r="B9" s="11"/>
      <c r="G9" s="17"/>
      <c r="H9" s="302" t="s">
        <v>6</v>
      </c>
      <c r="I9" s="460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2"/>
      <c r="W9" s="6"/>
      <c r="X9" s="7"/>
    </row>
    <row r="10" spans="2:24" x14ac:dyDescent="0.25">
      <c r="B10" s="11"/>
      <c r="G10" s="12" t="s">
        <v>8</v>
      </c>
      <c r="H10" s="301" t="s">
        <v>242</v>
      </c>
      <c r="I10" s="458">
        <f>IFERROR(SUM(J10:U10)/$W$16,0)</f>
        <v>0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5"/>
      <c r="W10" s="6"/>
      <c r="X10" s="7"/>
    </row>
    <row r="11" spans="2:24" x14ac:dyDescent="0.25">
      <c r="B11" s="11"/>
      <c r="G11" s="16"/>
      <c r="H11" s="1" t="s">
        <v>5</v>
      </c>
      <c r="I11" s="459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5"/>
      <c r="W11" s="6"/>
      <c r="X11" s="7"/>
    </row>
    <row r="12" spans="2:24" ht="15.75" thickBot="1" x14ac:dyDescent="0.3">
      <c r="B12" s="11"/>
      <c r="G12" s="17"/>
      <c r="H12" s="302" t="s">
        <v>6</v>
      </c>
      <c r="I12" s="460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2"/>
      <c r="V12" s="7"/>
      <c r="W12" s="6"/>
      <c r="X12" s="7"/>
    </row>
    <row r="13" spans="2:24" x14ac:dyDescent="0.25">
      <c r="B13" s="11"/>
      <c r="G13" s="1" t="s">
        <v>2</v>
      </c>
      <c r="H13" s="1" t="s">
        <v>244</v>
      </c>
      <c r="I13" s="461">
        <f>SUM(I4:I12)</f>
        <v>0</v>
      </c>
      <c r="J13" s="412">
        <f>J4+J7+J10</f>
        <v>0</v>
      </c>
      <c r="K13" s="412">
        <f t="shared" ref="K13:U13" si="0">K4+K7+K10</f>
        <v>0</v>
      </c>
      <c r="L13" s="412">
        <f t="shared" si="0"/>
        <v>0</v>
      </c>
      <c r="M13" s="412">
        <f t="shared" si="0"/>
        <v>0</v>
      </c>
      <c r="N13" s="412">
        <f t="shared" si="0"/>
        <v>0</v>
      </c>
      <c r="O13" s="412">
        <f t="shared" si="0"/>
        <v>0</v>
      </c>
      <c r="P13" s="412">
        <f t="shared" si="0"/>
        <v>0</v>
      </c>
      <c r="Q13" s="412">
        <f t="shared" si="0"/>
        <v>0</v>
      </c>
      <c r="R13" s="412">
        <f t="shared" si="0"/>
        <v>0</v>
      </c>
      <c r="S13" s="412">
        <f t="shared" si="0"/>
        <v>0</v>
      </c>
      <c r="T13" s="412">
        <f t="shared" si="0"/>
        <v>0</v>
      </c>
      <c r="U13" s="413">
        <f t="shared" si="0"/>
        <v>0</v>
      </c>
      <c r="V13" s="7"/>
      <c r="W13" s="28">
        <f>I3</f>
        <v>0</v>
      </c>
      <c r="X13" s="306" t="s">
        <v>208</v>
      </c>
    </row>
    <row r="14" spans="2:24" x14ac:dyDescent="0.25">
      <c r="B14" s="24"/>
      <c r="C14" s="25"/>
      <c r="D14" s="26"/>
      <c r="H14" t="s">
        <v>245</v>
      </c>
      <c r="I14" s="462"/>
      <c r="J14" s="414">
        <f>J13-J16</f>
        <v>0</v>
      </c>
      <c r="K14" s="414">
        <f t="shared" ref="K14:U14" si="1">K13-K16</f>
        <v>0</v>
      </c>
      <c r="L14" s="414">
        <f t="shared" si="1"/>
        <v>0</v>
      </c>
      <c r="M14" s="414">
        <f t="shared" si="1"/>
        <v>0</v>
      </c>
      <c r="N14" s="414">
        <f t="shared" si="1"/>
        <v>0</v>
      </c>
      <c r="O14" s="414">
        <f t="shared" si="1"/>
        <v>0</v>
      </c>
      <c r="P14" s="414">
        <f t="shared" si="1"/>
        <v>0</v>
      </c>
      <c r="Q14" s="414">
        <f t="shared" si="1"/>
        <v>0</v>
      </c>
      <c r="R14" s="414">
        <f t="shared" si="1"/>
        <v>0</v>
      </c>
      <c r="S14" s="414">
        <f t="shared" si="1"/>
        <v>0</v>
      </c>
      <c r="T14" s="414">
        <f t="shared" si="1"/>
        <v>0</v>
      </c>
      <c r="U14" s="415">
        <f t="shared" si="1"/>
        <v>0</v>
      </c>
      <c r="W14" s="28">
        <f>SUM(J14:U14)</f>
        <v>0</v>
      </c>
      <c r="X14" s="306" t="str">
        <f>H14</f>
        <v>Variance Tones</v>
      </c>
    </row>
    <row r="15" spans="2:24" x14ac:dyDescent="0.25">
      <c r="B15" s="24"/>
      <c r="C15" s="29"/>
      <c r="D15" s="30"/>
      <c r="G15" s="1" t="s">
        <v>2</v>
      </c>
      <c r="H15" s="1" t="s">
        <v>207</v>
      </c>
      <c r="I15" s="462"/>
      <c r="J15" s="412">
        <f t="shared" ref="J15:U15" si="2">IFERROR(J13/$I$2,0)</f>
        <v>0</v>
      </c>
      <c r="K15" s="412">
        <f t="shared" si="2"/>
        <v>0</v>
      </c>
      <c r="L15" s="412">
        <f t="shared" si="2"/>
        <v>0</v>
      </c>
      <c r="M15" s="412">
        <f t="shared" si="2"/>
        <v>0</v>
      </c>
      <c r="N15" s="412">
        <f t="shared" si="2"/>
        <v>0</v>
      </c>
      <c r="O15" s="412">
        <f t="shared" si="2"/>
        <v>0</v>
      </c>
      <c r="P15" s="412">
        <f t="shared" si="2"/>
        <v>0</v>
      </c>
      <c r="Q15" s="412">
        <f t="shared" si="2"/>
        <v>0</v>
      </c>
      <c r="R15" s="412">
        <f t="shared" si="2"/>
        <v>0</v>
      </c>
      <c r="S15" s="412">
        <f t="shared" si="2"/>
        <v>0</v>
      </c>
      <c r="T15" s="412">
        <f t="shared" si="2"/>
        <v>0</v>
      </c>
      <c r="U15" s="413">
        <f t="shared" si="2"/>
        <v>0</v>
      </c>
      <c r="V15" s="31"/>
      <c r="W15" s="28">
        <f>SUM(J15:U15)</f>
        <v>0</v>
      </c>
      <c r="X15" s="306" t="str">
        <f>H15</f>
        <v>Hectare (ha)</v>
      </c>
    </row>
    <row r="16" spans="2:24" ht="15.75" thickBot="1" x14ac:dyDescent="0.3">
      <c r="B16" s="32"/>
      <c r="C16" s="33"/>
      <c r="D16" s="33"/>
      <c r="E16" s="33"/>
      <c r="F16" s="33"/>
      <c r="G16" s="33" t="s">
        <v>2</v>
      </c>
      <c r="H16" s="33" t="s">
        <v>243</v>
      </c>
      <c r="I16" s="463"/>
      <c r="J16" s="416">
        <f>Volume_1!D27</f>
        <v>0</v>
      </c>
      <c r="K16" s="416">
        <f>Volume_1!H27</f>
        <v>0</v>
      </c>
      <c r="L16" s="416">
        <f>Volume_1!L27</f>
        <v>0</v>
      </c>
      <c r="M16" s="416">
        <f>Volume_1!P27</f>
        <v>0</v>
      </c>
      <c r="N16" s="416">
        <f>Volume_1!T27</f>
        <v>0</v>
      </c>
      <c r="O16" s="416">
        <f>Volume_1!X27</f>
        <v>0</v>
      </c>
      <c r="P16" s="416">
        <f>Volume_1!AB27</f>
        <v>0</v>
      </c>
      <c r="Q16" s="416">
        <f>Volume_1!AF27</f>
        <v>0</v>
      </c>
      <c r="R16" s="416">
        <f>Volume_1!AJ27</f>
        <v>0</v>
      </c>
      <c r="S16" s="416">
        <f>Volume_1!AN27</f>
        <v>0</v>
      </c>
      <c r="T16" s="416">
        <f>Volume_1!AR27</f>
        <v>0</v>
      </c>
      <c r="U16" s="417">
        <f>Volume_1!AV27</f>
        <v>0</v>
      </c>
      <c r="W16" s="28">
        <f>SUM(J16:U16)</f>
        <v>0</v>
      </c>
      <c r="X16" s="35" t="str">
        <f>H16</f>
        <v>Invoice Tonnes</v>
      </c>
    </row>
    <row r="17" spans="1:24" ht="25.5" customHeight="1" thickBot="1" x14ac:dyDescent="0.3">
      <c r="C17" s="7"/>
      <c r="D17" s="7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7"/>
      <c r="W17" s="38"/>
    </row>
    <row r="18" spans="1:24" ht="16.5" thickBot="1" x14ac:dyDescent="0.3">
      <c r="B18" s="8" t="s">
        <v>12</v>
      </c>
      <c r="C18" s="9"/>
      <c r="D18" s="9"/>
      <c r="E18" s="9"/>
      <c r="F18" s="9"/>
      <c r="G18" s="9"/>
      <c r="H18" s="9"/>
      <c r="I18" s="9"/>
      <c r="J18" s="39"/>
      <c r="K18" s="9"/>
      <c r="L18" s="9"/>
      <c r="M18" s="9"/>
      <c r="N18" s="9"/>
      <c r="O18" s="9"/>
      <c r="P18" s="9"/>
      <c r="Q18" s="9"/>
      <c r="R18" s="9"/>
      <c r="S18" s="9"/>
      <c r="T18" s="9"/>
      <c r="U18" s="40"/>
    </row>
    <row r="19" spans="1:24" x14ac:dyDescent="0.25">
      <c r="B19" s="41" t="s">
        <v>13</v>
      </c>
      <c r="C19" s="42" t="s">
        <v>14</v>
      </c>
      <c r="D19" s="42" t="s">
        <v>210</v>
      </c>
      <c r="E19" s="42" t="s">
        <v>15</v>
      </c>
      <c r="F19" s="42" t="s">
        <v>16</v>
      </c>
      <c r="G19" s="42" t="s">
        <v>17</v>
      </c>
      <c r="H19" s="42" t="s">
        <v>18</v>
      </c>
      <c r="I19" s="43"/>
      <c r="J19" s="178">
        <v>45658</v>
      </c>
      <c r="K19" s="178">
        <v>45689</v>
      </c>
      <c r="L19" s="178">
        <v>45717</v>
      </c>
      <c r="M19" s="178">
        <v>45748</v>
      </c>
      <c r="N19" s="178">
        <v>45778</v>
      </c>
      <c r="O19" s="178">
        <v>45809</v>
      </c>
      <c r="P19" s="178">
        <v>45839</v>
      </c>
      <c r="Q19" s="178">
        <v>45870</v>
      </c>
      <c r="R19" s="178">
        <v>45901</v>
      </c>
      <c r="S19" s="178">
        <v>45931</v>
      </c>
      <c r="T19" s="178">
        <v>45962</v>
      </c>
      <c r="U19" s="178">
        <v>45992</v>
      </c>
    </row>
    <row r="20" spans="1:24" x14ac:dyDescent="0.25">
      <c r="A20" s="11" t="s">
        <v>172</v>
      </c>
      <c r="B20" s="239" t="s">
        <v>20</v>
      </c>
      <c r="C20" s="240">
        <f>IFERROR(F20/$F$46,0)</f>
        <v>8.531746031746032E-2</v>
      </c>
      <c r="D20" s="472">
        <f>_xlfn.XLOOKUP(B20,'Log Sales Data'!AA:AA,'Log Sales Data'!AB:AB,0,0)</f>
        <v>1.08</v>
      </c>
      <c r="E20" s="409" t="s">
        <v>21</v>
      </c>
      <c r="F20" s="241">
        <f>SUMIFS('Log Sales Data'!$I:$I,'Log Sales Data'!$C:$C,$B$2,'Log Sales Data'!$D:$D,$B20,'Log Sales Data'!$G:$G,$A20)</f>
        <v>430</v>
      </c>
      <c r="G20" s="241">
        <f>IFERROR(H20/F20,"0")</f>
        <v>195</v>
      </c>
      <c r="H20" s="418">
        <f>SUM(J20:U20)</f>
        <v>83850</v>
      </c>
      <c r="I20" s="419"/>
      <c r="J20" s="420">
        <f>SUMIFS('Log Sales Data'!$M:$M,'Log Sales Data'!$B:$B,J$19,'Log Sales Data'!$C:$C,$B$2,'Log Sales Data'!$D:$D,$B20,'Log Sales Data'!$G:$G,$A20)</f>
        <v>83850</v>
      </c>
      <c r="K20" s="420">
        <f>SUMIFS('Log Sales Data'!$M:$M,'Log Sales Data'!$B:$B,K$19,'Log Sales Data'!$C:$C,$B$2,'Log Sales Data'!$D:$D,$B20,'Log Sales Data'!$G:$G,$A20)</f>
        <v>0</v>
      </c>
      <c r="L20" s="420">
        <f>SUMIFS('Log Sales Data'!$M:$M,'Log Sales Data'!$B:$B,L$19,'Log Sales Data'!$C:$C,$B$2,'Log Sales Data'!$D:$D,$B20,'Log Sales Data'!$G:$G,$A20)</f>
        <v>0</v>
      </c>
      <c r="M20" s="420">
        <f>SUMIFS('Log Sales Data'!$M:$M,'Log Sales Data'!$B:$B,M$19,'Log Sales Data'!$C:$C,$B$2,'Log Sales Data'!$D:$D,$B20,'Log Sales Data'!$G:$G,$A20)</f>
        <v>0</v>
      </c>
      <c r="N20" s="420">
        <f>SUMIFS('Log Sales Data'!$M:$M,'Log Sales Data'!$B:$B,N$19,'Log Sales Data'!$C:$C,$B$2,'Log Sales Data'!$D:$D,$B20,'Log Sales Data'!$G:$G,$A20)</f>
        <v>0</v>
      </c>
      <c r="O20" s="420">
        <f>SUMIFS('Log Sales Data'!$M:$M,'Log Sales Data'!$B:$B,O$19,'Log Sales Data'!$C:$C,$B$2,'Log Sales Data'!$D:$D,$B20,'Log Sales Data'!$G:$G,$A20)</f>
        <v>0</v>
      </c>
      <c r="P20" s="420">
        <f>SUMIFS('Log Sales Data'!$M:$M,'Log Sales Data'!$B:$B,P$19,'Log Sales Data'!$C:$C,$B$2,'Log Sales Data'!$D:$D,$B20,'Log Sales Data'!$G:$G,$A20)</f>
        <v>0</v>
      </c>
      <c r="Q20" s="420">
        <f>SUMIFS('Log Sales Data'!$M:$M,'Log Sales Data'!$B:$B,Q$19,'Log Sales Data'!$C:$C,$B$2,'Log Sales Data'!$D:$D,$B20,'Log Sales Data'!$G:$G,$A20)</f>
        <v>0</v>
      </c>
      <c r="R20" s="420">
        <f>SUMIFS('Log Sales Data'!$M:$M,'Log Sales Data'!$B:$B,R$19,'Log Sales Data'!$C:$C,$B$2,'Log Sales Data'!$D:$D,$B20,'Log Sales Data'!$G:$G,$A20)</f>
        <v>0</v>
      </c>
      <c r="S20" s="420">
        <f>SUMIFS('Log Sales Data'!$M:$M,'Log Sales Data'!$B:$B,S$19,'Log Sales Data'!$C:$C,$B$2,'Log Sales Data'!$D:$D,$B20,'Log Sales Data'!$G:$G,$A20)</f>
        <v>0</v>
      </c>
      <c r="T20" s="420">
        <f>SUMIFS('Log Sales Data'!$M:$M,'Log Sales Data'!$B:$B,T$19,'Log Sales Data'!$C:$C,$B$2,'Log Sales Data'!$D:$D,$B20,'Log Sales Data'!$G:$G,$A20)</f>
        <v>0</v>
      </c>
      <c r="U20" s="420">
        <f>SUMIFS('Log Sales Data'!$M:$M,'Log Sales Data'!$B:$B,U$19,'Log Sales Data'!$C:$C,$B$2,'Log Sales Data'!$D:$D,$B20,'Log Sales Data'!$G:$G,$A20)</f>
        <v>0</v>
      </c>
      <c r="W20" s="38"/>
    </row>
    <row r="21" spans="1:24" x14ac:dyDescent="0.25">
      <c r="A21" s="11" t="s">
        <v>172</v>
      </c>
      <c r="B21" s="239" t="s">
        <v>22</v>
      </c>
      <c r="C21" s="240">
        <f t="shared" ref="C21:C41" si="3">IFERROR(F21/$F$46,0)</f>
        <v>0.16468253968253968</v>
      </c>
      <c r="D21" s="472">
        <f>_xlfn.XLOOKUP(B21,'Log Sales Data'!AA:AA,'Log Sales Data'!AB:AB,0,0)</f>
        <v>1.03</v>
      </c>
      <c r="E21" s="409" t="s">
        <v>21</v>
      </c>
      <c r="F21" s="241">
        <f>SUMIFS('Log Sales Data'!$I:$I,'Log Sales Data'!$C:$C,$B$2,'Log Sales Data'!$D:$D,$B21,'Log Sales Data'!$G:$G,$A21)</f>
        <v>830</v>
      </c>
      <c r="G21" s="241">
        <f t="shared" ref="G21:G41" si="4">IFERROR(H21/F21,"0")</f>
        <v>127</v>
      </c>
      <c r="H21" s="418">
        <f t="shared" ref="H21:H41" si="5">SUM(J21:U21)</f>
        <v>105410</v>
      </c>
      <c r="I21" s="419"/>
      <c r="J21" s="420">
        <f>SUMIFS('Log Sales Data'!$M:$M,'Log Sales Data'!$B:$B,J$19,'Log Sales Data'!$C:$C,$B$2,'Log Sales Data'!$D:$D,$B21,'Log Sales Data'!$G:$G,$A21)</f>
        <v>105410</v>
      </c>
      <c r="K21" s="420">
        <f>SUMIFS('Log Sales Data'!$M:$M,'Log Sales Data'!$B:$B,K$19,'Log Sales Data'!$C:$C,$B$2,'Log Sales Data'!$D:$D,$B21,'Log Sales Data'!$G:$G,$A21)</f>
        <v>0</v>
      </c>
      <c r="L21" s="420">
        <f>SUMIFS('Log Sales Data'!$M:$M,'Log Sales Data'!$B:$B,L$19,'Log Sales Data'!$C:$C,$B$2,'Log Sales Data'!$D:$D,$B21,'Log Sales Data'!$G:$G,$A21)</f>
        <v>0</v>
      </c>
      <c r="M21" s="420">
        <f>SUMIFS('Log Sales Data'!$M:$M,'Log Sales Data'!$B:$B,M$19,'Log Sales Data'!$C:$C,$B$2,'Log Sales Data'!$D:$D,$B21,'Log Sales Data'!$G:$G,$A21)</f>
        <v>0</v>
      </c>
      <c r="N21" s="420">
        <f>SUMIFS('Log Sales Data'!$M:$M,'Log Sales Data'!$B:$B,N$19,'Log Sales Data'!$C:$C,$B$2,'Log Sales Data'!$D:$D,$B21,'Log Sales Data'!$G:$G,$A21)</f>
        <v>0</v>
      </c>
      <c r="O21" s="420">
        <f>SUMIFS('Log Sales Data'!$M:$M,'Log Sales Data'!$B:$B,O$19,'Log Sales Data'!$C:$C,$B$2,'Log Sales Data'!$D:$D,$B21,'Log Sales Data'!$G:$G,$A21)</f>
        <v>0</v>
      </c>
      <c r="P21" s="420">
        <f>SUMIFS('Log Sales Data'!$M:$M,'Log Sales Data'!$B:$B,P$19,'Log Sales Data'!$C:$C,$B$2,'Log Sales Data'!$D:$D,$B21,'Log Sales Data'!$G:$G,$A21)</f>
        <v>0</v>
      </c>
      <c r="Q21" s="420">
        <f>SUMIFS('Log Sales Data'!$M:$M,'Log Sales Data'!$B:$B,Q$19,'Log Sales Data'!$C:$C,$B$2,'Log Sales Data'!$D:$D,$B21,'Log Sales Data'!$G:$G,$A21)</f>
        <v>0</v>
      </c>
      <c r="R21" s="420">
        <f>SUMIFS('Log Sales Data'!$M:$M,'Log Sales Data'!$B:$B,R$19,'Log Sales Data'!$C:$C,$B$2,'Log Sales Data'!$D:$D,$B21,'Log Sales Data'!$G:$G,$A21)</f>
        <v>0</v>
      </c>
      <c r="S21" s="420">
        <f>SUMIFS('Log Sales Data'!$M:$M,'Log Sales Data'!$B:$B,S$19,'Log Sales Data'!$C:$C,$B$2,'Log Sales Data'!$D:$D,$B21,'Log Sales Data'!$G:$G,$A21)</f>
        <v>0</v>
      </c>
      <c r="T21" s="420">
        <f>SUMIFS('Log Sales Data'!$M:$M,'Log Sales Data'!$B:$B,T$19,'Log Sales Data'!$C:$C,$B$2,'Log Sales Data'!$D:$D,$B21,'Log Sales Data'!$G:$G,$A21)</f>
        <v>0</v>
      </c>
      <c r="U21" s="420">
        <f>SUMIFS('Log Sales Data'!$M:$M,'Log Sales Data'!$B:$B,U$19,'Log Sales Data'!$C:$C,$B$2,'Log Sales Data'!$D:$D,$B21,'Log Sales Data'!$G:$G,$A21)</f>
        <v>0</v>
      </c>
      <c r="W21" s="38"/>
    </row>
    <row r="22" spans="1:24" x14ac:dyDescent="0.25">
      <c r="A22" s="11" t="s">
        <v>172</v>
      </c>
      <c r="B22" s="239" t="s">
        <v>25</v>
      </c>
      <c r="C22" s="240">
        <f t="shared" si="3"/>
        <v>0.24404761904761904</v>
      </c>
      <c r="D22" s="472">
        <f>_xlfn.XLOOKUP(B22,'Log Sales Data'!AA:AA,'Log Sales Data'!AB:AB,0,0)</f>
        <v>0.99</v>
      </c>
      <c r="E22" s="409" t="s">
        <v>21</v>
      </c>
      <c r="F22" s="241">
        <f>SUMIFS('Log Sales Data'!$I:$I,'Log Sales Data'!$C:$C,$B$2,'Log Sales Data'!$D:$D,$B22,'Log Sales Data'!$G:$G,$A22)</f>
        <v>1230</v>
      </c>
      <c r="G22" s="241">
        <f t="shared" si="4"/>
        <v>120</v>
      </c>
      <c r="H22" s="418">
        <f t="shared" si="5"/>
        <v>147600</v>
      </c>
      <c r="I22" s="419"/>
      <c r="J22" s="420">
        <f>SUMIFS('Log Sales Data'!$M:$M,'Log Sales Data'!$B:$B,J$19,'Log Sales Data'!$C:$C,$B$2,'Log Sales Data'!$D:$D,$B22,'Log Sales Data'!$G:$G,$A22)</f>
        <v>147600</v>
      </c>
      <c r="K22" s="420">
        <f>SUMIFS('Log Sales Data'!$M:$M,'Log Sales Data'!$B:$B,K$19,'Log Sales Data'!$C:$C,$B$2,'Log Sales Data'!$D:$D,$B22,'Log Sales Data'!$G:$G,$A22)</f>
        <v>0</v>
      </c>
      <c r="L22" s="420">
        <f>SUMIFS('Log Sales Data'!$M:$M,'Log Sales Data'!$B:$B,L$19,'Log Sales Data'!$C:$C,$B$2,'Log Sales Data'!$D:$D,$B22,'Log Sales Data'!$G:$G,$A22)</f>
        <v>0</v>
      </c>
      <c r="M22" s="420">
        <f>SUMIFS('Log Sales Data'!$M:$M,'Log Sales Data'!$B:$B,M$19,'Log Sales Data'!$C:$C,$B$2,'Log Sales Data'!$D:$D,$B22,'Log Sales Data'!$G:$G,$A22)</f>
        <v>0</v>
      </c>
      <c r="N22" s="420">
        <f>SUMIFS('Log Sales Data'!$M:$M,'Log Sales Data'!$B:$B,N$19,'Log Sales Data'!$C:$C,$B$2,'Log Sales Data'!$D:$D,$B22,'Log Sales Data'!$G:$G,$A22)</f>
        <v>0</v>
      </c>
      <c r="O22" s="420">
        <f>SUMIFS('Log Sales Data'!$M:$M,'Log Sales Data'!$B:$B,O$19,'Log Sales Data'!$C:$C,$B$2,'Log Sales Data'!$D:$D,$B22,'Log Sales Data'!$G:$G,$A22)</f>
        <v>0</v>
      </c>
      <c r="P22" s="420">
        <f>SUMIFS('Log Sales Data'!$M:$M,'Log Sales Data'!$B:$B,P$19,'Log Sales Data'!$C:$C,$B$2,'Log Sales Data'!$D:$D,$B22,'Log Sales Data'!$G:$G,$A22)</f>
        <v>0</v>
      </c>
      <c r="Q22" s="420">
        <f>SUMIFS('Log Sales Data'!$M:$M,'Log Sales Data'!$B:$B,Q$19,'Log Sales Data'!$C:$C,$B$2,'Log Sales Data'!$D:$D,$B22,'Log Sales Data'!$G:$G,$A22)</f>
        <v>0</v>
      </c>
      <c r="R22" s="420">
        <f>SUMIFS('Log Sales Data'!$M:$M,'Log Sales Data'!$B:$B,R$19,'Log Sales Data'!$C:$C,$B$2,'Log Sales Data'!$D:$D,$B22,'Log Sales Data'!$G:$G,$A22)</f>
        <v>0</v>
      </c>
      <c r="S22" s="420">
        <f>SUMIFS('Log Sales Data'!$M:$M,'Log Sales Data'!$B:$B,S$19,'Log Sales Data'!$C:$C,$B$2,'Log Sales Data'!$D:$D,$B22,'Log Sales Data'!$G:$G,$A22)</f>
        <v>0</v>
      </c>
      <c r="T22" s="420">
        <f>SUMIFS('Log Sales Data'!$M:$M,'Log Sales Data'!$B:$B,T$19,'Log Sales Data'!$C:$C,$B$2,'Log Sales Data'!$D:$D,$B22,'Log Sales Data'!$G:$G,$A22)</f>
        <v>0</v>
      </c>
      <c r="U22" s="420">
        <f>SUMIFS('Log Sales Data'!$M:$M,'Log Sales Data'!$B:$B,U$19,'Log Sales Data'!$C:$C,$B$2,'Log Sales Data'!$D:$D,$B22,'Log Sales Data'!$G:$G,$A22)</f>
        <v>0</v>
      </c>
      <c r="W22" s="38"/>
      <c r="X22"/>
    </row>
    <row r="23" spans="1:24" x14ac:dyDescent="0.25">
      <c r="A23" s="11" t="s">
        <v>172</v>
      </c>
      <c r="B23" s="242" t="s">
        <v>30</v>
      </c>
      <c r="C23" s="240">
        <f t="shared" si="3"/>
        <v>0</v>
      </c>
      <c r="D23" s="472">
        <f>_xlfn.XLOOKUP(B23,'Log Sales Data'!AA:AA,'Log Sales Data'!AB:AB,0,0)</f>
        <v>0.88</v>
      </c>
      <c r="E23" s="409" t="s">
        <v>21</v>
      </c>
      <c r="F23" s="241">
        <f>SUMIFS('Log Sales Data'!$I:$I,'Log Sales Data'!$C:$C,$B$2,'Log Sales Data'!$D:$D,$B23,'Log Sales Data'!$G:$G,$A23)</f>
        <v>0</v>
      </c>
      <c r="G23" s="241" t="str">
        <f t="shared" si="4"/>
        <v>0</v>
      </c>
      <c r="H23" s="418">
        <f t="shared" si="5"/>
        <v>0</v>
      </c>
      <c r="I23" s="419"/>
      <c r="J23" s="420">
        <f>SUMIFS('Log Sales Data'!$M:$M,'Log Sales Data'!$B:$B,J$19,'Log Sales Data'!$C:$C,$B$2,'Log Sales Data'!$D:$D,$B23,'Log Sales Data'!$G:$G,$A23)</f>
        <v>0</v>
      </c>
      <c r="K23" s="420">
        <f>SUMIFS('Log Sales Data'!$M:$M,'Log Sales Data'!$B:$B,K$19,'Log Sales Data'!$C:$C,$B$2,'Log Sales Data'!$D:$D,$B23,'Log Sales Data'!$G:$G,$A23)</f>
        <v>0</v>
      </c>
      <c r="L23" s="420">
        <f>SUMIFS('Log Sales Data'!$M:$M,'Log Sales Data'!$B:$B,L$19,'Log Sales Data'!$C:$C,$B$2,'Log Sales Data'!$D:$D,$B23,'Log Sales Data'!$G:$G,$A23)</f>
        <v>0</v>
      </c>
      <c r="M23" s="420">
        <f>SUMIFS('Log Sales Data'!$M:$M,'Log Sales Data'!$B:$B,M$19,'Log Sales Data'!$C:$C,$B$2,'Log Sales Data'!$D:$D,$B23,'Log Sales Data'!$G:$G,$A23)</f>
        <v>0</v>
      </c>
      <c r="N23" s="420">
        <f>SUMIFS('Log Sales Data'!$M:$M,'Log Sales Data'!$B:$B,N$19,'Log Sales Data'!$C:$C,$B$2,'Log Sales Data'!$D:$D,$B23,'Log Sales Data'!$G:$G,$A23)</f>
        <v>0</v>
      </c>
      <c r="O23" s="420">
        <f>SUMIFS('Log Sales Data'!$M:$M,'Log Sales Data'!$B:$B,O$19,'Log Sales Data'!$C:$C,$B$2,'Log Sales Data'!$D:$D,$B23,'Log Sales Data'!$G:$G,$A23)</f>
        <v>0</v>
      </c>
      <c r="P23" s="420">
        <f>SUMIFS('Log Sales Data'!$M:$M,'Log Sales Data'!$B:$B,P$19,'Log Sales Data'!$C:$C,$B$2,'Log Sales Data'!$D:$D,$B23,'Log Sales Data'!$G:$G,$A23)</f>
        <v>0</v>
      </c>
      <c r="Q23" s="420">
        <f>SUMIFS('Log Sales Data'!$M:$M,'Log Sales Data'!$B:$B,Q$19,'Log Sales Data'!$C:$C,$B$2,'Log Sales Data'!$D:$D,$B23,'Log Sales Data'!$G:$G,$A23)</f>
        <v>0</v>
      </c>
      <c r="R23" s="420">
        <f>SUMIFS('Log Sales Data'!$M:$M,'Log Sales Data'!$B:$B,R$19,'Log Sales Data'!$C:$C,$B$2,'Log Sales Data'!$D:$D,$B23,'Log Sales Data'!$G:$G,$A23)</f>
        <v>0</v>
      </c>
      <c r="S23" s="420">
        <f>SUMIFS('Log Sales Data'!$M:$M,'Log Sales Data'!$B:$B,S$19,'Log Sales Data'!$C:$C,$B$2,'Log Sales Data'!$D:$D,$B23,'Log Sales Data'!$G:$G,$A23)</f>
        <v>0</v>
      </c>
      <c r="T23" s="420">
        <f>SUMIFS('Log Sales Data'!$M:$M,'Log Sales Data'!$B:$B,T$19,'Log Sales Data'!$C:$C,$B$2,'Log Sales Data'!$D:$D,$B23,'Log Sales Data'!$G:$G,$A23)</f>
        <v>0</v>
      </c>
      <c r="U23" s="420">
        <f>SUMIFS('Log Sales Data'!$M:$M,'Log Sales Data'!$B:$B,U$19,'Log Sales Data'!$C:$C,$B$2,'Log Sales Data'!$D:$D,$B23,'Log Sales Data'!$G:$G,$A23)</f>
        <v>0</v>
      </c>
      <c r="W23" s="38"/>
    </row>
    <row r="24" spans="1:24" x14ac:dyDescent="0.25">
      <c r="A24" s="11" t="s">
        <v>172</v>
      </c>
      <c r="B24" s="242" t="s">
        <v>222</v>
      </c>
      <c r="C24" s="240">
        <f t="shared" si="3"/>
        <v>0</v>
      </c>
      <c r="D24" s="472">
        <f>_xlfn.XLOOKUP(B24,'Log Sales Data'!AA:AA,'Log Sales Data'!AB:AB,0,0)</f>
        <v>0.95</v>
      </c>
      <c r="E24" s="409" t="s">
        <v>21</v>
      </c>
      <c r="F24" s="241">
        <f>SUMIFS('Log Sales Data'!$I:$I,'Log Sales Data'!$C:$C,$B$2,'Log Sales Data'!$D:$D,$B24,'Log Sales Data'!$G:$G,$A24)</f>
        <v>0</v>
      </c>
      <c r="G24" s="241" t="str">
        <f t="shared" si="4"/>
        <v>0</v>
      </c>
      <c r="H24" s="418">
        <f t="shared" si="5"/>
        <v>0</v>
      </c>
      <c r="I24" s="419"/>
      <c r="J24" s="420">
        <f>SUMIFS('Log Sales Data'!$M:$M,'Log Sales Data'!$B:$B,J$19,'Log Sales Data'!$C:$C,$B$2,'Log Sales Data'!$D:$D,$B24,'Log Sales Data'!$G:$G,$A24)</f>
        <v>0</v>
      </c>
      <c r="K24" s="420">
        <f>SUMIFS('Log Sales Data'!$M:$M,'Log Sales Data'!$B:$B,K$19,'Log Sales Data'!$C:$C,$B$2,'Log Sales Data'!$D:$D,$B24,'Log Sales Data'!$G:$G,$A24)</f>
        <v>0</v>
      </c>
      <c r="L24" s="420">
        <f>SUMIFS('Log Sales Data'!$M:$M,'Log Sales Data'!$B:$B,L$19,'Log Sales Data'!$C:$C,$B$2,'Log Sales Data'!$D:$D,$B24,'Log Sales Data'!$G:$G,$A24)</f>
        <v>0</v>
      </c>
      <c r="M24" s="420">
        <f>SUMIFS('Log Sales Data'!$M:$M,'Log Sales Data'!$B:$B,M$19,'Log Sales Data'!$C:$C,$B$2,'Log Sales Data'!$D:$D,$B24,'Log Sales Data'!$G:$G,$A24)</f>
        <v>0</v>
      </c>
      <c r="N24" s="420">
        <f>SUMIFS('Log Sales Data'!$M:$M,'Log Sales Data'!$B:$B,N$19,'Log Sales Data'!$C:$C,$B$2,'Log Sales Data'!$D:$D,$B24,'Log Sales Data'!$G:$G,$A24)</f>
        <v>0</v>
      </c>
      <c r="O24" s="420">
        <f>SUMIFS('Log Sales Data'!$M:$M,'Log Sales Data'!$B:$B,O$19,'Log Sales Data'!$C:$C,$B$2,'Log Sales Data'!$D:$D,$B24,'Log Sales Data'!$G:$G,$A24)</f>
        <v>0</v>
      </c>
      <c r="P24" s="420">
        <f>SUMIFS('Log Sales Data'!$M:$M,'Log Sales Data'!$B:$B,P$19,'Log Sales Data'!$C:$C,$B$2,'Log Sales Data'!$D:$D,$B24,'Log Sales Data'!$G:$G,$A24)</f>
        <v>0</v>
      </c>
      <c r="Q24" s="420">
        <f>SUMIFS('Log Sales Data'!$M:$M,'Log Sales Data'!$B:$B,Q$19,'Log Sales Data'!$C:$C,$B$2,'Log Sales Data'!$D:$D,$B24,'Log Sales Data'!$G:$G,$A24)</f>
        <v>0</v>
      </c>
      <c r="R24" s="420">
        <f>SUMIFS('Log Sales Data'!$M:$M,'Log Sales Data'!$B:$B,R$19,'Log Sales Data'!$C:$C,$B$2,'Log Sales Data'!$D:$D,$B24,'Log Sales Data'!$G:$G,$A24)</f>
        <v>0</v>
      </c>
      <c r="S24" s="420">
        <f>SUMIFS('Log Sales Data'!$M:$M,'Log Sales Data'!$B:$B,S$19,'Log Sales Data'!$C:$C,$B$2,'Log Sales Data'!$D:$D,$B24,'Log Sales Data'!$G:$G,$A24)</f>
        <v>0</v>
      </c>
      <c r="T24" s="420">
        <f>SUMIFS('Log Sales Data'!$M:$M,'Log Sales Data'!$B:$B,T$19,'Log Sales Data'!$C:$C,$B$2,'Log Sales Data'!$D:$D,$B24,'Log Sales Data'!$G:$G,$A24)</f>
        <v>0</v>
      </c>
      <c r="U24" s="420">
        <f>SUMIFS('Log Sales Data'!$M:$M,'Log Sales Data'!$B:$B,U$19,'Log Sales Data'!$C:$C,$B$2,'Log Sales Data'!$D:$D,$B24,'Log Sales Data'!$G:$G,$A24)</f>
        <v>0</v>
      </c>
      <c r="W24" s="38"/>
    </row>
    <row r="25" spans="1:24" x14ac:dyDescent="0.25">
      <c r="A25" s="11" t="s">
        <v>172</v>
      </c>
      <c r="B25" s="242" t="s">
        <v>34</v>
      </c>
      <c r="C25" s="240">
        <f t="shared" si="3"/>
        <v>0</v>
      </c>
      <c r="D25" s="472">
        <f>_xlfn.XLOOKUP(B25,'Log Sales Data'!AA:AA,'Log Sales Data'!AB:AB,0,0)</f>
        <v>0.95</v>
      </c>
      <c r="E25" s="409" t="s">
        <v>21</v>
      </c>
      <c r="F25" s="241">
        <f>SUMIFS('Log Sales Data'!$I:$I,'Log Sales Data'!$C:$C,$B$2,'Log Sales Data'!$D:$D,$B25,'Log Sales Data'!$G:$G,$A25)</f>
        <v>0</v>
      </c>
      <c r="G25" s="241" t="str">
        <f t="shared" si="4"/>
        <v>0</v>
      </c>
      <c r="H25" s="418">
        <f t="shared" si="5"/>
        <v>0</v>
      </c>
      <c r="I25" s="419"/>
      <c r="J25" s="420">
        <f>SUMIFS('Log Sales Data'!$M:$M,'Log Sales Data'!$B:$B,J$19,'Log Sales Data'!$C:$C,$B$2,'Log Sales Data'!$D:$D,$B25,'Log Sales Data'!$G:$G,$A25)</f>
        <v>0</v>
      </c>
      <c r="K25" s="420">
        <f>SUMIFS('Log Sales Data'!$M:$M,'Log Sales Data'!$B:$B,K$19,'Log Sales Data'!$C:$C,$B$2,'Log Sales Data'!$D:$D,$B25,'Log Sales Data'!$G:$G,$A25)</f>
        <v>0</v>
      </c>
      <c r="L25" s="420">
        <f>SUMIFS('Log Sales Data'!$M:$M,'Log Sales Data'!$B:$B,L$19,'Log Sales Data'!$C:$C,$B$2,'Log Sales Data'!$D:$D,$B25,'Log Sales Data'!$G:$G,$A25)</f>
        <v>0</v>
      </c>
      <c r="M25" s="420">
        <f>SUMIFS('Log Sales Data'!$M:$M,'Log Sales Data'!$B:$B,M$19,'Log Sales Data'!$C:$C,$B$2,'Log Sales Data'!$D:$D,$B25,'Log Sales Data'!$G:$G,$A25)</f>
        <v>0</v>
      </c>
      <c r="N25" s="420">
        <f>SUMIFS('Log Sales Data'!$M:$M,'Log Sales Data'!$B:$B,N$19,'Log Sales Data'!$C:$C,$B$2,'Log Sales Data'!$D:$D,$B25,'Log Sales Data'!$G:$G,$A25)</f>
        <v>0</v>
      </c>
      <c r="O25" s="420">
        <f>SUMIFS('Log Sales Data'!$M:$M,'Log Sales Data'!$B:$B,O$19,'Log Sales Data'!$C:$C,$B$2,'Log Sales Data'!$D:$D,$B25,'Log Sales Data'!$G:$G,$A25)</f>
        <v>0</v>
      </c>
      <c r="P25" s="420">
        <f>SUMIFS('Log Sales Data'!$M:$M,'Log Sales Data'!$B:$B,P$19,'Log Sales Data'!$C:$C,$B$2,'Log Sales Data'!$D:$D,$B25,'Log Sales Data'!$G:$G,$A25)</f>
        <v>0</v>
      </c>
      <c r="Q25" s="420">
        <f>SUMIFS('Log Sales Data'!$M:$M,'Log Sales Data'!$B:$B,Q$19,'Log Sales Data'!$C:$C,$B$2,'Log Sales Data'!$D:$D,$B25,'Log Sales Data'!$G:$G,$A25)</f>
        <v>0</v>
      </c>
      <c r="R25" s="420">
        <f>SUMIFS('Log Sales Data'!$M:$M,'Log Sales Data'!$B:$B,R$19,'Log Sales Data'!$C:$C,$B$2,'Log Sales Data'!$D:$D,$B25,'Log Sales Data'!$G:$G,$A25)</f>
        <v>0</v>
      </c>
      <c r="S25" s="420">
        <f>SUMIFS('Log Sales Data'!$M:$M,'Log Sales Data'!$B:$B,S$19,'Log Sales Data'!$C:$C,$B$2,'Log Sales Data'!$D:$D,$B25,'Log Sales Data'!$G:$G,$A25)</f>
        <v>0</v>
      </c>
      <c r="T25" s="420">
        <f>SUMIFS('Log Sales Data'!$M:$M,'Log Sales Data'!$B:$B,T$19,'Log Sales Data'!$C:$C,$B$2,'Log Sales Data'!$D:$D,$B25,'Log Sales Data'!$G:$G,$A25)</f>
        <v>0</v>
      </c>
      <c r="U25" s="420">
        <f>SUMIFS('Log Sales Data'!$M:$M,'Log Sales Data'!$B:$B,U$19,'Log Sales Data'!$C:$C,$B$2,'Log Sales Data'!$D:$D,$B25,'Log Sales Data'!$G:$G,$A25)</f>
        <v>0</v>
      </c>
      <c r="W25" s="38"/>
    </row>
    <row r="26" spans="1:24" x14ac:dyDescent="0.25">
      <c r="A26" s="11" t="s">
        <v>172</v>
      </c>
      <c r="B26" s="242" t="s">
        <v>37</v>
      </c>
      <c r="C26" s="240">
        <f t="shared" si="3"/>
        <v>0</v>
      </c>
      <c r="D26" s="472">
        <f>_xlfn.XLOOKUP(B26,'Log Sales Data'!AA:AA,'Log Sales Data'!AB:AB,0,0)</f>
        <v>0.88</v>
      </c>
      <c r="E26" s="409" t="s">
        <v>21</v>
      </c>
      <c r="F26" s="241">
        <f>SUMIFS('Log Sales Data'!$I:$I,'Log Sales Data'!$C:$C,$B$2,'Log Sales Data'!$D:$D,$B26,'Log Sales Data'!$G:$G,$A26)</f>
        <v>0</v>
      </c>
      <c r="G26" s="241" t="str">
        <f t="shared" si="4"/>
        <v>0</v>
      </c>
      <c r="H26" s="418">
        <f t="shared" si="5"/>
        <v>0</v>
      </c>
      <c r="I26" s="419"/>
      <c r="J26" s="420">
        <f>SUMIFS('Log Sales Data'!$M:$M,'Log Sales Data'!$B:$B,J$19,'Log Sales Data'!$C:$C,$B$2,'Log Sales Data'!$D:$D,$B26,'Log Sales Data'!$G:$G,$A26)</f>
        <v>0</v>
      </c>
      <c r="K26" s="420">
        <f>SUMIFS('Log Sales Data'!$M:$M,'Log Sales Data'!$B:$B,K$19,'Log Sales Data'!$C:$C,$B$2,'Log Sales Data'!$D:$D,$B26,'Log Sales Data'!$G:$G,$A26)</f>
        <v>0</v>
      </c>
      <c r="L26" s="420">
        <f>SUMIFS('Log Sales Data'!$M:$M,'Log Sales Data'!$B:$B,L$19,'Log Sales Data'!$C:$C,$B$2,'Log Sales Data'!$D:$D,$B26,'Log Sales Data'!$G:$G,$A26)</f>
        <v>0</v>
      </c>
      <c r="M26" s="420">
        <f>SUMIFS('Log Sales Data'!$M:$M,'Log Sales Data'!$B:$B,M$19,'Log Sales Data'!$C:$C,$B$2,'Log Sales Data'!$D:$D,$B26,'Log Sales Data'!$G:$G,$A26)</f>
        <v>0</v>
      </c>
      <c r="N26" s="420">
        <f>SUMIFS('Log Sales Data'!$M:$M,'Log Sales Data'!$B:$B,N$19,'Log Sales Data'!$C:$C,$B$2,'Log Sales Data'!$D:$D,$B26,'Log Sales Data'!$G:$G,$A26)</f>
        <v>0</v>
      </c>
      <c r="O26" s="420">
        <f>SUMIFS('Log Sales Data'!$M:$M,'Log Sales Data'!$B:$B,O$19,'Log Sales Data'!$C:$C,$B$2,'Log Sales Data'!$D:$D,$B26,'Log Sales Data'!$G:$G,$A26)</f>
        <v>0</v>
      </c>
      <c r="P26" s="420">
        <f>SUMIFS('Log Sales Data'!$M:$M,'Log Sales Data'!$B:$B,P$19,'Log Sales Data'!$C:$C,$B$2,'Log Sales Data'!$D:$D,$B26,'Log Sales Data'!$G:$G,$A26)</f>
        <v>0</v>
      </c>
      <c r="Q26" s="420">
        <f>SUMIFS('Log Sales Data'!$M:$M,'Log Sales Data'!$B:$B,Q$19,'Log Sales Data'!$C:$C,$B$2,'Log Sales Data'!$D:$D,$B26,'Log Sales Data'!$G:$G,$A26)</f>
        <v>0</v>
      </c>
      <c r="R26" s="420">
        <f>SUMIFS('Log Sales Data'!$M:$M,'Log Sales Data'!$B:$B,R$19,'Log Sales Data'!$C:$C,$B$2,'Log Sales Data'!$D:$D,$B26,'Log Sales Data'!$G:$G,$A26)</f>
        <v>0</v>
      </c>
      <c r="S26" s="420">
        <f>SUMIFS('Log Sales Data'!$M:$M,'Log Sales Data'!$B:$B,S$19,'Log Sales Data'!$C:$C,$B$2,'Log Sales Data'!$D:$D,$B26,'Log Sales Data'!$G:$G,$A26)</f>
        <v>0</v>
      </c>
      <c r="T26" s="420">
        <f>SUMIFS('Log Sales Data'!$M:$M,'Log Sales Data'!$B:$B,T$19,'Log Sales Data'!$C:$C,$B$2,'Log Sales Data'!$D:$D,$B26,'Log Sales Data'!$G:$G,$A26)</f>
        <v>0</v>
      </c>
      <c r="U26" s="420">
        <f>SUMIFS('Log Sales Data'!$M:$M,'Log Sales Data'!$B:$B,U$19,'Log Sales Data'!$C:$C,$B$2,'Log Sales Data'!$D:$D,$B26,'Log Sales Data'!$G:$G,$A26)</f>
        <v>0</v>
      </c>
      <c r="W26" s="38"/>
    </row>
    <row r="27" spans="1:24" x14ac:dyDescent="0.25">
      <c r="A27" s="11" t="s">
        <v>172</v>
      </c>
      <c r="B27" s="242" t="s">
        <v>174</v>
      </c>
      <c r="C27" s="240">
        <f t="shared" si="3"/>
        <v>0</v>
      </c>
      <c r="D27" s="472">
        <f>_xlfn.XLOOKUP(B27,'Log Sales Data'!AA:AA,'Log Sales Data'!AB:AB,0,0)</f>
        <v>0.88</v>
      </c>
      <c r="E27" s="409" t="s">
        <v>21</v>
      </c>
      <c r="F27" s="241">
        <f>SUMIFS('Log Sales Data'!$I:$I,'Log Sales Data'!$C:$C,$B$2,'Log Sales Data'!$D:$D,$B27,'Log Sales Data'!$G:$G,$A27)</f>
        <v>0</v>
      </c>
      <c r="G27" s="241" t="str">
        <f t="shared" si="4"/>
        <v>0</v>
      </c>
      <c r="H27" s="418">
        <f t="shared" si="5"/>
        <v>0</v>
      </c>
      <c r="I27" s="419"/>
      <c r="J27" s="420">
        <f>SUMIFS('Log Sales Data'!$M:$M,'Log Sales Data'!$B:$B,J$19,'Log Sales Data'!$C:$C,$B$2,'Log Sales Data'!$D:$D,$B27,'Log Sales Data'!$G:$G,$A27)</f>
        <v>0</v>
      </c>
      <c r="K27" s="420">
        <f>SUMIFS('Log Sales Data'!$M:$M,'Log Sales Data'!$B:$B,K$19,'Log Sales Data'!$C:$C,$B$2,'Log Sales Data'!$D:$D,$B27,'Log Sales Data'!$G:$G,$A27)</f>
        <v>0</v>
      </c>
      <c r="L27" s="420">
        <f>SUMIFS('Log Sales Data'!$M:$M,'Log Sales Data'!$B:$B,L$19,'Log Sales Data'!$C:$C,$B$2,'Log Sales Data'!$D:$D,$B27,'Log Sales Data'!$G:$G,$A27)</f>
        <v>0</v>
      </c>
      <c r="M27" s="420">
        <f>SUMIFS('Log Sales Data'!$M:$M,'Log Sales Data'!$B:$B,M$19,'Log Sales Data'!$C:$C,$B$2,'Log Sales Data'!$D:$D,$B27,'Log Sales Data'!$G:$G,$A27)</f>
        <v>0</v>
      </c>
      <c r="N27" s="420">
        <f>SUMIFS('Log Sales Data'!$M:$M,'Log Sales Data'!$B:$B,N$19,'Log Sales Data'!$C:$C,$B$2,'Log Sales Data'!$D:$D,$B27,'Log Sales Data'!$G:$G,$A27)</f>
        <v>0</v>
      </c>
      <c r="O27" s="420">
        <f>SUMIFS('Log Sales Data'!$M:$M,'Log Sales Data'!$B:$B,O$19,'Log Sales Data'!$C:$C,$B$2,'Log Sales Data'!$D:$D,$B27,'Log Sales Data'!$G:$G,$A27)</f>
        <v>0</v>
      </c>
      <c r="P27" s="420">
        <f>SUMIFS('Log Sales Data'!$M:$M,'Log Sales Data'!$B:$B,P$19,'Log Sales Data'!$C:$C,$B$2,'Log Sales Data'!$D:$D,$B27,'Log Sales Data'!$G:$G,$A27)</f>
        <v>0</v>
      </c>
      <c r="Q27" s="420">
        <f>SUMIFS('Log Sales Data'!$M:$M,'Log Sales Data'!$B:$B,Q$19,'Log Sales Data'!$C:$C,$B$2,'Log Sales Data'!$D:$D,$B27,'Log Sales Data'!$G:$G,$A27)</f>
        <v>0</v>
      </c>
      <c r="R27" s="420">
        <f>SUMIFS('Log Sales Data'!$M:$M,'Log Sales Data'!$B:$B,R$19,'Log Sales Data'!$C:$C,$B$2,'Log Sales Data'!$D:$D,$B27,'Log Sales Data'!$G:$G,$A27)</f>
        <v>0</v>
      </c>
      <c r="S27" s="420">
        <f>SUMIFS('Log Sales Data'!$M:$M,'Log Sales Data'!$B:$B,S$19,'Log Sales Data'!$C:$C,$B$2,'Log Sales Data'!$D:$D,$B27,'Log Sales Data'!$G:$G,$A27)</f>
        <v>0</v>
      </c>
      <c r="T27" s="420">
        <f>SUMIFS('Log Sales Data'!$M:$M,'Log Sales Data'!$B:$B,T$19,'Log Sales Data'!$C:$C,$B$2,'Log Sales Data'!$D:$D,$B27,'Log Sales Data'!$G:$G,$A27)</f>
        <v>0</v>
      </c>
      <c r="U27" s="420">
        <f>SUMIFS('Log Sales Data'!$M:$M,'Log Sales Data'!$B:$B,U$19,'Log Sales Data'!$C:$C,$B$2,'Log Sales Data'!$D:$D,$B27,'Log Sales Data'!$G:$G,$A27)</f>
        <v>0</v>
      </c>
      <c r="W27" s="38"/>
    </row>
    <row r="28" spans="1:24" x14ac:dyDescent="0.25">
      <c r="A28" s="11" t="s">
        <v>172</v>
      </c>
      <c r="B28" s="376" t="s">
        <v>202</v>
      </c>
      <c r="C28" s="377"/>
      <c r="D28" s="473"/>
      <c r="E28" s="470" t="s">
        <v>21</v>
      </c>
      <c r="F28" s="44"/>
      <c r="G28" s="44"/>
      <c r="H28" s="418">
        <f t="shared" si="5"/>
        <v>0</v>
      </c>
      <c r="I28" s="419"/>
      <c r="J28" s="420">
        <f>SUMIFS('Log Sales Data'!$M:$M,'Log Sales Data'!$B:$B,J$19,'Log Sales Data'!$C:$C,$B$2,'Log Sales Data'!$D:$D,$B28,'Log Sales Data'!$G:$G,$A28)</f>
        <v>0</v>
      </c>
      <c r="K28" s="420">
        <f>SUMIFS('Log Sales Data'!$M:$M,'Log Sales Data'!$B:$B,K$19,'Log Sales Data'!$C:$C,$B$2,'Log Sales Data'!$D:$D,$B28,'Log Sales Data'!$G:$G,$A28)</f>
        <v>0</v>
      </c>
      <c r="L28" s="420">
        <f>SUMIFS('Log Sales Data'!$M:$M,'Log Sales Data'!$B:$B,L$19,'Log Sales Data'!$C:$C,$B$2,'Log Sales Data'!$D:$D,$B28,'Log Sales Data'!$G:$G,$A28)</f>
        <v>0</v>
      </c>
      <c r="M28" s="420">
        <f>SUMIFS('Log Sales Data'!$M:$M,'Log Sales Data'!$B:$B,M$19,'Log Sales Data'!$C:$C,$B$2,'Log Sales Data'!$D:$D,$B28,'Log Sales Data'!$G:$G,$A28)</f>
        <v>0</v>
      </c>
      <c r="N28" s="420">
        <f>SUMIFS('Log Sales Data'!$M:$M,'Log Sales Data'!$B:$B,N$19,'Log Sales Data'!$C:$C,$B$2,'Log Sales Data'!$D:$D,$B28,'Log Sales Data'!$G:$G,$A28)</f>
        <v>0</v>
      </c>
      <c r="O28" s="420">
        <f>SUMIFS('Log Sales Data'!$M:$M,'Log Sales Data'!$B:$B,O$19,'Log Sales Data'!$C:$C,$B$2,'Log Sales Data'!$D:$D,$B28,'Log Sales Data'!$G:$G,$A28)</f>
        <v>0</v>
      </c>
      <c r="P28" s="420">
        <f>SUMIFS('Log Sales Data'!$M:$M,'Log Sales Data'!$B:$B,P$19,'Log Sales Data'!$C:$C,$B$2,'Log Sales Data'!$D:$D,$B28,'Log Sales Data'!$G:$G,$A28)</f>
        <v>0</v>
      </c>
      <c r="Q28" s="420">
        <f>SUMIFS('Log Sales Data'!$M:$M,'Log Sales Data'!$B:$B,Q$19,'Log Sales Data'!$C:$C,$B$2,'Log Sales Data'!$D:$D,$B28,'Log Sales Data'!$G:$G,$A28)</f>
        <v>0</v>
      </c>
      <c r="R28" s="420">
        <f>SUMIFS('Log Sales Data'!$M:$M,'Log Sales Data'!$B:$B,R$19,'Log Sales Data'!$C:$C,$B$2,'Log Sales Data'!$D:$D,$B28,'Log Sales Data'!$G:$G,$A28)</f>
        <v>0</v>
      </c>
      <c r="S28" s="420">
        <f>SUMIFS('Log Sales Data'!$M:$M,'Log Sales Data'!$B:$B,S$19,'Log Sales Data'!$C:$C,$B$2,'Log Sales Data'!$D:$D,$B28,'Log Sales Data'!$G:$G,$A28)</f>
        <v>0</v>
      </c>
      <c r="T28" s="420">
        <f>SUMIFS('Log Sales Data'!$M:$M,'Log Sales Data'!$B:$B,T$19,'Log Sales Data'!$C:$C,$B$2,'Log Sales Data'!$D:$D,$B28,'Log Sales Data'!$G:$G,$A28)</f>
        <v>0</v>
      </c>
      <c r="U28" s="420">
        <f>SUMIFS('Log Sales Data'!$M:$M,'Log Sales Data'!$B:$B,U$19,'Log Sales Data'!$C:$C,$B$2,'Log Sales Data'!$D:$D,$B28,'Log Sales Data'!$G:$G,$A28)</f>
        <v>0</v>
      </c>
      <c r="W28" s="38"/>
    </row>
    <row r="29" spans="1:24" x14ac:dyDescent="0.25">
      <c r="A29" s="11" t="s">
        <v>170</v>
      </c>
      <c r="B29" s="243" t="s">
        <v>175</v>
      </c>
      <c r="C29" s="244">
        <f t="shared" si="3"/>
        <v>8.9285714285714288E-2</v>
      </c>
      <c r="D29" s="474">
        <f>_xlfn.XLOOKUP(B29,'Log Sales Data'!AA:AA,'Log Sales Data'!AB:AB,0,0)</f>
        <v>1.0900000000000001</v>
      </c>
      <c r="E29" s="410" t="s">
        <v>21</v>
      </c>
      <c r="F29" s="245">
        <f>SUMIFS('Log Sales Data'!$I:$I,'Log Sales Data'!$C:$C,$B$2,'Log Sales Data'!$D:$D,$B29,'Log Sales Data'!$G:$G,$A29)</f>
        <v>450</v>
      </c>
      <c r="G29" s="245">
        <f t="shared" si="4"/>
        <v>195</v>
      </c>
      <c r="H29" s="418">
        <f t="shared" si="5"/>
        <v>87750</v>
      </c>
      <c r="I29" s="419"/>
      <c r="J29" s="420">
        <f>SUMIFS('Log Sales Data'!$M:$M,'Log Sales Data'!$B:$B,J$19,'Log Sales Data'!$C:$C,$B$2,'Log Sales Data'!$D:$D,$B29,'Log Sales Data'!$G:$G,$A29)</f>
        <v>87750</v>
      </c>
      <c r="K29" s="420">
        <f>SUMIFS('Log Sales Data'!$M:$M,'Log Sales Data'!$B:$B,K$19,'Log Sales Data'!$C:$C,$B$2,'Log Sales Data'!$D:$D,$B29,'Log Sales Data'!$G:$G,$A29)</f>
        <v>0</v>
      </c>
      <c r="L29" s="420">
        <f>SUMIFS('Log Sales Data'!$M:$M,'Log Sales Data'!$B:$B,L$19,'Log Sales Data'!$C:$C,$B$2,'Log Sales Data'!$D:$D,$B29,'Log Sales Data'!$G:$G,$A29)</f>
        <v>0</v>
      </c>
      <c r="M29" s="420">
        <f>SUMIFS('Log Sales Data'!$M:$M,'Log Sales Data'!$B:$B,M$19,'Log Sales Data'!$C:$C,$B$2,'Log Sales Data'!$D:$D,$B29,'Log Sales Data'!$G:$G,$A29)</f>
        <v>0</v>
      </c>
      <c r="N29" s="420">
        <f>SUMIFS('Log Sales Data'!$M:$M,'Log Sales Data'!$B:$B,N$19,'Log Sales Data'!$C:$C,$B$2,'Log Sales Data'!$D:$D,$B29,'Log Sales Data'!$G:$G,$A29)</f>
        <v>0</v>
      </c>
      <c r="O29" s="420">
        <f>SUMIFS('Log Sales Data'!$M:$M,'Log Sales Data'!$B:$B,O$19,'Log Sales Data'!$C:$C,$B$2,'Log Sales Data'!$D:$D,$B29,'Log Sales Data'!$G:$G,$A29)</f>
        <v>0</v>
      </c>
      <c r="P29" s="420">
        <f>SUMIFS('Log Sales Data'!$M:$M,'Log Sales Data'!$B:$B,P$19,'Log Sales Data'!$C:$C,$B$2,'Log Sales Data'!$D:$D,$B29,'Log Sales Data'!$G:$G,$A29)</f>
        <v>0</v>
      </c>
      <c r="Q29" s="420">
        <f>SUMIFS('Log Sales Data'!$M:$M,'Log Sales Data'!$B:$B,Q$19,'Log Sales Data'!$C:$C,$B$2,'Log Sales Data'!$D:$D,$B29,'Log Sales Data'!$G:$G,$A29)</f>
        <v>0</v>
      </c>
      <c r="R29" s="420">
        <f>SUMIFS('Log Sales Data'!$M:$M,'Log Sales Data'!$B:$B,R$19,'Log Sales Data'!$C:$C,$B$2,'Log Sales Data'!$D:$D,$B29,'Log Sales Data'!$G:$G,$A29)</f>
        <v>0</v>
      </c>
      <c r="S29" s="420">
        <f>SUMIFS('Log Sales Data'!$M:$M,'Log Sales Data'!$B:$B,S$19,'Log Sales Data'!$C:$C,$B$2,'Log Sales Data'!$D:$D,$B29,'Log Sales Data'!$G:$G,$A29)</f>
        <v>0</v>
      </c>
      <c r="T29" s="420">
        <f>SUMIFS('Log Sales Data'!$M:$M,'Log Sales Data'!$B:$B,T$19,'Log Sales Data'!$C:$C,$B$2,'Log Sales Data'!$D:$D,$B29,'Log Sales Data'!$G:$G,$A29)</f>
        <v>0</v>
      </c>
      <c r="U29" s="420">
        <f>SUMIFS('Log Sales Data'!$M:$M,'Log Sales Data'!$B:$B,U$19,'Log Sales Data'!$C:$C,$B$2,'Log Sales Data'!$D:$D,$B29,'Log Sales Data'!$G:$G,$A29)</f>
        <v>0</v>
      </c>
      <c r="W29" s="38"/>
    </row>
    <row r="30" spans="1:24" x14ac:dyDescent="0.25">
      <c r="A30" s="11" t="s">
        <v>170</v>
      </c>
      <c r="B30" s="243" t="s">
        <v>176</v>
      </c>
      <c r="C30" s="244">
        <f t="shared" si="3"/>
        <v>0</v>
      </c>
      <c r="D30" s="474">
        <f>_xlfn.XLOOKUP(B30,'Log Sales Data'!AA:AA,'Log Sales Data'!AB:AB,0,0)</f>
        <v>1.07</v>
      </c>
      <c r="E30" s="410" t="s">
        <v>21</v>
      </c>
      <c r="F30" s="245">
        <f>SUMIFS('Log Sales Data'!$I:$I,'Log Sales Data'!$C:$C,$B$2,'Log Sales Data'!$D:$D,$B30,'Log Sales Data'!$G:$G,$A30)</f>
        <v>0</v>
      </c>
      <c r="G30" s="245" t="str">
        <f t="shared" si="4"/>
        <v>0</v>
      </c>
      <c r="H30" s="418">
        <f t="shared" si="5"/>
        <v>0</v>
      </c>
      <c r="I30" s="419"/>
      <c r="J30" s="420">
        <f>SUMIFS('Log Sales Data'!$M:$M,'Log Sales Data'!$B:$B,J$19,'Log Sales Data'!$C:$C,$B$2,'Log Sales Data'!$D:$D,$B30,'Log Sales Data'!$G:$G,$A30)</f>
        <v>0</v>
      </c>
      <c r="K30" s="420">
        <f>SUMIFS('Log Sales Data'!$M:$M,'Log Sales Data'!$B:$B,K$19,'Log Sales Data'!$C:$C,$B$2,'Log Sales Data'!$D:$D,$B30,'Log Sales Data'!$G:$G,$A30)</f>
        <v>0</v>
      </c>
      <c r="L30" s="420">
        <f>SUMIFS('Log Sales Data'!$M:$M,'Log Sales Data'!$B:$B,L$19,'Log Sales Data'!$C:$C,$B$2,'Log Sales Data'!$D:$D,$B30,'Log Sales Data'!$G:$G,$A30)</f>
        <v>0</v>
      </c>
      <c r="M30" s="420">
        <f>SUMIFS('Log Sales Data'!$M:$M,'Log Sales Data'!$B:$B,M$19,'Log Sales Data'!$C:$C,$B$2,'Log Sales Data'!$D:$D,$B30,'Log Sales Data'!$G:$G,$A30)</f>
        <v>0</v>
      </c>
      <c r="N30" s="420">
        <f>SUMIFS('Log Sales Data'!$M:$M,'Log Sales Data'!$B:$B,N$19,'Log Sales Data'!$C:$C,$B$2,'Log Sales Data'!$D:$D,$B30,'Log Sales Data'!$G:$G,$A30)</f>
        <v>0</v>
      </c>
      <c r="O30" s="420">
        <f>SUMIFS('Log Sales Data'!$M:$M,'Log Sales Data'!$B:$B,O$19,'Log Sales Data'!$C:$C,$B$2,'Log Sales Data'!$D:$D,$B30,'Log Sales Data'!$G:$G,$A30)</f>
        <v>0</v>
      </c>
      <c r="P30" s="420">
        <f>SUMIFS('Log Sales Data'!$M:$M,'Log Sales Data'!$B:$B,P$19,'Log Sales Data'!$C:$C,$B$2,'Log Sales Data'!$D:$D,$B30,'Log Sales Data'!$G:$G,$A30)</f>
        <v>0</v>
      </c>
      <c r="Q30" s="420">
        <f>SUMIFS('Log Sales Data'!$M:$M,'Log Sales Data'!$B:$B,Q$19,'Log Sales Data'!$C:$C,$B$2,'Log Sales Data'!$D:$D,$B30,'Log Sales Data'!$G:$G,$A30)</f>
        <v>0</v>
      </c>
      <c r="R30" s="420">
        <f>SUMIFS('Log Sales Data'!$M:$M,'Log Sales Data'!$B:$B,R$19,'Log Sales Data'!$C:$C,$B$2,'Log Sales Data'!$D:$D,$B30,'Log Sales Data'!$G:$G,$A30)</f>
        <v>0</v>
      </c>
      <c r="S30" s="420">
        <f>SUMIFS('Log Sales Data'!$M:$M,'Log Sales Data'!$B:$B,S$19,'Log Sales Data'!$C:$C,$B$2,'Log Sales Data'!$D:$D,$B30,'Log Sales Data'!$G:$G,$A30)</f>
        <v>0</v>
      </c>
      <c r="T30" s="420">
        <f>SUMIFS('Log Sales Data'!$M:$M,'Log Sales Data'!$B:$B,T$19,'Log Sales Data'!$C:$C,$B$2,'Log Sales Data'!$D:$D,$B30,'Log Sales Data'!$G:$G,$A30)</f>
        <v>0</v>
      </c>
      <c r="U30" s="420">
        <f>SUMIFS('Log Sales Data'!$M:$M,'Log Sales Data'!$B:$B,U$19,'Log Sales Data'!$C:$C,$B$2,'Log Sales Data'!$D:$D,$B30,'Log Sales Data'!$G:$G,$A30)</f>
        <v>0</v>
      </c>
      <c r="W30" s="38"/>
    </row>
    <row r="31" spans="1:24" x14ac:dyDescent="0.25">
      <c r="A31" s="11" t="s">
        <v>170</v>
      </c>
      <c r="B31" s="243" t="s">
        <v>23</v>
      </c>
      <c r="C31" s="244">
        <f t="shared" si="3"/>
        <v>0</v>
      </c>
      <c r="D31" s="474">
        <f>_xlfn.XLOOKUP(B31,'Log Sales Data'!AA:AA,'Log Sales Data'!AB:AB,0,0)</f>
        <v>1.03</v>
      </c>
      <c r="E31" s="410" t="s">
        <v>21</v>
      </c>
      <c r="F31" s="245">
        <f>SUMIFS('Log Sales Data'!$I:$I,'Log Sales Data'!$C:$C,$B$2,'Log Sales Data'!$D:$D,$B31,'Log Sales Data'!$G:$G,$A31)</f>
        <v>0</v>
      </c>
      <c r="G31" s="245" t="str">
        <f t="shared" si="4"/>
        <v>0</v>
      </c>
      <c r="H31" s="418">
        <f t="shared" si="5"/>
        <v>0</v>
      </c>
      <c r="I31" s="419"/>
      <c r="J31" s="420">
        <f>SUMIFS('Log Sales Data'!$M:$M,'Log Sales Data'!$B:$B,J$19,'Log Sales Data'!$C:$C,$B$2,'Log Sales Data'!$D:$D,$B31,'Log Sales Data'!$G:$G,$A31)</f>
        <v>0</v>
      </c>
      <c r="K31" s="420">
        <f>SUMIFS('Log Sales Data'!$M:$M,'Log Sales Data'!$B:$B,K$19,'Log Sales Data'!$C:$C,$B$2,'Log Sales Data'!$D:$D,$B31,'Log Sales Data'!$G:$G,$A31)</f>
        <v>0</v>
      </c>
      <c r="L31" s="420">
        <f>SUMIFS('Log Sales Data'!$M:$M,'Log Sales Data'!$B:$B,L$19,'Log Sales Data'!$C:$C,$B$2,'Log Sales Data'!$D:$D,$B31,'Log Sales Data'!$G:$G,$A31)</f>
        <v>0</v>
      </c>
      <c r="M31" s="420">
        <f>SUMIFS('Log Sales Data'!$M:$M,'Log Sales Data'!$B:$B,M$19,'Log Sales Data'!$C:$C,$B$2,'Log Sales Data'!$D:$D,$B31,'Log Sales Data'!$G:$G,$A31)</f>
        <v>0</v>
      </c>
      <c r="N31" s="420">
        <f>SUMIFS('Log Sales Data'!$M:$M,'Log Sales Data'!$B:$B,N$19,'Log Sales Data'!$C:$C,$B$2,'Log Sales Data'!$D:$D,$B31,'Log Sales Data'!$G:$G,$A31)</f>
        <v>0</v>
      </c>
      <c r="O31" s="420">
        <f>SUMIFS('Log Sales Data'!$M:$M,'Log Sales Data'!$B:$B,O$19,'Log Sales Data'!$C:$C,$B$2,'Log Sales Data'!$D:$D,$B31,'Log Sales Data'!$G:$G,$A31)</f>
        <v>0</v>
      </c>
      <c r="P31" s="420">
        <f>SUMIFS('Log Sales Data'!$M:$M,'Log Sales Data'!$B:$B,P$19,'Log Sales Data'!$C:$C,$B$2,'Log Sales Data'!$D:$D,$B31,'Log Sales Data'!$G:$G,$A31)</f>
        <v>0</v>
      </c>
      <c r="Q31" s="420">
        <f>SUMIFS('Log Sales Data'!$M:$M,'Log Sales Data'!$B:$B,Q$19,'Log Sales Data'!$C:$C,$B$2,'Log Sales Data'!$D:$D,$B31,'Log Sales Data'!$G:$G,$A31)</f>
        <v>0</v>
      </c>
      <c r="R31" s="420">
        <f>SUMIFS('Log Sales Data'!$M:$M,'Log Sales Data'!$B:$B,R$19,'Log Sales Data'!$C:$C,$B$2,'Log Sales Data'!$D:$D,$B31,'Log Sales Data'!$G:$G,$A31)</f>
        <v>0</v>
      </c>
      <c r="S31" s="420">
        <f>SUMIFS('Log Sales Data'!$M:$M,'Log Sales Data'!$B:$B,S$19,'Log Sales Data'!$C:$C,$B$2,'Log Sales Data'!$D:$D,$B31,'Log Sales Data'!$G:$G,$A31)</f>
        <v>0</v>
      </c>
      <c r="T31" s="420">
        <f>SUMIFS('Log Sales Data'!$M:$M,'Log Sales Data'!$B:$B,T$19,'Log Sales Data'!$C:$C,$B$2,'Log Sales Data'!$D:$D,$B31,'Log Sales Data'!$G:$G,$A31)</f>
        <v>0</v>
      </c>
      <c r="U31" s="420">
        <f>SUMIFS('Log Sales Data'!$M:$M,'Log Sales Data'!$B:$B,U$19,'Log Sales Data'!$C:$C,$B$2,'Log Sales Data'!$D:$D,$B31,'Log Sales Data'!$G:$G,$A31)</f>
        <v>0</v>
      </c>
      <c r="W31" s="38"/>
    </row>
    <row r="32" spans="1:24" x14ac:dyDescent="0.25">
      <c r="A32" s="11" t="s">
        <v>170</v>
      </c>
      <c r="B32" s="246" t="s">
        <v>24</v>
      </c>
      <c r="C32" s="244">
        <f t="shared" si="3"/>
        <v>0.16865079365079366</v>
      </c>
      <c r="D32" s="474">
        <f>_xlfn.XLOOKUP(B32,'Log Sales Data'!AA:AA,'Log Sales Data'!AB:AB,0,0)</f>
        <v>1.03</v>
      </c>
      <c r="E32" s="410" t="s">
        <v>21</v>
      </c>
      <c r="F32" s="245">
        <f>SUMIFS('Log Sales Data'!$I:$I,'Log Sales Data'!$C:$C,$B$2,'Log Sales Data'!$D:$D,$B32,'Log Sales Data'!$G:$G,$A32)</f>
        <v>850</v>
      </c>
      <c r="G32" s="245">
        <f t="shared" si="4"/>
        <v>127</v>
      </c>
      <c r="H32" s="418">
        <f t="shared" si="5"/>
        <v>107950</v>
      </c>
      <c r="I32" s="419"/>
      <c r="J32" s="420">
        <f>SUMIFS('Log Sales Data'!$M:$M,'Log Sales Data'!$B:$B,J$19,'Log Sales Data'!$C:$C,$B$2,'Log Sales Data'!$D:$D,$B32,'Log Sales Data'!$G:$G,$A32)</f>
        <v>107950</v>
      </c>
      <c r="K32" s="420">
        <f>SUMIFS('Log Sales Data'!$M:$M,'Log Sales Data'!$B:$B,K$19,'Log Sales Data'!$C:$C,$B$2,'Log Sales Data'!$D:$D,$B32,'Log Sales Data'!$G:$G,$A32)</f>
        <v>0</v>
      </c>
      <c r="L32" s="420">
        <f>SUMIFS('Log Sales Data'!$M:$M,'Log Sales Data'!$B:$B,L$19,'Log Sales Data'!$C:$C,$B$2,'Log Sales Data'!$D:$D,$B32,'Log Sales Data'!$G:$G,$A32)</f>
        <v>0</v>
      </c>
      <c r="M32" s="420">
        <f>SUMIFS('Log Sales Data'!$M:$M,'Log Sales Data'!$B:$B,M$19,'Log Sales Data'!$C:$C,$B$2,'Log Sales Data'!$D:$D,$B32,'Log Sales Data'!$G:$G,$A32)</f>
        <v>0</v>
      </c>
      <c r="N32" s="420">
        <f>SUMIFS('Log Sales Data'!$M:$M,'Log Sales Data'!$B:$B,N$19,'Log Sales Data'!$C:$C,$B$2,'Log Sales Data'!$D:$D,$B32,'Log Sales Data'!$G:$G,$A32)</f>
        <v>0</v>
      </c>
      <c r="O32" s="420">
        <f>SUMIFS('Log Sales Data'!$M:$M,'Log Sales Data'!$B:$B,O$19,'Log Sales Data'!$C:$C,$B$2,'Log Sales Data'!$D:$D,$B32,'Log Sales Data'!$G:$G,$A32)</f>
        <v>0</v>
      </c>
      <c r="P32" s="420">
        <f>SUMIFS('Log Sales Data'!$M:$M,'Log Sales Data'!$B:$B,P$19,'Log Sales Data'!$C:$C,$B$2,'Log Sales Data'!$D:$D,$B32,'Log Sales Data'!$G:$G,$A32)</f>
        <v>0</v>
      </c>
      <c r="Q32" s="420">
        <f>SUMIFS('Log Sales Data'!$M:$M,'Log Sales Data'!$B:$B,Q$19,'Log Sales Data'!$C:$C,$B$2,'Log Sales Data'!$D:$D,$B32,'Log Sales Data'!$G:$G,$A32)</f>
        <v>0</v>
      </c>
      <c r="R32" s="420">
        <f>SUMIFS('Log Sales Data'!$M:$M,'Log Sales Data'!$B:$B,R$19,'Log Sales Data'!$C:$C,$B$2,'Log Sales Data'!$D:$D,$B32,'Log Sales Data'!$G:$G,$A32)</f>
        <v>0</v>
      </c>
      <c r="S32" s="420">
        <f>SUMIFS('Log Sales Data'!$M:$M,'Log Sales Data'!$B:$B,S$19,'Log Sales Data'!$C:$C,$B$2,'Log Sales Data'!$D:$D,$B32,'Log Sales Data'!$G:$G,$A32)</f>
        <v>0</v>
      </c>
      <c r="T32" s="420">
        <f>SUMIFS('Log Sales Data'!$M:$M,'Log Sales Data'!$B:$B,T$19,'Log Sales Data'!$C:$C,$B$2,'Log Sales Data'!$D:$D,$B32,'Log Sales Data'!$G:$G,$A32)</f>
        <v>0</v>
      </c>
      <c r="U32" s="420">
        <f>SUMIFS('Log Sales Data'!$M:$M,'Log Sales Data'!$B:$B,U$19,'Log Sales Data'!$C:$C,$B$2,'Log Sales Data'!$D:$D,$B32,'Log Sales Data'!$G:$G,$A32)</f>
        <v>0</v>
      </c>
      <c r="W32" s="38"/>
    </row>
    <row r="33" spans="1:23" x14ac:dyDescent="0.25">
      <c r="A33" s="11" t="s">
        <v>170</v>
      </c>
      <c r="B33" s="246" t="s">
        <v>26</v>
      </c>
      <c r="C33" s="244">
        <f t="shared" si="3"/>
        <v>0.24801587301587302</v>
      </c>
      <c r="D33" s="474">
        <f>_xlfn.XLOOKUP(B33,'Log Sales Data'!AA:AA,'Log Sales Data'!AB:AB,0,0)</f>
        <v>0.99</v>
      </c>
      <c r="E33" s="410" t="s">
        <v>21</v>
      </c>
      <c r="F33" s="245">
        <f>SUMIFS('Log Sales Data'!$I:$I,'Log Sales Data'!$C:$C,$B$2,'Log Sales Data'!$D:$D,$B33,'Log Sales Data'!$G:$G,$A33)</f>
        <v>1250</v>
      </c>
      <c r="G33" s="245">
        <f t="shared" si="4"/>
        <v>120</v>
      </c>
      <c r="H33" s="418">
        <f t="shared" si="5"/>
        <v>150000</v>
      </c>
      <c r="I33" s="419"/>
      <c r="J33" s="420">
        <f>SUMIFS('Log Sales Data'!$M:$M,'Log Sales Data'!$B:$B,J$19,'Log Sales Data'!$C:$C,$B$2,'Log Sales Data'!$D:$D,$B33,'Log Sales Data'!$G:$G,$A33)</f>
        <v>150000</v>
      </c>
      <c r="K33" s="420">
        <f>SUMIFS('Log Sales Data'!$M:$M,'Log Sales Data'!$B:$B,K$19,'Log Sales Data'!$C:$C,$B$2,'Log Sales Data'!$D:$D,$B33,'Log Sales Data'!$G:$G,$A33)</f>
        <v>0</v>
      </c>
      <c r="L33" s="420">
        <f>SUMIFS('Log Sales Data'!$M:$M,'Log Sales Data'!$B:$B,L$19,'Log Sales Data'!$C:$C,$B$2,'Log Sales Data'!$D:$D,$B33,'Log Sales Data'!$G:$G,$A33)</f>
        <v>0</v>
      </c>
      <c r="M33" s="420">
        <f>SUMIFS('Log Sales Data'!$M:$M,'Log Sales Data'!$B:$B,M$19,'Log Sales Data'!$C:$C,$B$2,'Log Sales Data'!$D:$D,$B33,'Log Sales Data'!$G:$G,$A33)</f>
        <v>0</v>
      </c>
      <c r="N33" s="420">
        <f>SUMIFS('Log Sales Data'!$M:$M,'Log Sales Data'!$B:$B,N$19,'Log Sales Data'!$C:$C,$B$2,'Log Sales Data'!$D:$D,$B33,'Log Sales Data'!$G:$G,$A33)</f>
        <v>0</v>
      </c>
      <c r="O33" s="420">
        <f>SUMIFS('Log Sales Data'!$M:$M,'Log Sales Data'!$B:$B,O$19,'Log Sales Data'!$C:$C,$B$2,'Log Sales Data'!$D:$D,$B33,'Log Sales Data'!$G:$G,$A33)</f>
        <v>0</v>
      </c>
      <c r="P33" s="420">
        <f>SUMIFS('Log Sales Data'!$M:$M,'Log Sales Data'!$B:$B,P$19,'Log Sales Data'!$C:$C,$B$2,'Log Sales Data'!$D:$D,$B33,'Log Sales Data'!$G:$G,$A33)</f>
        <v>0</v>
      </c>
      <c r="Q33" s="420">
        <f>SUMIFS('Log Sales Data'!$M:$M,'Log Sales Data'!$B:$B,Q$19,'Log Sales Data'!$C:$C,$B$2,'Log Sales Data'!$D:$D,$B33,'Log Sales Data'!$G:$G,$A33)</f>
        <v>0</v>
      </c>
      <c r="R33" s="420">
        <f>SUMIFS('Log Sales Data'!$M:$M,'Log Sales Data'!$B:$B,R$19,'Log Sales Data'!$C:$C,$B$2,'Log Sales Data'!$D:$D,$B33,'Log Sales Data'!$G:$G,$A33)</f>
        <v>0</v>
      </c>
      <c r="S33" s="420">
        <f>SUMIFS('Log Sales Data'!$M:$M,'Log Sales Data'!$B:$B,S$19,'Log Sales Data'!$C:$C,$B$2,'Log Sales Data'!$D:$D,$B33,'Log Sales Data'!$G:$G,$A33)</f>
        <v>0</v>
      </c>
      <c r="T33" s="420">
        <f>SUMIFS('Log Sales Data'!$M:$M,'Log Sales Data'!$B:$B,T$19,'Log Sales Data'!$C:$C,$B$2,'Log Sales Data'!$D:$D,$B33,'Log Sales Data'!$G:$G,$A33)</f>
        <v>0</v>
      </c>
      <c r="U33" s="420">
        <f>SUMIFS('Log Sales Data'!$M:$M,'Log Sales Data'!$B:$B,U$19,'Log Sales Data'!$C:$C,$B$2,'Log Sales Data'!$D:$D,$B33,'Log Sales Data'!$G:$G,$A33)</f>
        <v>0</v>
      </c>
      <c r="W33" s="38"/>
    </row>
    <row r="34" spans="1:23" x14ac:dyDescent="0.25">
      <c r="A34" s="11" t="s">
        <v>170</v>
      </c>
      <c r="B34" s="246" t="s">
        <v>27</v>
      </c>
      <c r="C34" s="244">
        <f t="shared" si="3"/>
        <v>0</v>
      </c>
      <c r="D34" s="474">
        <f>_xlfn.XLOOKUP(B34,'Log Sales Data'!AA:AA,'Log Sales Data'!AB:AB,0,0)</f>
        <v>0.97</v>
      </c>
      <c r="E34" s="410" t="s">
        <v>21</v>
      </c>
      <c r="F34" s="245">
        <f>SUMIFS('Log Sales Data'!$I:$I,'Log Sales Data'!$C:$C,$B$2,'Log Sales Data'!$D:$D,$B34,'Log Sales Data'!$G:$G,$A34)</f>
        <v>0</v>
      </c>
      <c r="G34" s="245" t="str">
        <f t="shared" si="4"/>
        <v>0</v>
      </c>
      <c r="H34" s="418">
        <f t="shared" si="5"/>
        <v>0</v>
      </c>
      <c r="I34" s="419"/>
      <c r="J34" s="420">
        <f>SUMIFS('Log Sales Data'!$M:$M,'Log Sales Data'!$B:$B,J$19,'Log Sales Data'!$C:$C,$B$2,'Log Sales Data'!$D:$D,$B34,'Log Sales Data'!$G:$G,$A34)</f>
        <v>0</v>
      </c>
      <c r="K34" s="420">
        <f>SUMIFS('Log Sales Data'!$M:$M,'Log Sales Data'!$B:$B,K$19,'Log Sales Data'!$C:$C,$B$2,'Log Sales Data'!$D:$D,$B34,'Log Sales Data'!$G:$G,$A34)</f>
        <v>0</v>
      </c>
      <c r="L34" s="420">
        <f>SUMIFS('Log Sales Data'!$M:$M,'Log Sales Data'!$B:$B,L$19,'Log Sales Data'!$C:$C,$B$2,'Log Sales Data'!$D:$D,$B34,'Log Sales Data'!$G:$G,$A34)</f>
        <v>0</v>
      </c>
      <c r="M34" s="420">
        <f>SUMIFS('Log Sales Data'!$M:$M,'Log Sales Data'!$B:$B,M$19,'Log Sales Data'!$C:$C,$B$2,'Log Sales Data'!$D:$D,$B34,'Log Sales Data'!$G:$G,$A34)</f>
        <v>0</v>
      </c>
      <c r="N34" s="420">
        <f>SUMIFS('Log Sales Data'!$M:$M,'Log Sales Data'!$B:$B,N$19,'Log Sales Data'!$C:$C,$B$2,'Log Sales Data'!$D:$D,$B34,'Log Sales Data'!$G:$G,$A34)</f>
        <v>0</v>
      </c>
      <c r="O34" s="420">
        <f>SUMIFS('Log Sales Data'!$M:$M,'Log Sales Data'!$B:$B,O$19,'Log Sales Data'!$C:$C,$B$2,'Log Sales Data'!$D:$D,$B34,'Log Sales Data'!$G:$G,$A34)</f>
        <v>0</v>
      </c>
      <c r="P34" s="420">
        <f>SUMIFS('Log Sales Data'!$M:$M,'Log Sales Data'!$B:$B,P$19,'Log Sales Data'!$C:$C,$B$2,'Log Sales Data'!$D:$D,$B34,'Log Sales Data'!$G:$G,$A34)</f>
        <v>0</v>
      </c>
      <c r="Q34" s="420">
        <f>SUMIFS('Log Sales Data'!$M:$M,'Log Sales Data'!$B:$B,Q$19,'Log Sales Data'!$C:$C,$B$2,'Log Sales Data'!$D:$D,$B34,'Log Sales Data'!$G:$G,$A34)</f>
        <v>0</v>
      </c>
      <c r="R34" s="420">
        <f>SUMIFS('Log Sales Data'!$M:$M,'Log Sales Data'!$B:$B,R$19,'Log Sales Data'!$C:$C,$B$2,'Log Sales Data'!$D:$D,$B34,'Log Sales Data'!$G:$G,$A34)</f>
        <v>0</v>
      </c>
      <c r="S34" s="420">
        <f>SUMIFS('Log Sales Data'!$M:$M,'Log Sales Data'!$B:$B,S$19,'Log Sales Data'!$C:$C,$B$2,'Log Sales Data'!$D:$D,$B34,'Log Sales Data'!$G:$G,$A34)</f>
        <v>0</v>
      </c>
      <c r="T34" s="420">
        <f>SUMIFS('Log Sales Data'!$M:$M,'Log Sales Data'!$B:$B,T$19,'Log Sales Data'!$C:$C,$B$2,'Log Sales Data'!$D:$D,$B34,'Log Sales Data'!$G:$G,$A34)</f>
        <v>0</v>
      </c>
      <c r="U34" s="420">
        <f>SUMIFS('Log Sales Data'!$M:$M,'Log Sales Data'!$B:$B,U$19,'Log Sales Data'!$C:$C,$B$2,'Log Sales Data'!$D:$D,$B34,'Log Sales Data'!$G:$G,$A34)</f>
        <v>0</v>
      </c>
      <c r="W34" s="38"/>
    </row>
    <row r="35" spans="1:23" x14ac:dyDescent="0.25">
      <c r="A35" s="11" t="s">
        <v>170</v>
      </c>
      <c r="B35" s="243" t="s">
        <v>29</v>
      </c>
      <c r="C35" s="244">
        <f t="shared" si="3"/>
        <v>0</v>
      </c>
      <c r="D35" s="474">
        <f>_xlfn.XLOOKUP(B35,'Log Sales Data'!AA:AA,'Log Sales Data'!AB:AB,0,0)</f>
        <v>0.88</v>
      </c>
      <c r="E35" s="410" t="s">
        <v>21</v>
      </c>
      <c r="F35" s="245">
        <f>SUMIFS('Log Sales Data'!$I:$I,'Log Sales Data'!$C:$C,$B$2,'Log Sales Data'!$D:$D,$B35,'Log Sales Data'!$G:$G,$A35)</f>
        <v>0</v>
      </c>
      <c r="G35" s="245" t="str">
        <f t="shared" si="4"/>
        <v>0</v>
      </c>
      <c r="H35" s="418">
        <f t="shared" si="5"/>
        <v>0</v>
      </c>
      <c r="I35" s="419"/>
      <c r="J35" s="420">
        <f>SUMIFS('Log Sales Data'!$M:$M,'Log Sales Data'!$B:$B,J$19,'Log Sales Data'!$C:$C,$B$2,'Log Sales Data'!$D:$D,$B35,'Log Sales Data'!$G:$G,$A35)</f>
        <v>0</v>
      </c>
      <c r="K35" s="420">
        <f>SUMIFS('Log Sales Data'!$M:$M,'Log Sales Data'!$B:$B,K$19,'Log Sales Data'!$C:$C,$B$2,'Log Sales Data'!$D:$D,$B35,'Log Sales Data'!$G:$G,$A35)</f>
        <v>0</v>
      </c>
      <c r="L35" s="420">
        <f>SUMIFS('Log Sales Data'!$M:$M,'Log Sales Data'!$B:$B,L$19,'Log Sales Data'!$C:$C,$B$2,'Log Sales Data'!$D:$D,$B35,'Log Sales Data'!$G:$G,$A35)</f>
        <v>0</v>
      </c>
      <c r="M35" s="420">
        <f>SUMIFS('Log Sales Data'!$M:$M,'Log Sales Data'!$B:$B,M$19,'Log Sales Data'!$C:$C,$B$2,'Log Sales Data'!$D:$D,$B35,'Log Sales Data'!$G:$G,$A35)</f>
        <v>0</v>
      </c>
      <c r="N35" s="420">
        <f>SUMIFS('Log Sales Data'!$M:$M,'Log Sales Data'!$B:$B,N$19,'Log Sales Data'!$C:$C,$B$2,'Log Sales Data'!$D:$D,$B35,'Log Sales Data'!$G:$G,$A35)</f>
        <v>0</v>
      </c>
      <c r="O35" s="420">
        <f>SUMIFS('Log Sales Data'!$M:$M,'Log Sales Data'!$B:$B,O$19,'Log Sales Data'!$C:$C,$B$2,'Log Sales Data'!$D:$D,$B35,'Log Sales Data'!$G:$G,$A35)</f>
        <v>0</v>
      </c>
      <c r="P35" s="420">
        <f>SUMIFS('Log Sales Data'!$M:$M,'Log Sales Data'!$B:$B,P$19,'Log Sales Data'!$C:$C,$B$2,'Log Sales Data'!$D:$D,$B35,'Log Sales Data'!$G:$G,$A35)</f>
        <v>0</v>
      </c>
      <c r="Q35" s="420">
        <f>SUMIFS('Log Sales Data'!$M:$M,'Log Sales Data'!$B:$B,Q$19,'Log Sales Data'!$C:$C,$B$2,'Log Sales Data'!$D:$D,$B35,'Log Sales Data'!$G:$G,$A35)</f>
        <v>0</v>
      </c>
      <c r="R35" s="420">
        <f>SUMIFS('Log Sales Data'!$M:$M,'Log Sales Data'!$B:$B,R$19,'Log Sales Data'!$C:$C,$B$2,'Log Sales Data'!$D:$D,$B35,'Log Sales Data'!$G:$G,$A35)</f>
        <v>0</v>
      </c>
      <c r="S35" s="420">
        <f>SUMIFS('Log Sales Data'!$M:$M,'Log Sales Data'!$B:$B,S$19,'Log Sales Data'!$C:$C,$B$2,'Log Sales Data'!$D:$D,$B35,'Log Sales Data'!$G:$G,$A35)</f>
        <v>0</v>
      </c>
      <c r="T35" s="420">
        <f>SUMIFS('Log Sales Data'!$M:$M,'Log Sales Data'!$B:$B,T$19,'Log Sales Data'!$C:$C,$B$2,'Log Sales Data'!$D:$D,$B35,'Log Sales Data'!$G:$G,$A35)</f>
        <v>0</v>
      </c>
      <c r="U35" s="420">
        <f>SUMIFS('Log Sales Data'!$M:$M,'Log Sales Data'!$B:$B,U$19,'Log Sales Data'!$C:$C,$B$2,'Log Sales Data'!$D:$D,$B35,'Log Sales Data'!$G:$G,$A35)</f>
        <v>0</v>
      </c>
      <c r="W35" s="38"/>
    </row>
    <row r="36" spans="1:23" x14ac:dyDescent="0.25">
      <c r="A36" s="11" t="s">
        <v>170</v>
      </c>
      <c r="B36" s="243" t="s">
        <v>28</v>
      </c>
      <c r="C36" s="244">
        <f t="shared" si="3"/>
        <v>0</v>
      </c>
      <c r="D36" s="474">
        <f>_xlfn.XLOOKUP(B36,'Log Sales Data'!AA:AA,'Log Sales Data'!AB:AB,0,0)</f>
        <v>0.97</v>
      </c>
      <c r="E36" s="410" t="s">
        <v>21</v>
      </c>
      <c r="F36" s="245">
        <f>SUMIFS('Log Sales Data'!$I:$I,'Log Sales Data'!$C:$C,$B$2,'Log Sales Data'!$D:$D,$B36,'Log Sales Data'!$G:$G,$A36)</f>
        <v>0</v>
      </c>
      <c r="G36" s="245" t="str">
        <f t="shared" si="4"/>
        <v>0</v>
      </c>
      <c r="H36" s="418">
        <f t="shared" si="5"/>
        <v>0</v>
      </c>
      <c r="I36" s="419"/>
      <c r="J36" s="420">
        <f>SUMIFS('Log Sales Data'!$M:$M,'Log Sales Data'!$B:$B,J$19,'Log Sales Data'!$C:$C,$B$2,'Log Sales Data'!$D:$D,$B36,'Log Sales Data'!$G:$G,$A36)</f>
        <v>0</v>
      </c>
      <c r="K36" s="420">
        <f>SUMIFS('Log Sales Data'!$M:$M,'Log Sales Data'!$B:$B,K$19,'Log Sales Data'!$C:$C,$B$2,'Log Sales Data'!$D:$D,$B36,'Log Sales Data'!$G:$G,$A36)</f>
        <v>0</v>
      </c>
      <c r="L36" s="420">
        <f>SUMIFS('Log Sales Data'!$M:$M,'Log Sales Data'!$B:$B,L$19,'Log Sales Data'!$C:$C,$B$2,'Log Sales Data'!$D:$D,$B36,'Log Sales Data'!$G:$G,$A36)</f>
        <v>0</v>
      </c>
      <c r="M36" s="420">
        <f>SUMIFS('Log Sales Data'!$M:$M,'Log Sales Data'!$B:$B,M$19,'Log Sales Data'!$C:$C,$B$2,'Log Sales Data'!$D:$D,$B36,'Log Sales Data'!$G:$G,$A36)</f>
        <v>0</v>
      </c>
      <c r="N36" s="420">
        <f>SUMIFS('Log Sales Data'!$M:$M,'Log Sales Data'!$B:$B,N$19,'Log Sales Data'!$C:$C,$B$2,'Log Sales Data'!$D:$D,$B36,'Log Sales Data'!$G:$G,$A36)</f>
        <v>0</v>
      </c>
      <c r="O36" s="420">
        <f>SUMIFS('Log Sales Data'!$M:$M,'Log Sales Data'!$B:$B,O$19,'Log Sales Data'!$C:$C,$B$2,'Log Sales Data'!$D:$D,$B36,'Log Sales Data'!$G:$G,$A36)</f>
        <v>0</v>
      </c>
      <c r="P36" s="420">
        <f>SUMIFS('Log Sales Data'!$M:$M,'Log Sales Data'!$B:$B,P$19,'Log Sales Data'!$C:$C,$B$2,'Log Sales Data'!$D:$D,$B36,'Log Sales Data'!$G:$G,$A36)</f>
        <v>0</v>
      </c>
      <c r="Q36" s="420">
        <f>SUMIFS('Log Sales Data'!$M:$M,'Log Sales Data'!$B:$B,Q$19,'Log Sales Data'!$C:$C,$B$2,'Log Sales Data'!$D:$D,$B36,'Log Sales Data'!$G:$G,$A36)</f>
        <v>0</v>
      </c>
      <c r="R36" s="420">
        <f>SUMIFS('Log Sales Data'!$M:$M,'Log Sales Data'!$B:$B,R$19,'Log Sales Data'!$C:$C,$B$2,'Log Sales Data'!$D:$D,$B36,'Log Sales Data'!$G:$G,$A36)</f>
        <v>0</v>
      </c>
      <c r="S36" s="420">
        <f>SUMIFS('Log Sales Data'!$M:$M,'Log Sales Data'!$B:$B,S$19,'Log Sales Data'!$C:$C,$B$2,'Log Sales Data'!$D:$D,$B36,'Log Sales Data'!$G:$G,$A36)</f>
        <v>0</v>
      </c>
      <c r="T36" s="420">
        <f>SUMIFS('Log Sales Data'!$M:$M,'Log Sales Data'!$B:$B,T$19,'Log Sales Data'!$C:$C,$B$2,'Log Sales Data'!$D:$D,$B36,'Log Sales Data'!$G:$G,$A36)</f>
        <v>0</v>
      </c>
      <c r="U36" s="420">
        <f>SUMIFS('Log Sales Data'!$M:$M,'Log Sales Data'!$B:$B,U$19,'Log Sales Data'!$C:$C,$B$2,'Log Sales Data'!$D:$D,$B36,'Log Sales Data'!$G:$G,$A36)</f>
        <v>0</v>
      </c>
      <c r="W36" s="38"/>
    </row>
    <row r="37" spans="1:23" x14ac:dyDescent="0.25">
      <c r="A37" s="11" t="s">
        <v>170</v>
      </c>
      <c r="B37" s="246" t="s">
        <v>31</v>
      </c>
      <c r="C37" s="244">
        <f t="shared" si="3"/>
        <v>0</v>
      </c>
      <c r="D37" s="474">
        <f>_xlfn.XLOOKUP(B37,'Log Sales Data'!AA:AA,'Log Sales Data'!AB:AB,0,0)</f>
        <v>1.03</v>
      </c>
      <c r="E37" s="410" t="s">
        <v>21</v>
      </c>
      <c r="F37" s="245">
        <f>SUMIFS('Log Sales Data'!$I:$I,'Log Sales Data'!$C:$C,$B$2,'Log Sales Data'!$D:$D,$B37,'Log Sales Data'!$G:$G,$A37)</f>
        <v>0</v>
      </c>
      <c r="G37" s="245" t="str">
        <f t="shared" si="4"/>
        <v>0</v>
      </c>
      <c r="H37" s="418">
        <f t="shared" si="5"/>
        <v>0</v>
      </c>
      <c r="I37" s="419"/>
      <c r="J37" s="420">
        <f>SUMIFS('Log Sales Data'!$M:$M,'Log Sales Data'!$B:$B,J$19,'Log Sales Data'!$C:$C,$B$2,'Log Sales Data'!$D:$D,$B37,'Log Sales Data'!$G:$G,$A37)</f>
        <v>0</v>
      </c>
      <c r="K37" s="420">
        <f>SUMIFS('Log Sales Data'!$M:$M,'Log Sales Data'!$B:$B,K$19,'Log Sales Data'!$C:$C,$B$2,'Log Sales Data'!$D:$D,$B37,'Log Sales Data'!$G:$G,$A37)</f>
        <v>0</v>
      </c>
      <c r="L37" s="420">
        <f>SUMIFS('Log Sales Data'!$M:$M,'Log Sales Data'!$B:$B,L$19,'Log Sales Data'!$C:$C,$B$2,'Log Sales Data'!$D:$D,$B37,'Log Sales Data'!$G:$G,$A37)</f>
        <v>0</v>
      </c>
      <c r="M37" s="420">
        <f>SUMIFS('Log Sales Data'!$M:$M,'Log Sales Data'!$B:$B,M$19,'Log Sales Data'!$C:$C,$B$2,'Log Sales Data'!$D:$D,$B37,'Log Sales Data'!$G:$G,$A37)</f>
        <v>0</v>
      </c>
      <c r="N37" s="420">
        <f>SUMIFS('Log Sales Data'!$M:$M,'Log Sales Data'!$B:$B,N$19,'Log Sales Data'!$C:$C,$B$2,'Log Sales Data'!$D:$D,$B37,'Log Sales Data'!$G:$G,$A37)</f>
        <v>0</v>
      </c>
      <c r="O37" s="420">
        <f>SUMIFS('Log Sales Data'!$M:$M,'Log Sales Data'!$B:$B,O$19,'Log Sales Data'!$C:$C,$B$2,'Log Sales Data'!$D:$D,$B37,'Log Sales Data'!$G:$G,$A37)</f>
        <v>0</v>
      </c>
      <c r="P37" s="420">
        <f>SUMIFS('Log Sales Data'!$M:$M,'Log Sales Data'!$B:$B,P$19,'Log Sales Data'!$C:$C,$B$2,'Log Sales Data'!$D:$D,$B37,'Log Sales Data'!$G:$G,$A37)</f>
        <v>0</v>
      </c>
      <c r="Q37" s="420">
        <f>SUMIFS('Log Sales Data'!$M:$M,'Log Sales Data'!$B:$B,Q$19,'Log Sales Data'!$C:$C,$B$2,'Log Sales Data'!$D:$D,$B37,'Log Sales Data'!$G:$G,$A37)</f>
        <v>0</v>
      </c>
      <c r="R37" s="420">
        <f>SUMIFS('Log Sales Data'!$M:$M,'Log Sales Data'!$B:$B,R$19,'Log Sales Data'!$C:$C,$B$2,'Log Sales Data'!$D:$D,$B37,'Log Sales Data'!$G:$G,$A37)</f>
        <v>0</v>
      </c>
      <c r="S37" s="420">
        <f>SUMIFS('Log Sales Data'!$M:$M,'Log Sales Data'!$B:$B,S$19,'Log Sales Data'!$C:$C,$B$2,'Log Sales Data'!$D:$D,$B37,'Log Sales Data'!$G:$G,$A37)</f>
        <v>0</v>
      </c>
      <c r="T37" s="420">
        <f>SUMIFS('Log Sales Data'!$M:$M,'Log Sales Data'!$B:$B,T$19,'Log Sales Data'!$C:$C,$B$2,'Log Sales Data'!$D:$D,$B37,'Log Sales Data'!$G:$G,$A37)</f>
        <v>0</v>
      </c>
      <c r="U37" s="420">
        <f>SUMIFS('Log Sales Data'!$M:$M,'Log Sales Data'!$B:$B,U$19,'Log Sales Data'!$C:$C,$B$2,'Log Sales Data'!$D:$D,$B37,'Log Sales Data'!$G:$G,$A37)</f>
        <v>0</v>
      </c>
      <c r="W37" s="38"/>
    </row>
    <row r="38" spans="1:23" x14ac:dyDescent="0.25">
      <c r="A38" s="11" t="s">
        <v>170</v>
      </c>
      <c r="B38" s="246" t="s">
        <v>32</v>
      </c>
      <c r="C38" s="244">
        <f t="shared" si="3"/>
        <v>0</v>
      </c>
      <c r="D38" s="474">
        <f>_xlfn.XLOOKUP(B38,'Log Sales Data'!AA:AA,'Log Sales Data'!AB:AB,0,0)</f>
        <v>0.99</v>
      </c>
      <c r="E38" s="410" t="s">
        <v>21</v>
      </c>
      <c r="F38" s="245">
        <f>SUMIFS('Log Sales Data'!$I:$I,'Log Sales Data'!$C:$C,$B$2,'Log Sales Data'!$D:$D,$B38,'Log Sales Data'!$G:$G,$A38)</f>
        <v>0</v>
      </c>
      <c r="G38" s="245" t="str">
        <f t="shared" si="4"/>
        <v>0</v>
      </c>
      <c r="H38" s="418">
        <f t="shared" si="5"/>
        <v>0</v>
      </c>
      <c r="I38" s="419"/>
      <c r="J38" s="420">
        <f>SUMIFS('Log Sales Data'!$M:$M,'Log Sales Data'!$B:$B,J$19,'Log Sales Data'!$C:$C,$B$2,'Log Sales Data'!$D:$D,$B38,'Log Sales Data'!$G:$G,$A38)</f>
        <v>0</v>
      </c>
      <c r="K38" s="420">
        <f>SUMIFS('Log Sales Data'!$M:$M,'Log Sales Data'!$B:$B,K$19,'Log Sales Data'!$C:$C,$B$2,'Log Sales Data'!$D:$D,$B38,'Log Sales Data'!$G:$G,$A38)</f>
        <v>0</v>
      </c>
      <c r="L38" s="420">
        <f>SUMIFS('Log Sales Data'!$M:$M,'Log Sales Data'!$B:$B,L$19,'Log Sales Data'!$C:$C,$B$2,'Log Sales Data'!$D:$D,$B38,'Log Sales Data'!$G:$G,$A38)</f>
        <v>0</v>
      </c>
      <c r="M38" s="420">
        <f>SUMIFS('Log Sales Data'!$M:$M,'Log Sales Data'!$B:$B,M$19,'Log Sales Data'!$C:$C,$B$2,'Log Sales Data'!$D:$D,$B38,'Log Sales Data'!$G:$G,$A38)</f>
        <v>0</v>
      </c>
      <c r="N38" s="420">
        <f>SUMIFS('Log Sales Data'!$M:$M,'Log Sales Data'!$B:$B,N$19,'Log Sales Data'!$C:$C,$B$2,'Log Sales Data'!$D:$D,$B38,'Log Sales Data'!$G:$G,$A38)</f>
        <v>0</v>
      </c>
      <c r="O38" s="420">
        <f>SUMIFS('Log Sales Data'!$M:$M,'Log Sales Data'!$B:$B,O$19,'Log Sales Data'!$C:$C,$B$2,'Log Sales Data'!$D:$D,$B38,'Log Sales Data'!$G:$G,$A38)</f>
        <v>0</v>
      </c>
      <c r="P38" s="420">
        <f>SUMIFS('Log Sales Data'!$M:$M,'Log Sales Data'!$B:$B,P$19,'Log Sales Data'!$C:$C,$B$2,'Log Sales Data'!$D:$D,$B38,'Log Sales Data'!$G:$G,$A38)</f>
        <v>0</v>
      </c>
      <c r="Q38" s="420">
        <f>SUMIFS('Log Sales Data'!$M:$M,'Log Sales Data'!$B:$B,Q$19,'Log Sales Data'!$C:$C,$B$2,'Log Sales Data'!$D:$D,$B38,'Log Sales Data'!$G:$G,$A38)</f>
        <v>0</v>
      </c>
      <c r="R38" s="420">
        <f>SUMIFS('Log Sales Data'!$M:$M,'Log Sales Data'!$B:$B,R$19,'Log Sales Data'!$C:$C,$B$2,'Log Sales Data'!$D:$D,$B38,'Log Sales Data'!$G:$G,$A38)</f>
        <v>0</v>
      </c>
      <c r="S38" s="420">
        <f>SUMIFS('Log Sales Data'!$M:$M,'Log Sales Data'!$B:$B,S$19,'Log Sales Data'!$C:$C,$B$2,'Log Sales Data'!$D:$D,$B38,'Log Sales Data'!$G:$G,$A38)</f>
        <v>0</v>
      </c>
      <c r="T38" s="420">
        <f>SUMIFS('Log Sales Data'!$M:$M,'Log Sales Data'!$B:$B,T$19,'Log Sales Data'!$C:$C,$B$2,'Log Sales Data'!$D:$D,$B38,'Log Sales Data'!$G:$G,$A38)</f>
        <v>0</v>
      </c>
      <c r="U38" s="420">
        <f>SUMIFS('Log Sales Data'!$M:$M,'Log Sales Data'!$B:$B,U$19,'Log Sales Data'!$C:$C,$B$2,'Log Sales Data'!$D:$D,$B38,'Log Sales Data'!$G:$G,$A38)</f>
        <v>0</v>
      </c>
      <c r="W38" s="38"/>
    </row>
    <row r="39" spans="1:23" x14ac:dyDescent="0.25">
      <c r="A39" s="11" t="s">
        <v>170</v>
      </c>
      <c r="B39" s="246" t="s">
        <v>33</v>
      </c>
      <c r="C39" s="244">
        <f t="shared" si="3"/>
        <v>0</v>
      </c>
      <c r="D39" s="474">
        <f>_xlfn.XLOOKUP(B39,'Log Sales Data'!AA:AA,'Log Sales Data'!AB:AB,0,0)</f>
        <v>0.97</v>
      </c>
      <c r="E39" s="410" t="s">
        <v>21</v>
      </c>
      <c r="F39" s="245">
        <f>SUMIFS('Log Sales Data'!$I:$I,'Log Sales Data'!$C:$C,$B$2,'Log Sales Data'!$D:$D,$B39,'Log Sales Data'!$G:$G,$A39)</f>
        <v>0</v>
      </c>
      <c r="G39" s="245" t="str">
        <f t="shared" si="4"/>
        <v>0</v>
      </c>
      <c r="H39" s="418">
        <f t="shared" si="5"/>
        <v>0</v>
      </c>
      <c r="I39" s="419"/>
      <c r="J39" s="420">
        <f>SUMIFS('Log Sales Data'!$M:$M,'Log Sales Data'!$B:$B,J$19,'Log Sales Data'!$C:$C,$B$2,'Log Sales Data'!$D:$D,$B39,'Log Sales Data'!$G:$G,$A39)</f>
        <v>0</v>
      </c>
      <c r="K39" s="420">
        <f>SUMIFS('Log Sales Data'!$M:$M,'Log Sales Data'!$B:$B,K$19,'Log Sales Data'!$C:$C,$B$2,'Log Sales Data'!$D:$D,$B39,'Log Sales Data'!$G:$G,$A39)</f>
        <v>0</v>
      </c>
      <c r="L39" s="420">
        <f>SUMIFS('Log Sales Data'!$M:$M,'Log Sales Data'!$B:$B,L$19,'Log Sales Data'!$C:$C,$B$2,'Log Sales Data'!$D:$D,$B39,'Log Sales Data'!$G:$G,$A39)</f>
        <v>0</v>
      </c>
      <c r="M39" s="420">
        <f>SUMIFS('Log Sales Data'!$M:$M,'Log Sales Data'!$B:$B,M$19,'Log Sales Data'!$C:$C,$B$2,'Log Sales Data'!$D:$D,$B39,'Log Sales Data'!$G:$G,$A39)</f>
        <v>0</v>
      </c>
      <c r="N39" s="420">
        <f>SUMIFS('Log Sales Data'!$M:$M,'Log Sales Data'!$B:$B,N$19,'Log Sales Data'!$C:$C,$B$2,'Log Sales Data'!$D:$D,$B39,'Log Sales Data'!$G:$G,$A39)</f>
        <v>0</v>
      </c>
      <c r="O39" s="420">
        <f>SUMIFS('Log Sales Data'!$M:$M,'Log Sales Data'!$B:$B,O$19,'Log Sales Data'!$C:$C,$B$2,'Log Sales Data'!$D:$D,$B39,'Log Sales Data'!$G:$G,$A39)</f>
        <v>0</v>
      </c>
      <c r="P39" s="420">
        <f>SUMIFS('Log Sales Data'!$M:$M,'Log Sales Data'!$B:$B,P$19,'Log Sales Data'!$C:$C,$B$2,'Log Sales Data'!$D:$D,$B39,'Log Sales Data'!$G:$G,$A39)</f>
        <v>0</v>
      </c>
      <c r="Q39" s="420">
        <f>SUMIFS('Log Sales Data'!$M:$M,'Log Sales Data'!$B:$B,Q$19,'Log Sales Data'!$C:$C,$B$2,'Log Sales Data'!$D:$D,$B39,'Log Sales Data'!$G:$G,$A39)</f>
        <v>0</v>
      </c>
      <c r="R39" s="420">
        <f>SUMIFS('Log Sales Data'!$M:$M,'Log Sales Data'!$B:$B,R$19,'Log Sales Data'!$C:$C,$B$2,'Log Sales Data'!$D:$D,$B39,'Log Sales Data'!$G:$G,$A39)</f>
        <v>0</v>
      </c>
      <c r="S39" s="420">
        <f>SUMIFS('Log Sales Data'!$M:$M,'Log Sales Data'!$B:$B,S$19,'Log Sales Data'!$C:$C,$B$2,'Log Sales Data'!$D:$D,$B39,'Log Sales Data'!$G:$G,$A39)</f>
        <v>0</v>
      </c>
      <c r="T39" s="420">
        <f>SUMIFS('Log Sales Data'!$M:$M,'Log Sales Data'!$B:$B,T$19,'Log Sales Data'!$C:$C,$B$2,'Log Sales Data'!$D:$D,$B39,'Log Sales Data'!$G:$G,$A39)</f>
        <v>0</v>
      </c>
      <c r="U39" s="420">
        <f>SUMIFS('Log Sales Data'!$M:$M,'Log Sales Data'!$B:$B,U$19,'Log Sales Data'!$C:$C,$B$2,'Log Sales Data'!$D:$D,$B39,'Log Sales Data'!$G:$G,$A39)</f>
        <v>0</v>
      </c>
      <c r="W39" s="38"/>
    </row>
    <row r="40" spans="1:23" x14ac:dyDescent="0.25">
      <c r="A40" s="11" t="s">
        <v>170</v>
      </c>
      <c r="B40" s="246" t="s">
        <v>35</v>
      </c>
      <c r="C40" s="244">
        <f t="shared" si="3"/>
        <v>0</v>
      </c>
      <c r="D40" s="474">
        <f>_xlfn.XLOOKUP(B40,'Log Sales Data'!AA:AA,'Log Sales Data'!AB:AB,0,0)</f>
        <v>0.95</v>
      </c>
      <c r="E40" s="410" t="s">
        <v>21</v>
      </c>
      <c r="F40" s="245">
        <f>SUMIFS('Log Sales Data'!$I:$I,'Log Sales Data'!$C:$C,$B$2,'Log Sales Data'!$D:$D,$B40,'Log Sales Data'!$G:$G,$A40)</f>
        <v>0</v>
      </c>
      <c r="G40" s="245" t="str">
        <f t="shared" si="4"/>
        <v>0</v>
      </c>
      <c r="H40" s="418">
        <f t="shared" si="5"/>
        <v>0</v>
      </c>
      <c r="I40" s="419"/>
      <c r="J40" s="420">
        <f>SUMIFS('Log Sales Data'!$M:$M,'Log Sales Data'!$B:$B,J$19,'Log Sales Data'!$C:$C,$B$2,'Log Sales Data'!$D:$D,$B40,'Log Sales Data'!$G:$G,$A40)</f>
        <v>0</v>
      </c>
      <c r="K40" s="420">
        <f>SUMIFS('Log Sales Data'!$M:$M,'Log Sales Data'!$B:$B,K$19,'Log Sales Data'!$C:$C,$B$2,'Log Sales Data'!$D:$D,$B40,'Log Sales Data'!$G:$G,$A40)</f>
        <v>0</v>
      </c>
      <c r="L40" s="420">
        <f>SUMIFS('Log Sales Data'!$M:$M,'Log Sales Data'!$B:$B,L$19,'Log Sales Data'!$C:$C,$B$2,'Log Sales Data'!$D:$D,$B40,'Log Sales Data'!$G:$G,$A40)</f>
        <v>0</v>
      </c>
      <c r="M40" s="420">
        <f>SUMIFS('Log Sales Data'!$M:$M,'Log Sales Data'!$B:$B,M$19,'Log Sales Data'!$C:$C,$B$2,'Log Sales Data'!$D:$D,$B40,'Log Sales Data'!$G:$G,$A40)</f>
        <v>0</v>
      </c>
      <c r="N40" s="420">
        <f>SUMIFS('Log Sales Data'!$M:$M,'Log Sales Data'!$B:$B,N$19,'Log Sales Data'!$C:$C,$B$2,'Log Sales Data'!$D:$D,$B40,'Log Sales Data'!$G:$G,$A40)</f>
        <v>0</v>
      </c>
      <c r="O40" s="420">
        <f>SUMIFS('Log Sales Data'!$M:$M,'Log Sales Data'!$B:$B,O$19,'Log Sales Data'!$C:$C,$B$2,'Log Sales Data'!$D:$D,$B40,'Log Sales Data'!$G:$G,$A40)</f>
        <v>0</v>
      </c>
      <c r="P40" s="420">
        <f>SUMIFS('Log Sales Data'!$M:$M,'Log Sales Data'!$B:$B,P$19,'Log Sales Data'!$C:$C,$B$2,'Log Sales Data'!$D:$D,$B40,'Log Sales Data'!$G:$G,$A40)</f>
        <v>0</v>
      </c>
      <c r="Q40" s="420">
        <f>SUMIFS('Log Sales Data'!$M:$M,'Log Sales Data'!$B:$B,Q$19,'Log Sales Data'!$C:$C,$B$2,'Log Sales Data'!$D:$D,$B40,'Log Sales Data'!$G:$G,$A40)</f>
        <v>0</v>
      </c>
      <c r="R40" s="420">
        <f>SUMIFS('Log Sales Data'!$M:$M,'Log Sales Data'!$B:$B,R$19,'Log Sales Data'!$C:$C,$B$2,'Log Sales Data'!$D:$D,$B40,'Log Sales Data'!$G:$G,$A40)</f>
        <v>0</v>
      </c>
      <c r="S40" s="420">
        <f>SUMIFS('Log Sales Data'!$M:$M,'Log Sales Data'!$B:$B,S$19,'Log Sales Data'!$C:$C,$B$2,'Log Sales Data'!$D:$D,$B40,'Log Sales Data'!$G:$G,$A40)</f>
        <v>0</v>
      </c>
      <c r="T40" s="420">
        <f>SUMIFS('Log Sales Data'!$M:$M,'Log Sales Data'!$B:$B,T$19,'Log Sales Data'!$C:$C,$B$2,'Log Sales Data'!$D:$D,$B40,'Log Sales Data'!$G:$G,$A40)</f>
        <v>0</v>
      </c>
      <c r="U40" s="420">
        <f>SUMIFS('Log Sales Data'!$M:$M,'Log Sales Data'!$B:$B,U$19,'Log Sales Data'!$C:$C,$B$2,'Log Sales Data'!$D:$D,$B40,'Log Sales Data'!$G:$G,$A40)</f>
        <v>0</v>
      </c>
      <c r="W40" s="38"/>
    </row>
    <row r="41" spans="1:23" x14ac:dyDescent="0.25">
      <c r="A41" s="11" t="s">
        <v>170</v>
      </c>
      <c r="B41" s="243" t="s">
        <v>36</v>
      </c>
      <c r="C41" s="244">
        <f t="shared" si="3"/>
        <v>0</v>
      </c>
      <c r="D41" s="474">
        <f>_xlfn.XLOOKUP(B41,'Log Sales Data'!AA:AA,'Log Sales Data'!AB:AB,0,0)</f>
        <v>0.93</v>
      </c>
      <c r="E41" s="410" t="s">
        <v>21</v>
      </c>
      <c r="F41" s="245">
        <f>SUMIFS('Log Sales Data'!$I:$I,'Log Sales Data'!$C:$C,$B$2,'Log Sales Data'!$D:$D,$B41,'Log Sales Data'!$G:$G,$A41)</f>
        <v>0</v>
      </c>
      <c r="G41" s="245" t="str">
        <f t="shared" si="4"/>
        <v>0</v>
      </c>
      <c r="H41" s="418">
        <f t="shared" si="5"/>
        <v>0</v>
      </c>
      <c r="I41" s="419"/>
      <c r="J41" s="420">
        <f>SUMIFS('Log Sales Data'!$M:$M,'Log Sales Data'!$B:$B,J$19,'Log Sales Data'!$C:$C,$B$2,'Log Sales Data'!$D:$D,$B41,'Log Sales Data'!$G:$G,$A41)</f>
        <v>0</v>
      </c>
      <c r="K41" s="420">
        <f>SUMIFS('Log Sales Data'!$M:$M,'Log Sales Data'!$B:$B,K$19,'Log Sales Data'!$C:$C,$B$2,'Log Sales Data'!$D:$D,$B41,'Log Sales Data'!$G:$G,$A41)</f>
        <v>0</v>
      </c>
      <c r="L41" s="420">
        <f>SUMIFS('Log Sales Data'!$M:$M,'Log Sales Data'!$B:$B,L$19,'Log Sales Data'!$C:$C,$B$2,'Log Sales Data'!$D:$D,$B41,'Log Sales Data'!$G:$G,$A41)</f>
        <v>0</v>
      </c>
      <c r="M41" s="420">
        <f>SUMIFS('Log Sales Data'!$M:$M,'Log Sales Data'!$B:$B,M$19,'Log Sales Data'!$C:$C,$B$2,'Log Sales Data'!$D:$D,$B41,'Log Sales Data'!$G:$G,$A41)</f>
        <v>0</v>
      </c>
      <c r="N41" s="420">
        <f>SUMIFS('Log Sales Data'!$M:$M,'Log Sales Data'!$B:$B,N$19,'Log Sales Data'!$C:$C,$B$2,'Log Sales Data'!$D:$D,$B41,'Log Sales Data'!$G:$G,$A41)</f>
        <v>0</v>
      </c>
      <c r="O41" s="420">
        <f>SUMIFS('Log Sales Data'!$M:$M,'Log Sales Data'!$B:$B,O$19,'Log Sales Data'!$C:$C,$B$2,'Log Sales Data'!$D:$D,$B41,'Log Sales Data'!$G:$G,$A41)</f>
        <v>0</v>
      </c>
      <c r="P41" s="420">
        <f>SUMIFS('Log Sales Data'!$M:$M,'Log Sales Data'!$B:$B,P$19,'Log Sales Data'!$C:$C,$B$2,'Log Sales Data'!$D:$D,$B41,'Log Sales Data'!$G:$G,$A41)</f>
        <v>0</v>
      </c>
      <c r="Q41" s="420">
        <f>SUMIFS('Log Sales Data'!$M:$M,'Log Sales Data'!$B:$B,Q$19,'Log Sales Data'!$C:$C,$B$2,'Log Sales Data'!$D:$D,$B41,'Log Sales Data'!$G:$G,$A41)</f>
        <v>0</v>
      </c>
      <c r="R41" s="420">
        <f>SUMIFS('Log Sales Data'!$M:$M,'Log Sales Data'!$B:$B,R$19,'Log Sales Data'!$C:$C,$B$2,'Log Sales Data'!$D:$D,$B41,'Log Sales Data'!$G:$G,$A41)</f>
        <v>0</v>
      </c>
      <c r="S41" s="420">
        <f>SUMIFS('Log Sales Data'!$M:$M,'Log Sales Data'!$B:$B,S$19,'Log Sales Data'!$C:$C,$B$2,'Log Sales Data'!$D:$D,$B41,'Log Sales Data'!$G:$G,$A41)</f>
        <v>0</v>
      </c>
      <c r="T41" s="420">
        <f>SUMIFS('Log Sales Data'!$M:$M,'Log Sales Data'!$B:$B,T$19,'Log Sales Data'!$C:$C,$B$2,'Log Sales Data'!$D:$D,$B41,'Log Sales Data'!$G:$G,$A41)</f>
        <v>0</v>
      </c>
      <c r="U41" s="420">
        <f>SUMIFS('Log Sales Data'!$M:$M,'Log Sales Data'!$B:$B,U$19,'Log Sales Data'!$C:$C,$B$2,'Log Sales Data'!$D:$D,$B41,'Log Sales Data'!$G:$G,$A41)</f>
        <v>0</v>
      </c>
      <c r="W41" s="38"/>
    </row>
    <row r="42" spans="1:23" ht="15.75" thickBot="1" x14ac:dyDescent="0.3">
      <c r="A42" s="11"/>
      <c r="B42" s="49"/>
      <c r="C42" s="50">
        <f>SUM(C20:C41)</f>
        <v>1</v>
      </c>
      <c r="D42" s="51"/>
      <c r="E42" s="52"/>
      <c r="F42" s="53"/>
      <c r="G42" s="54"/>
      <c r="H42" s="421"/>
      <c r="I42" s="419"/>
      <c r="J42" s="419"/>
      <c r="K42" s="419"/>
      <c r="L42" s="419"/>
      <c r="M42" s="419"/>
      <c r="N42" s="419"/>
      <c r="O42" s="419"/>
      <c r="P42" s="419"/>
      <c r="Q42" s="419"/>
      <c r="R42" s="419"/>
      <c r="S42" s="419"/>
      <c r="T42" s="419"/>
      <c r="U42" s="422"/>
    </row>
    <row r="43" spans="1:23" ht="15.75" thickTop="1" x14ac:dyDescent="0.25">
      <c r="A43" s="11"/>
      <c r="B43" s="55" t="s">
        <v>39</v>
      </c>
      <c r="C43" s="51">
        <f>SUMIF(A20:A43,"Export",C20:C43)</f>
        <v>0.50595238095238093</v>
      </c>
      <c r="D43" s="51"/>
      <c r="E43" s="52"/>
      <c r="F43" s="53"/>
      <c r="G43" s="421"/>
      <c r="H43" s="418">
        <f>SUM(J43:U43)</f>
        <v>345700</v>
      </c>
      <c r="I43" s="419"/>
      <c r="J43" s="423">
        <f>SUM(J28:J41)</f>
        <v>345700</v>
      </c>
      <c r="K43" s="423">
        <f t="shared" ref="K43:U43" si="6">SUM(K28:K41)</f>
        <v>0</v>
      </c>
      <c r="L43" s="423">
        <f t="shared" si="6"/>
        <v>0</v>
      </c>
      <c r="M43" s="423">
        <f t="shared" si="6"/>
        <v>0</v>
      </c>
      <c r="N43" s="423">
        <f t="shared" si="6"/>
        <v>0</v>
      </c>
      <c r="O43" s="423">
        <f t="shared" si="6"/>
        <v>0</v>
      </c>
      <c r="P43" s="423">
        <f t="shared" si="6"/>
        <v>0</v>
      </c>
      <c r="Q43" s="423">
        <f t="shared" si="6"/>
        <v>0</v>
      </c>
      <c r="R43" s="423">
        <f t="shared" si="6"/>
        <v>0</v>
      </c>
      <c r="S43" s="423">
        <f t="shared" si="6"/>
        <v>0</v>
      </c>
      <c r="T43" s="423">
        <f t="shared" si="6"/>
        <v>0</v>
      </c>
      <c r="U43" s="423">
        <f t="shared" si="6"/>
        <v>0</v>
      </c>
      <c r="W43" s="38"/>
    </row>
    <row r="44" spans="1:23" x14ac:dyDescent="0.25">
      <c r="A44" s="11"/>
      <c r="B44" s="55" t="s">
        <v>40</v>
      </c>
      <c r="C44" s="51">
        <f>SUMIF(A20:A43,"Domestic",C20:C43)</f>
        <v>0.49404761904761907</v>
      </c>
      <c r="D44" s="51"/>
      <c r="E44" s="52"/>
      <c r="F44" s="53"/>
      <c r="G44" s="421"/>
      <c r="H44" s="418">
        <f>SUM(J44:U44)</f>
        <v>336860</v>
      </c>
      <c r="I44" s="419"/>
      <c r="J44" s="423">
        <f t="shared" ref="J44:U44" si="7">SUM(J20:J27)</f>
        <v>336860</v>
      </c>
      <c r="K44" s="423">
        <f t="shared" si="7"/>
        <v>0</v>
      </c>
      <c r="L44" s="423">
        <f t="shared" si="7"/>
        <v>0</v>
      </c>
      <c r="M44" s="423">
        <f t="shared" si="7"/>
        <v>0</v>
      </c>
      <c r="N44" s="423">
        <f t="shared" si="7"/>
        <v>0</v>
      </c>
      <c r="O44" s="423">
        <f t="shared" si="7"/>
        <v>0</v>
      </c>
      <c r="P44" s="423">
        <f t="shared" si="7"/>
        <v>0</v>
      </c>
      <c r="Q44" s="423">
        <f t="shared" si="7"/>
        <v>0</v>
      </c>
      <c r="R44" s="423">
        <f t="shared" si="7"/>
        <v>0</v>
      </c>
      <c r="S44" s="423">
        <f t="shared" si="7"/>
        <v>0</v>
      </c>
      <c r="T44" s="423">
        <f t="shared" si="7"/>
        <v>0</v>
      </c>
      <c r="U44" s="423">
        <f t="shared" si="7"/>
        <v>0</v>
      </c>
    </row>
    <row r="45" spans="1:23" ht="15.75" thickBot="1" x14ac:dyDescent="0.3">
      <c r="A45" s="11"/>
      <c r="B45" s="49"/>
      <c r="C45" s="51"/>
      <c r="D45" s="51"/>
      <c r="E45" s="52"/>
      <c r="F45" s="410" t="s">
        <v>21</v>
      </c>
      <c r="G45" s="410" t="s">
        <v>19</v>
      </c>
      <c r="H45" s="421"/>
      <c r="I45" s="419"/>
      <c r="J45" s="421"/>
      <c r="K45" s="421"/>
      <c r="L45" s="421"/>
      <c r="M45" s="421"/>
      <c r="N45" s="421"/>
      <c r="O45" s="421"/>
      <c r="P45" s="421"/>
      <c r="Q45" s="421"/>
      <c r="R45" s="421"/>
      <c r="S45" s="421"/>
      <c r="T45" s="421"/>
      <c r="U45" s="424"/>
    </row>
    <row r="46" spans="1:23" ht="16.5" thickTop="1" thickBot="1" x14ac:dyDescent="0.3">
      <c r="A46" s="11"/>
      <c r="B46" s="59" t="s">
        <v>18</v>
      </c>
      <c r="C46" s="60"/>
      <c r="D46" s="60"/>
      <c r="E46" s="471" t="s">
        <v>277</v>
      </c>
      <c r="F46" s="427">
        <f>SUM(F20:F41)</f>
        <v>5040</v>
      </c>
      <c r="G46" s="427">
        <f>SUMIF('Log Sales Data'!C:C,B2,'Log Sales Data'!K:K)</f>
        <v>5140.5</v>
      </c>
      <c r="H46" s="425">
        <f>SUM(H20:H41)</f>
        <v>682560</v>
      </c>
      <c r="I46" s="65"/>
      <c r="J46" s="425">
        <f t="shared" ref="J46:U46" si="8">SUM(J20:J41)</f>
        <v>682560</v>
      </c>
      <c r="K46" s="425">
        <f t="shared" si="8"/>
        <v>0</v>
      </c>
      <c r="L46" s="425">
        <f t="shared" si="8"/>
        <v>0</v>
      </c>
      <c r="M46" s="425">
        <f t="shared" si="8"/>
        <v>0</v>
      </c>
      <c r="N46" s="425">
        <f t="shared" si="8"/>
        <v>0</v>
      </c>
      <c r="O46" s="425">
        <f t="shared" si="8"/>
        <v>0</v>
      </c>
      <c r="P46" s="425">
        <f t="shared" si="8"/>
        <v>0</v>
      </c>
      <c r="Q46" s="425">
        <f t="shared" si="8"/>
        <v>0</v>
      </c>
      <c r="R46" s="425">
        <f t="shared" si="8"/>
        <v>0</v>
      </c>
      <c r="S46" s="425">
        <f t="shared" si="8"/>
        <v>0</v>
      </c>
      <c r="T46" s="425">
        <f t="shared" si="8"/>
        <v>0</v>
      </c>
      <c r="U46" s="426">
        <f t="shared" si="8"/>
        <v>0</v>
      </c>
      <c r="W46" s="67">
        <f>SUM(J46:U46)</f>
        <v>682560</v>
      </c>
    </row>
    <row r="47" spans="1:23" x14ac:dyDescent="0.25">
      <c r="A47" s="11"/>
      <c r="B47" s="68"/>
      <c r="G47" s="52"/>
      <c r="H47" s="69"/>
      <c r="I47" s="69"/>
    </row>
    <row r="48" spans="1:23" ht="16.5" thickBot="1" x14ac:dyDescent="0.3">
      <c r="A48" s="11"/>
      <c r="B48" s="70" t="s">
        <v>41</v>
      </c>
      <c r="C48" s="80" t="s">
        <v>44</v>
      </c>
      <c r="D48" s="42" t="s">
        <v>220</v>
      </c>
    </row>
    <row r="49" spans="1:23" ht="15.75" thickBot="1" x14ac:dyDescent="0.3">
      <c r="A49" s="11"/>
      <c r="B49" s="71" t="s">
        <v>42</v>
      </c>
      <c r="C49" s="321" t="s">
        <v>193</v>
      </c>
      <c r="D49" s="324" t="s">
        <v>53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40"/>
    </row>
    <row r="50" spans="1:23" ht="15.75" thickBot="1" x14ac:dyDescent="0.3">
      <c r="A50" s="11"/>
      <c r="B50" s="72"/>
      <c r="C50" s="43"/>
      <c r="D50" s="43"/>
      <c r="E50" s="43"/>
      <c r="F50" s="43"/>
      <c r="G50" s="43"/>
      <c r="H50" s="42" t="s">
        <v>18</v>
      </c>
      <c r="I50" s="43"/>
      <c r="J50" s="178">
        <v>45658</v>
      </c>
      <c r="K50" s="178">
        <v>45689</v>
      </c>
      <c r="L50" s="178">
        <v>45717</v>
      </c>
      <c r="M50" s="178">
        <v>45748</v>
      </c>
      <c r="N50" s="178">
        <v>45778</v>
      </c>
      <c r="O50" s="178">
        <v>45809</v>
      </c>
      <c r="P50" s="178">
        <v>45839</v>
      </c>
      <c r="Q50" s="178">
        <v>45870</v>
      </c>
      <c r="R50" s="178">
        <v>45901</v>
      </c>
      <c r="S50" s="178">
        <v>45931</v>
      </c>
      <c r="T50" s="178">
        <v>45962</v>
      </c>
      <c r="U50" s="178">
        <v>45992</v>
      </c>
    </row>
    <row r="51" spans="1:23" ht="16.5" thickTop="1" thickBot="1" x14ac:dyDescent="0.3">
      <c r="A51" s="11"/>
      <c r="B51" s="73"/>
      <c r="C51" s="74"/>
      <c r="D51" s="74"/>
      <c r="E51" s="74"/>
      <c r="F51" s="74"/>
      <c r="G51" s="433" t="e">
        <f>H51/W16</f>
        <v>#DIV/0!</v>
      </c>
      <c r="H51" s="434">
        <f>SUM(J51:U51)</f>
        <v>0</v>
      </c>
      <c r="I51" s="76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2"/>
      <c r="W51" s="67">
        <f>SUM(J51:U51)</f>
        <v>0</v>
      </c>
    </row>
    <row r="52" spans="1:23" x14ac:dyDescent="0.25">
      <c r="A52" s="11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</row>
    <row r="53" spans="1:23" ht="15.75" thickBot="1" x14ac:dyDescent="0.3">
      <c r="A53" s="11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</row>
    <row r="54" spans="1:23" ht="15.75" thickBot="1" x14ac:dyDescent="0.3">
      <c r="A54" s="11"/>
      <c r="B54" s="71" t="s">
        <v>43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40"/>
    </row>
    <row r="55" spans="1:23" x14ac:dyDescent="0.25">
      <c r="A55" s="11"/>
      <c r="B55" s="41" t="s">
        <v>13</v>
      </c>
      <c r="C55" s="80" t="s">
        <v>44</v>
      </c>
      <c r="D55" s="42" t="s">
        <v>220</v>
      </c>
      <c r="E55" s="80" t="s">
        <v>45</v>
      </c>
      <c r="F55" s="80" t="s">
        <v>45</v>
      </c>
      <c r="G55" s="80" t="s">
        <v>46</v>
      </c>
      <c r="H55" s="81" t="s">
        <v>18</v>
      </c>
      <c r="I55" s="43"/>
      <c r="J55" s="178">
        <v>45658</v>
      </c>
      <c r="K55" s="178">
        <v>45689</v>
      </c>
      <c r="L55" s="178">
        <v>45717</v>
      </c>
      <c r="M55" s="178">
        <v>45748</v>
      </c>
      <c r="N55" s="178">
        <v>45778</v>
      </c>
      <c r="O55" s="178">
        <v>45809</v>
      </c>
      <c r="P55" s="178">
        <v>45839</v>
      </c>
      <c r="Q55" s="178">
        <v>45870</v>
      </c>
      <c r="R55" s="178">
        <v>45901</v>
      </c>
      <c r="S55" s="178">
        <v>45931</v>
      </c>
      <c r="T55" s="178">
        <v>45962</v>
      </c>
      <c r="U55" s="178">
        <v>45992</v>
      </c>
    </row>
    <row r="56" spans="1:23" x14ac:dyDescent="0.25">
      <c r="A56" s="11"/>
      <c r="B56" s="203" t="s">
        <v>20</v>
      </c>
      <c r="C56" s="83" t="s">
        <v>192</v>
      </c>
      <c r="D56" s="83" t="s">
        <v>47</v>
      </c>
      <c r="E56" s="204" t="s">
        <v>172</v>
      </c>
      <c r="F56" s="205"/>
      <c r="G56" s="206"/>
      <c r="H56" s="435">
        <f>SUM(J56:U56)</f>
        <v>0</v>
      </c>
      <c r="I56" s="54"/>
      <c r="J56" s="428"/>
      <c r="K56" s="428"/>
      <c r="L56" s="428"/>
      <c r="M56" s="428"/>
      <c r="N56" s="428"/>
      <c r="O56" s="428"/>
      <c r="P56" s="428"/>
      <c r="Q56" s="428"/>
      <c r="R56" s="428"/>
      <c r="S56" s="428"/>
      <c r="T56" s="428"/>
      <c r="U56" s="428"/>
    </row>
    <row r="57" spans="1:23" x14ac:dyDescent="0.25">
      <c r="A57" s="11"/>
      <c r="B57" s="102" t="s">
        <v>22</v>
      </c>
      <c r="C57" s="207" t="s">
        <v>192</v>
      </c>
      <c r="D57" s="207" t="s">
        <v>47</v>
      </c>
      <c r="E57" s="208" t="s">
        <v>172</v>
      </c>
      <c r="F57" s="209"/>
      <c r="G57" s="206"/>
      <c r="H57" s="435">
        <v>0</v>
      </c>
      <c r="I57" s="54"/>
      <c r="J57" s="428"/>
      <c r="K57" s="428"/>
      <c r="L57" s="428"/>
      <c r="M57" s="428"/>
      <c r="N57" s="428"/>
      <c r="O57" s="428"/>
      <c r="P57" s="428"/>
      <c r="Q57" s="428"/>
      <c r="R57" s="428"/>
      <c r="S57" s="428"/>
      <c r="T57" s="428"/>
      <c r="U57" s="428"/>
    </row>
    <row r="58" spans="1:23" x14ac:dyDescent="0.25">
      <c r="A58" s="11"/>
      <c r="B58" s="102" t="s">
        <v>25</v>
      </c>
      <c r="C58" s="207" t="s">
        <v>192</v>
      </c>
      <c r="D58" s="207" t="s">
        <v>47</v>
      </c>
      <c r="E58" s="210" t="s">
        <v>172</v>
      </c>
      <c r="F58" s="211"/>
      <c r="G58" s="206"/>
      <c r="H58" s="435">
        <f t="shared" ref="H58:H77" si="9">SUM(J58:U58)</f>
        <v>0</v>
      </c>
      <c r="I58" s="54"/>
      <c r="J58" s="428"/>
      <c r="K58" s="428"/>
      <c r="L58" s="428"/>
      <c r="M58" s="428"/>
      <c r="N58" s="428"/>
      <c r="O58" s="428"/>
      <c r="P58" s="428"/>
      <c r="Q58" s="428"/>
      <c r="R58" s="428"/>
      <c r="S58" s="428"/>
      <c r="T58" s="428"/>
      <c r="U58" s="428"/>
    </row>
    <row r="59" spans="1:23" x14ac:dyDescent="0.25">
      <c r="A59" s="11"/>
      <c r="B59" s="102" t="s">
        <v>30</v>
      </c>
      <c r="C59" s="207" t="s">
        <v>192</v>
      </c>
      <c r="D59" s="207" t="s">
        <v>47</v>
      </c>
      <c r="E59" s="210" t="s">
        <v>172</v>
      </c>
      <c r="F59" s="211"/>
      <c r="G59" s="206"/>
      <c r="H59" s="435">
        <f t="shared" si="9"/>
        <v>0</v>
      </c>
      <c r="I59" s="54"/>
      <c r="J59" s="428"/>
      <c r="K59" s="428"/>
      <c r="L59" s="428"/>
      <c r="M59" s="428"/>
      <c r="N59" s="428"/>
      <c r="O59" s="428"/>
      <c r="P59" s="428"/>
      <c r="Q59" s="428"/>
      <c r="R59" s="428"/>
      <c r="S59" s="428"/>
      <c r="T59" s="428"/>
      <c r="U59" s="428"/>
    </row>
    <row r="60" spans="1:23" x14ac:dyDescent="0.25">
      <c r="A60" s="11"/>
      <c r="B60" s="102" t="s">
        <v>222</v>
      </c>
      <c r="C60" s="207" t="s">
        <v>192</v>
      </c>
      <c r="D60" s="207" t="s">
        <v>47</v>
      </c>
      <c r="E60" s="210" t="s">
        <v>172</v>
      </c>
      <c r="F60" s="211"/>
      <c r="G60" s="206"/>
      <c r="H60" s="435">
        <f t="shared" si="9"/>
        <v>0</v>
      </c>
      <c r="I60" s="54"/>
      <c r="J60" s="428"/>
      <c r="K60" s="428"/>
      <c r="L60" s="428"/>
      <c r="M60" s="428"/>
      <c r="N60" s="428"/>
      <c r="O60" s="428"/>
      <c r="P60" s="428"/>
      <c r="Q60" s="428"/>
      <c r="R60" s="428"/>
      <c r="S60" s="428"/>
      <c r="T60" s="428"/>
      <c r="U60" s="428"/>
    </row>
    <row r="61" spans="1:23" x14ac:dyDescent="0.25">
      <c r="A61" s="11"/>
      <c r="B61" s="102" t="s">
        <v>34</v>
      </c>
      <c r="C61" s="207" t="s">
        <v>192</v>
      </c>
      <c r="D61" s="207" t="s">
        <v>47</v>
      </c>
      <c r="E61" s="210" t="s">
        <v>172</v>
      </c>
      <c r="F61" s="211"/>
      <c r="G61" s="206"/>
      <c r="H61" s="435">
        <f t="shared" si="9"/>
        <v>0</v>
      </c>
      <c r="I61" s="54"/>
      <c r="J61" s="428"/>
      <c r="K61" s="428"/>
      <c r="L61" s="428"/>
      <c r="M61" s="428"/>
      <c r="N61" s="428"/>
      <c r="O61" s="428"/>
      <c r="P61" s="428"/>
      <c r="Q61" s="428"/>
      <c r="R61" s="428"/>
      <c r="S61" s="428"/>
      <c r="T61" s="428"/>
      <c r="U61" s="428"/>
    </row>
    <row r="62" spans="1:23" x14ac:dyDescent="0.25">
      <c r="A62" s="11"/>
      <c r="B62" s="102" t="s">
        <v>37</v>
      </c>
      <c r="C62" s="207" t="s">
        <v>192</v>
      </c>
      <c r="D62" s="207" t="s">
        <v>47</v>
      </c>
      <c r="E62" s="210" t="s">
        <v>172</v>
      </c>
      <c r="F62" s="211"/>
      <c r="G62" s="206"/>
      <c r="H62" s="435">
        <f t="shared" si="9"/>
        <v>0</v>
      </c>
      <c r="I62" s="54"/>
      <c r="J62" s="428"/>
      <c r="K62" s="428"/>
      <c r="L62" s="428"/>
      <c r="M62" s="428"/>
      <c r="N62" s="428"/>
      <c r="O62" s="428"/>
      <c r="P62" s="428"/>
      <c r="Q62" s="428"/>
      <c r="R62" s="428"/>
      <c r="S62" s="428"/>
      <c r="T62" s="428"/>
      <c r="U62" s="428"/>
    </row>
    <row r="63" spans="1:23" x14ac:dyDescent="0.25">
      <c r="A63" s="11"/>
      <c r="B63" s="102" t="s">
        <v>174</v>
      </c>
      <c r="C63" s="207" t="s">
        <v>192</v>
      </c>
      <c r="D63" s="207" t="s">
        <v>47</v>
      </c>
      <c r="E63" s="210" t="s">
        <v>172</v>
      </c>
      <c r="F63" s="211"/>
      <c r="G63" s="206"/>
      <c r="H63" s="435">
        <f t="shared" si="9"/>
        <v>0</v>
      </c>
      <c r="I63" s="54"/>
      <c r="J63" s="428"/>
      <c r="K63" s="428"/>
      <c r="L63" s="428"/>
      <c r="M63" s="428"/>
      <c r="N63" s="428"/>
      <c r="O63" s="428"/>
      <c r="P63" s="428"/>
      <c r="Q63" s="428"/>
      <c r="R63" s="428"/>
      <c r="S63" s="428"/>
      <c r="T63" s="428"/>
      <c r="U63" s="428"/>
    </row>
    <row r="64" spans="1:23" x14ac:dyDescent="0.25">
      <c r="A64" s="11"/>
      <c r="B64" s="102" t="s">
        <v>175</v>
      </c>
      <c r="C64" s="207" t="s">
        <v>192</v>
      </c>
      <c r="D64" s="207" t="s">
        <v>47</v>
      </c>
      <c r="E64" s="210" t="s">
        <v>221</v>
      </c>
      <c r="F64" s="211"/>
      <c r="G64" s="206"/>
      <c r="H64" s="435">
        <f t="shared" si="9"/>
        <v>0</v>
      </c>
      <c r="I64" s="54"/>
      <c r="J64" s="428"/>
      <c r="K64" s="428"/>
      <c r="L64" s="428"/>
      <c r="M64" s="428"/>
      <c r="N64" s="428"/>
      <c r="O64" s="428"/>
      <c r="P64" s="428"/>
      <c r="Q64" s="428"/>
      <c r="R64" s="428"/>
      <c r="S64" s="428"/>
      <c r="T64" s="428"/>
      <c r="U64" s="428"/>
    </row>
    <row r="65" spans="1:23" x14ac:dyDescent="0.25">
      <c r="A65" s="11"/>
      <c r="B65" s="102" t="s">
        <v>176</v>
      </c>
      <c r="C65" s="207" t="s">
        <v>192</v>
      </c>
      <c r="D65" s="207" t="s">
        <v>47</v>
      </c>
      <c r="E65" s="210" t="s">
        <v>221</v>
      </c>
      <c r="F65" s="211"/>
      <c r="G65" s="206"/>
      <c r="H65" s="435">
        <f t="shared" si="9"/>
        <v>0</v>
      </c>
      <c r="I65" s="54"/>
      <c r="J65" s="428"/>
      <c r="K65" s="428"/>
      <c r="L65" s="428"/>
      <c r="M65" s="428"/>
      <c r="N65" s="428"/>
      <c r="O65" s="428"/>
      <c r="P65" s="428"/>
      <c r="Q65" s="428"/>
      <c r="R65" s="428"/>
      <c r="S65" s="428"/>
      <c r="T65" s="428"/>
      <c r="U65" s="428"/>
    </row>
    <row r="66" spans="1:23" x14ac:dyDescent="0.25">
      <c r="A66" s="11"/>
      <c r="B66" s="102" t="s">
        <v>23</v>
      </c>
      <c r="C66" s="207" t="s">
        <v>192</v>
      </c>
      <c r="D66" s="207" t="s">
        <v>47</v>
      </c>
      <c r="E66" s="210" t="s">
        <v>221</v>
      </c>
      <c r="F66" s="211"/>
      <c r="G66" s="206"/>
      <c r="H66" s="435">
        <f t="shared" si="9"/>
        <v>0</v>
      </c>
      <c r="I66" s="54"/>
      <c r="J66" s="428"/>
      <c r="K66" s="428"/>
      <c r="L66" s="428"/>
      <c r="M66" s="428"/>
      <c r="N66" s="428"/>
      <c r="O66" s="428"/>
      <c r="P66" s="428"/>
      <c r="Q66" s="428"/>
      <c r="R66" s="428"/>
      <c r="S66" s="428"/>
      <c r="T66" s="428"/>
      <c r="U66" s="428"/>
    </row>
    <row r="67" spans="1:23" x14ac:dyDescent="0.25">
      <c r="A67" s="11"/>
      <c r="B67" s="102" t="s">
        <v>24</v>
      </c>
      <c r="C67" s="207" t="s">
        <v>192</v>
      </c>
      <c r="D67" s="207" t="s">
        <v>47</v>
      </c>
      <c r="E67" s="208" t="s">
        <v>221</v>
      </c>
      <c r="F67" s="211"/>
      <c r="G67" s="206"/>
      <c r="H67" s="435">
        <f t="shared" si="9"/>
        <v>0</v>
      </c>
      <c r="I67" s="54"/>
      <c r="J67" s="428"/>
      <c r="K67" s="428"/>
      <c r="L67" s="428"/>
      <c r="M67" s="428"/>
      <c r="N67" s="428"/>
      <c r="O67" s="428"/>
      <c r="P67" s="428"/>
      <c r="Q67" s="428"/>
      <c r="R67" s="428"/>
      <c r="S67" s="428"/>
      <c r="T67" s="428"/>
      <c r="U67" s="428"/>
    </row>
    <row r="68" spans="1:23" x14ac:dyDescent="0.25">
      <c r="A68" s="11"/>
      <c r="B68" s="212" t="s">
        <v>26</v>
      </c>
      <c r="C68" s="207" t="s">
        <v>192</v>
      </c>
      <c r="D68" s="207" t="s">
        <v>47</v>
      </c>
      <c r="E68" s="210" t="s">
        <v>221</v>
      </c>
      <c r="F68" s="211"/>
      <c r="G68" s="206"/>
      <c r="H68" s="435">
        <f t="shared" si="9"/>
        <v>0</v>
      </c>
      <c r="I68" s="54"/>
      <c r="J68" s="428"/>
      <c r="K68" s="428"/>
      <c r="L68" s="428"/>
      <c r="M68" s="428"/>
      <c r="N68" s="428"/>
      <c r="O68" s="428"/>
      <c r="P68" s="428"/>
      <c r="Q68" s="428"/>
      <c r="R68" s="428"/>
      <c r="S68" s="428"/>
      <c r="T68" s="428"/>
      <c r="U68" s="428"/>
    </row>
    <row r="69" spans="1:23" x14ac:dyDescent="0.25">
      <c r="A69" s="11"/>
      <c r="B69" s="102" t="s">
        <v>27</v>
      </c>
      <c r="C69" s="207" t="s">
        <v>192</v>
      </c>
      <c r="D69" s="207" t="s">
        <v>47</v>
      </c>
      <c r="E69" s="210" t="s">
        <v>221</v>
      </c>
      <c r="F69" s="211"/>
      <c r="G69" s="206"/>
      <c r="H69" s="435">
        <f t="shared" si="9"/>
        <v>0</v>
      </c>
      <c r="I69" s="54"/>
      <c r="J69" s="428"/>
      <c r="K69" s="428"/>
      <c r="L69" s="428"/>
      <c r="M69" s="428"/>
      <c r="N69" s="428"/>
      <c r="O69" s="428"/>
      <c r="P69" s="428"/>
      <c r="Q69" s="428"/>
      <c r="R69" s="428"/>
      <c r="S69" s="428"/>
      <c r="T69" s="428"/>
      <c r="U69" s="428"/>
    </row>
    <row r="70" spans="1:23" x14ac:dyDescent="0.25">
      <c r="A70" s="11"/>
      <c r="B70" s="102" t="s">
        <v>28</v>
      </c>
      <c r="C70" s="207" t="s">
        <v>192</v>
      </c>
      <c r="D70" s="207" t="s">
        <v>47</v>
      </c>
      <c r="E70" s="210" t="s">
        <v>221</v>
      </c>
      <c r="F70" s="211"/>
      <c r="G70" s="206"/>
      <c r="H70" s="435">
        <f t="shared" si="9"/>
        <v>0</v>
      </c>
      <c r="I70" s="54"/>
      <c r="J70" s="428"/>
      <c r="K70" s="428"/>
      <c r="L70" s="428"/>
      <c r="M70" s="428"/>
      <c r="N70" s="428"/>
      <c r="O70" s="428"/>
      <c r="P70" s="428"/>
      <c r="Q70" s="428"/>
      <c r="R70" s="428"/>
      <c r="S70" s="428"/>
      <c r="T70" s="428"/>
      <c r="U70" s="428"/>
    </row>
    <row r="71" spans="1:23" x14ac:dyDescent="0.25">
      <c r="A71" s="11"/>
      <c r="B71" s="212" t="s">
        <v>29</v>
      </c>
      <c r="C71" s="207" t="s">
        <v>192</v>
      </c>
      <c r="D71" s="207" t="s">
        <v>47</v>
      </c>
      <c r="E71" s="208" t="s">
        <v>221</v>
      </c>
      <c r="F71" s="211"/>
      <c r="G71" s="206"/>
      <c r="H71" s="435">
        <f t="shared" si="9"/>
        <v>0</v>
      </c>
      <c r="I71" s="54"/>
      <c r="J71" s="428"/>
      <c r="K71" s="428"/>
      <c r="L71" s="428"/>
      <c r="M71" s="428"/>
      <c r="N71" s="428"/>
      <c r="O71" s="428"/>
      <c r="P71" s="428"/>
      <c r="Q71" s="428"/>
      <c r="R71" s="428"/>
      <c r="S71" s="428"/>
      <c r="T71" s="428"/>
      <c r="U71" s="428"/>
    </row>
    <row r="72" spans="1:23" x14ac:dyDescent="0.25">
      <c r="A72" s="11"/>
      <c r="B72" s="212" t="s">
        <v>31</v>
      </c>
      <c r="C72" s="207" t="s">
        <v>192</v>
      </c>
      <c r="D72" s="207" t="s">
        <v>47</v>
      </c>
      <c r="E72" s="208" t="s">
        <v>221</v>
      </c>
      <c r="F72" s="211"/>
      <c r="G72" s="206"/>
      <c r="H72" s="435">
        <f t="shared" si="9"/>
        <v>0</v>
      </c>
      <c r="I72" s="54"/>
      <c r="J72" s="428"/>
      <c r="K72" s="428"/>
      <c r="L72" s="428"/>
      <c r="M72" s="428"/>
      <c r="N72" s="428"/>
      <c r="O72" s="428"/>
      <c r="P72" s="428"/>
      <c r="Q72" s="428"/>
      <c r="R72" s="428"/>
      <c r="S72" s="428"/>
      <c r="T72" s="428"/>
      <c r="U72" s="428"/>
    </row>
    <row r="73" spans="1:23" x14ac:dyDescent="0.25">
      <c r="A73" s="11"/>
      <c r="B73" s="212" t="s">
        <v>32</v>
      </c>
      <c r="C73" s="207" t="s">
        <v>192</v>
      </c>
      <c r="D73" s="207" t="s">
        <v>47</v>
      </c>
      <c r="E73" s="210" t="s">
        <v>221</v>
      </c>
      <c r="F73" s="211"/>
      <c r="G73" s="206"/>
      <c r="H73" s="435">
        <f t="shared" si="9"/>
        <v>0</v>
      </c>
      <c r="I73" s="54"/>
      <c r="J73" s="428"/>
      <c r="K73" s="428"/>
      <c r="L73" s="428"/>
      <c r="M73" s="428"/>
      <c r="N73" s="428"/>
      <c r="O73" s="428"/>
      <c r="P73" s="428"/>
      <c r="Q73" s="428"/>
      <c r="R73" s="428"/>
      <c r="S73" s="428"/>
      <c r="T73" s="428"/>
      <c r="U73" s="428"/>
    </row>
    <row r="74" spans="1:23" x14ac:dyDescent="0.25">
      <c r="A74" s="11"/>
      <c r="B74" s="102" t="s">
        <v>33</v>
      </c>
      <c r="C74" s="207" t="s">
        <v>192</v>
      </c>
      <c r="D74" s="207" t="s">
        <v>47</v>
      </c>
      <c r="E74" s="210" t="s">
        <v>221</v>
      </c>
      <c r="F74" s="211"/>
      <c r="G74" s="206"/>
      <c r="H74" s="435">
        <f t="shared" si="9"/>
        <v>0</v>
      </c>
      <c r="I74" s="54"/>
      <c r="J74" s="428"/>
      <c r="K74" s="428"/>
      <c r="L74" s="428"/>
      <c r="M74" s="428"/>
      <c r="N74" s="428"/>
      <c r="O74" s="428"/>
      <c r="P74" s="428"/>
      <c r="Q74" s="428"/>
      <c r="R74" s="428"/>
      <c r="S74" s="428"/>
      <c r="T74" s="428"/>
      <c r="U74" s="428"/>
    </row>
    <row r="75" spans="1:23" x14ac:dyDescent="0.25">
      <c r="A75" s="11"/>
      <c r="B75" s="212" t="s">
        <v>35</v>
      </c>
      <c r="C75" s="207" t="s">
        <v>192</v>
      </c>
      <c r="D75" s="207" t="s">
        <v>47</v>
      </c>
      <c r="E75" s="208"/>
      <c r="F75" s="213"/>
      <c r="G75" s="206"/>
      <c r="H75" s="435">
        <f t="shared" si="9"/>
        <v>0</v>
      </c>
      <c r="I75" s="54"/>
      <c r="J75" s="428"/>
      <c r="K75" s="428"/>
      <c r="L75" s="428"/>
      <c r="M75" s="428"/>
      <c r="N75" s="428"/>
      <c r="O75" s="428"/>
      <c r="P75" s="428"/>
      <c r="Q75" s="428"/>
      <c r="R75" s="428"/>
      <c r="S75" s="428"/>
      <c r="T75" s="428"/>
      <c r="U75" s="428"/>
    </row>
    <row r="76" spans="1:23" x14ac:dyDescent="0.25">
      <c r="A76" s="11"/>
      <c r="B76" s="212" t="s">
        <v>36</v>
      </c>
      <c r="C76" s="207" t="s">
        <v>192</v>
      </c>
      <c r="D76" s="207" t="s">
        <v>47</v>
      </c>
      <c r="E76" s="208"/>
      <c r="F76" s="209"/>
      <c r="G76" s="206"/>
      <c r="H76" s="435">
        <f t="shared" si="9"/>
        <v>0</v>
      </c>
      <c r="I76" s="54"/>
      <c r="J76" s="428"/>
      <c r="K76" s="428"/>
      <c r="L76" s="428"/>
      <c r="M76" s="428"/>
      <c r="N76" s="428"/>
      <c r="O76" s="428"/>
      <c r="P76" s="428"/>
      <c r="Q76" s="428"/>
      <c r="R76" s="428"/>
      <c r="S76" s="428"/>
      <c r="T76" s="428"/>
      <c r="U76" s="428"/>
    </row>
    <row r="77" spans="1:23" ht="15.75" thickBot="1" x14ac:dyDescent="0.3">
      <c r="A77" s="84"/>
      <c r="B77" s="214" t="s">
        <v>38</v>
      </c>
      <c r="C77" s="215" t="s">
        <v>192</v>
      </c>
      <c r="D77" s="215" t="s">
        <v>47</v>
      </c>
      <c r="E77" s="216"/>
      <c r="F77" s="217"/>
      <c r="G77" s="206"/>
      <c r="H77" s="435">
        <f t="shared" si="9"/>
        <v>0</v>
      </c>
      <c r="I77" s="54"/>
      <c r="J77" s="428"/>
      <c r="K77" s="428"/>
      <c r="L77" s="428"/>
      <c r="M77" s="428"/>
      <c r="N77" s="428"/>
      <c r="O77" s="428"/>
      <c r="P77" s="428"/>
      <c r="Q77" s="428"/>
      <c r="R77" s="428"/>
      <c r="S77" s="428"/>
      <c r="T77" s="428"/>
      <c r="U77" s="428"/>
    </row>
    <row r="78" spans="1:23" ht="16.5" thickTop="1" thickBot="1" x14ac:dyDescent="0.3">
      <c r="A78" s="11"/>
      <c r="B78" s="85"/>
      <c r="C78" s="86"/>
      <c r="D78" s="86"/>
      <c r="E78" s="87"/>
      <c r="F78" s="88"/>
      <c r="G78" s="89" t="e">
        <f>H78/W16</f>
        <v>#DIV/0!</v>
      </c>
      <c r="H78" s="434">
        <f>SUM(H56:H77)</f>
        <v>0</v>
      </c>
      <c r="I78" s="76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2"/>
      <c r="W78" s="67">
        <f>SUM(J78:U78)</f>
        <v>0</v>
      </c>
    </row>
    <row r="79" spans="1:23" ht="15.75" thickBot="1" x14ac:dyDescent="0.3">
      <c r="A79" s="11"/>
      <c r="B79" s="84"/>
      <c r="C79" s="84"/>
      <c r="D79" s="84"/>
      <c r="E79" s="52"/>
      <c r="F79" s="90"/>
      <c r="G79" s="91"/>
      <c r="H79" s="92"/>
      <c r="I79" s="46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</row>
    <row r="80" spans="1:23" ht="15.75" thickBot="1" x14ac:dyDescent="0.3">
      <c r="A80" s="11"/>
      <c r="B80" s="93" t="s">
        <v>48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40"/>
    </row>
    <row r="81" spans="1:21" x14ac:dyDescent="0.25">
      <c r="A81" s="11"/>
      <c r="B81" s="94" t="s">
        <v>49</v>
      </c>
      <c r="C81" s="80" t="s">
        <v>44</v>
      </c>
      <c r="D81" s="42" t="s">
        <v>220</v>
      </c>
      <c r="E81" s="80" t="s">
        <v>50</v>
      </c>
      <c r="F81" s="80" t="s">
        <v>51</v>
      </c>
      <c r="G81" s="80" t="s">
        <v>45</v>
      </c>
      <c r="H81" s="42" t="s">
        <v>18</v>
      </c>
      <c r="I81" s="43"/>
      <c r="J81" s="178">
        <v>45658</v>
      </c>
      <c r="K81" s="178">
        <v>45689</v>
      </c>
      <c r="L81" s="178">
        <v>45717</v>
      </c>
      <c r="M81" s="178">
        <v>45748</v>
      </c>
      <c r="N81" s="178">
        <v>45778</v>
      </c>
      <c r="O81" s="178">
        <v>45809</v>
      </c>
      <c r="P81" s="178">
        <v>45839</v>
      </c>
      <c r="Q81" s="178">
        <v>45870</v>
      </c>
      <c r="R81" s="178">
        <v>45901</v>
      </c>
      <c r="S81" s="178">
        <v>45931</v>
      </c>
      <c r="T81" s="178">
        <v>45962</v>
      </c>
      <c r="U81" s="178">
        <v>45992</v>
      </c>
    </row>
    <row r="82" spans="1:21" x14ac:dyDescent="0.25">
      <c r="A82" s="11"/>
      <c r="B82" s="95" t="s">
        <v>52</v>
      </c>
      <c r="C82" s="330" t="s">
        <v>212</v>
      </c>
      <c r="D82" s="97" t="s">
        <v>53</v>
      </c>
      <c r="E82" s="98"/>
      <c r="F82" s="98"/>
      <c r="G82" s="96"/>
      <c r="H82" s="430">
        <f>SUM(J82:U82)</f>
        <v>0</v>
      </c>
      <c r="J82" s="100"/>
      <c r="K82" s="100"/>
      <c r="L82" s="100"/>
      <c r="M82" s="100"/>
      <c r="N82" s="100"/>
      <c r="O82" s="100"/>
      <c r="P82" s="100"/>
      <c r="Q82" s="100"/>
      <c r="R82" s="100"/>
      <c r="S82" s="100"/>
      <c r="T82" s="100"/>
      <c r="U82" s="101"/>
    </row>
    <row r="83" spans="1:21" x14ac:dyDescent="0.25">
      <c r="A83" s="11"/>
      <c r="B83" s="102" t="s">
        <v>227</v>
      </c>
      <c r="C83" s="331" t="s">
        <v>213</v>
      </c>
      <c r="D83" s="104" t="s">
        <v>53</v>
      </c>
      <c r="E83" s="103">
        <v>699</v>
      </c>
      <c r="F83" s="103">
        <v>3675</v>
      </c>
      <c r="G83" s="103"/>
      <c r="H83" s="430">
        <f t="shared" ref="H83:H105" si="10">SUM(J83:U83)</f>
        <v>0</v>
      </c>
      <c r="I83" s="46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1"/>
    </row>
    <row r="84" spans="1:21" x14ac:dyDescent="0.25">
      <c r="A84" s="11"/>
      <c r="B84" s="102" t="s">
        <v>54</v>
      </c>
      <c r="C84" s="331" t="s">
        <v>216</v>
      </c>
      <c r="D84" s="104" t="s">
        <v>53</v>
      </c>
      <c r="E84" s="103">
        <v>699</v>
      </c>
      <c r="F84" s="103">
        <v>3691</v>
      </c>
      <c r="G84" s="103"/>
      <c r="H84" s="430">
        <f t="shared" si="10"/>
        <v>0</v>
      </c>
      <c r="I84" s="46"/>
      <c r="J84" s="100"/>
      <c r="K84" s="100"/>
      <c r="L84" s="100"/>
      <c r="M84" s="100"/>
      <c r="N84" s="100"/>
      <c r="O84" s="100"/>
      <c r="P84" s="100"/>
      <c r="Q84" s="100"/>
      <c r="R84" s="100"/>
      <c r="S84" s="100"/>
      <c r="T84" s="100"/>
      <c r="U84" s="101"/>
    </row>
    <row r="85" spans="1:21" x14ac:dyDescent="0.25">
      <c r="A85" s="11"/>
      <c r="B85" s="102" t="s">
        <v>55</v>
      </c>
      <c r="C85" s="331" t="s">
        <v>217</v>
      </c>
      <c r="D85" s="104" t="s">
        <v>53</v>
      </c>
      <c r="E85" s="103">
        <v>699</v>
      </c>
      <c r="F85" s="103">
        <v>3677</v>
      </c>
      <c r="G85" s="103"/>
      <c r="H85" s="430">
        <f t="shared" si="10"/>
        <v>0</v>
      </c>
      <c r="J85" s="100"/>
      <c r="K85" s="100"/>
      <c r="L85" s="100"/>
      <c r="M85" s="100"/>
      <c r="N85" s="100"/>
      <c r="O85" s="100"/>
      <c r="P85" s="100"/>
      <c r="Q85" s="100"/>
      <c r="R85" s="100"/>
      <c r="S85" s="100"/>
      <c r="T85" s="100"/>
      <c r="U85" s="101"/>
    </row>
    <row r="86" spans="1:21" x14ac:dyDescent="0.25">
      <c r="A86" s="11"/>
      <c r="B86" s="105" t="s">
        <v>228</v>
      </c>
      <c r="C86" s="103">
        <v>721</v>
      </c>
      <c r="D86" s="104" t="s">
        <v>53</v>
      </c>
      <c r="E86" s="103">
        <v>699</v>
      </c>
      <c r="F86" s="103">
        <v>3671</v>
      </c>
      <c r="G86" s="103"/>
      <c r="H86" s="430">
        <f t="shared" si="10"/>
        <v>0</v>
      </c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1"/>
    </row>
    <row r="87" spans="1:21" x14ac:dyDescent="0.25">
      <c r="A87" s="11"/>
      <c r="B87" s="105" t="s">
        <v>56</v>
      </c>
      <c r="C87" s="331" t="s">
        <v>218</v>
      </c>
      <c r="D87" s="104" t="s">
        <v>53</v>
      </c>
      <c r="E87" s="103">
        <v>699</v>
      </c>
      <c r="F87" s="103">
        <v>3669</v>
      </c>
      <c r="G87" s="103"/>
      <c r="H87" s="430">
        <f t="shared" si="10"/>
        <v>0</v>
      </c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1"/>
    </row>
    <row r="88" spans="1:21" x14ac:dyDescent="0.25">
      <c r="A88" s="11"/>
      <c r="B88" s="105" t="s">
        <v>57</v>
      </c>
      <c r="C88" s="331" t="s">
        <v>219</v>
      </c>
      <c r="D88" s="104" t="s">
        <v>53</v>
      </c>
      <c r="E88" s="103">
        <v>699</v>
      </c>
      <c r="F88" s="103">
        <v>3665</v>
      </c>
      <c r="G88" s="103"/>
      <c r="H88" s="430">
        <f t="shared" si="10"/>
        <v>0</v>
      </c>
      <c r="J88" s="100"/>
      <c r="K88" s="100"/>
      <c r="L88" s="100"/>
      <c r="M88" s="100"/>
      <c r="N88" s="100"/>
      <c r="O88" s="100"/>
      <c r="P88" s="100"/>
      <c r="Q88" s="100"/>
      <c r="R88" s="100"/>
      <c r="S88" s="100"/>
      <c r="T88" s="100"/>
      <c r="U88" s="101"/>
    </row>
    <row r="89" spans="1:21" x14ac:dyDescent="0.25">
      <c r="A89" s="11"/>
      <c r="B89" s="105" t="s">
        <v>229</v>
      </c>
      <c r="C89" s="331" t="s">
        <v>215</v>
      </c>
      <c r="D89" s="104" t="s">
        <v>53</v>
      </c>
      <c r="E89" s="103">
        <v>699</v>
      </c>
      <c r="F89" s="103">
        <v>3963</v>
      </c>
      <c r="G89" s="103"/>
      <c r="H89" s="430">
        <f t="shared" si="10"/>
        <v>0</v>
      </c>
      <c r="I89" s="46"/>
      <c r="J89" s="100"/>
      <c r="K89" s="100"/>
      <c r="L89" s="100"/>
      <c r="M89" s="100"/>
      <c r="N89" s="100"/>
      <c r="O89" s="100"/>
      <c r="P89" s="100"/>
      <c r="Q89" s="100"/>
      <c r="R89" s="100"/>
      <c r="S89" s="100"/>
      <c r="T89" s="100"/>
      <c r="U89" s="101"/>
    </row>
    <row r="90" spans="1:21" x14ac:dyDescent="0.25">
      <c r="A90" s="11"/>
      <c r="B90" s="105" t="s">
        <v>238</v>
      </c>
      <c r="C90" s="331" t="s">
        <v>214</v>
      </c>
      <c r="D90" s="104" t="s">
        <v>59</v>
      </c>
      <c r="E90" s="103"/>
      <c r="F90" s="103"/>
      <c r="G90" s="103"/>
      <c r="H90" s="430">
        <f t="shared" si="10"/>
        <v>0</v>
      </c>
      <c r="I90" s="46"/>
      <c r="J90" s="420"/>
      <c r="K90" s="420"/>
      <c r="L90" s="420"/>
      <c r="M90" s="420"/>
      <c r="N90" s="420"/>
      <c r="O90" s="420"/>
      <c r="P90" s="420"/>
      <c r="Q90" s="420"/>
      <c r="R90" s="420"/>
      <c r="S90" s="420"/>
      <c r="T90" s="420"/>
      <c r="U90" s="429"/>
    </row>
    <row r="91" spans="1:21" x14ac:dyDescent="0.25">
      <c r="A91" s="11"/>
      <c r="B91" s="105" t="s">
        <v>225</v>
      </c>
      <c r="C91" s="103">
        <v>720</v>
      </c>
      <c r="D91" s="104" t="s">
        <v>59</v>
      </c>
      <c r="E91" s="103"/>
      <c r="F91" s="103"/>
      <c r="G91" s="103"/>
      <c r="H91" s="430">
        <f t="shared" si="10"/>
        <v>0</v>
      </c>
      <c r="I91" s="46"/>
      <c r="J91" s="420">
        <f>J115</f>
        <v>0</v>
      </c>
      <c r="K91" s="420">
        <f t="shared" ref="K91:U91" si="11">K115</f>
        <v>0</v>
      </c>
      <c r="L91" s="420">
        <f t="shared" si="11"/>
        <v>0</v>
      </c>
      <c r="M91" s="420">
        <f t="shared" si="11"/>
        <v>0</v>
      </c>
      <c r="N91" s="420">
        <f t="shared" si="11"/>
        <v>0</v>
      </c>
      <c r="O91" s="420">
        <f t="shared" si="11"/>
        <v>0</v>
      </c>
      <c r="P91" s="420">
        <f t="shared" si="11"/>
        <v>0</v>
      </c>
      <c r="Q91" s="420">
        <f t="shared" si="11"/>
        <v>0</v>
      </c>
      <c r="R91" s="420">
        <f t="shared" si="11"/>
        <v>0</v>
      </c>
      <c r="S91" s="420">
        <f t="shared" si="11"/>
        <v>0</v>
      </c>
      <c r="T91" s="420">
        <f t="shared" si="11"/>
        <v>0</v>
      </c>
      <c r="U91" s="429">
        <f t="shared" si="11"/>
        <v>0</v>
      </c>
    </row>
    <row r="92" spans="1:21" x14ac:dyDescent="0.25">
      <c r="A92" s="11"/>
      <c r="B92" s="105" t="s">
        <v>226</v>
      </c>
      <c r="C92" s="103">
        <v>720</v>
      </c>
      <c r="D92" s="104" t="s">
        <v>59</v>
      </c>
      <c r="E92" s="103"/>
      <c r="F92" s="103"/>
      <c r="G92" s="103"/>
      <c r="H92" s="430">
        <f t="shared" si="10"/>
        <v>0</v>
      </c>
      <c r="J92" s="420"/>
      <c r="K92" s="420"/>
      <c r="L92" s="420"/>
      <c r="M92" s="420"/>
      <c r="N92" s="420"/>
      <c r="O92" s="420"/>
      <c r="P92" s="420"/>
      <c r="Q92" s="420"/>
      <c r="R92" s="420"/>
      <c r="S92" s="420"/>
      <c r="T92" s="420"/>
      <c r="U92" s="429"/>
    </row>
    <row r="93" spans="1:21" x14ac:dyDescent="0.25">
      <c r="A93" s="11"/>
      <c r="B93" s="105" t="s">
        <v>205</v>
      </c>
      <c r="C93" s="103">
        <v>720</v>
      </c>
      <c r="D93" s="104" t="s">
        <v>59</v>
      </c>
      <c r="E93" s="103"/>
      <c r="F93" s="103"/>
      <c r="G93" s="103"/>
      <c r="H93" s="430">
        <f t="shared" si="10"/>
        <v>0</v>
      </c>
      <c r="J93" s="420"/>
      <c r="K93" s="420"/>
      <c r="L93" s="420"/>
      <c r="M93" s="420"/>
      <c r="N93" s="420"/>
      <c r="O93" s="420"/>
      <c r="P93" s="420"/>
      <c r="Q93" s="420"/>
      <c r="R93" s="420"/>
      <c r="S93" s="420"/>
      <c r="T93" s="420"/>
      <c r="U93" s="429"/>
    </row>
    <row r="94" spans="1:21" x14ac:dyDescent="0.25">
      <c r="A94" s="11"/>
      <c r="B94" s="105" t="s">
        <v>60</v>
      </c>
      <c r="C94" s="331" t="s">
        <v>194</v>
      </c>
      <c r="D94" s="104" t="s">
        <v>59</v>
      </c>
      <c r="E94" s="103"/>
      <c r="F94" s="103"/>
      <c r="G94" s="103"/>
      <c r="H94" s="430">
        <f t="shared" si="10"/>
        <v>0</v>
      </c>
      <c r="J94" s="420">
        <f>J119</f>
        <v>0</v>
      </c>
      <c r="K94" s="420">
        <f t="shared" ref="K94:U95" si="12">K119</f>
        <v>0</v>
      </c>
      <c r="L94" s="420">
        <f t="shared" si="12"/>
        <v>0</v>
      </c>
      <c r="M94" s="420">
        <f t="shared" si="12"/>
        <v>0</v>
      </c>
      <c r="N94" s="420">
        <f t="shared" si="12"/>
        <v>0</v>
      </c>
      <c r="O94" s="420">
        <f t="shared" si="12"/>
        <v>0</v>
      </c>
      <c r="P94" s="420">
        <f t="shared" si="12"/>
        <v>0</v>
      </c>
      <c r="Q94" s="420">
        <f t="shared" si="12"/>
        <v>0</v>
      </c>
      <c r="R94" s="420">
        <f t="shared" si="12"/>
        <v>0</v>
      </c>
      <c r="S94" s="420">
        <f t="shared" si="12"/>
        <v>0</v>
      </c>
      <c r="T94" s="420">
        <f t="shared" si="12"/>
        <v>0</v>
      </c>
      <c r="U94" s="429">
        <f t="shared" si="12"/>
        <v>0</v>
      </c>
    </row>
    <row r="95" spans="1:21" x14ac:dyDescent="0.25">
      <c r="A95" s="11"/>
      <c r="B95" s="105" t="s">
        <v>80</v>
      </c>
      <c r="C95" s="331" t="s">
        <v>194</v>
      </c>
      <c r="D95" s="104" t="s">
        <v>59</v>
      </c>
      <c r="E95" s="103"/>
      <c r="F95" s="103"/>
      <c r="G95" s="103"/>
      <c r="H95" s="430">
        <f t="shared" si="10"/>
        <v>0</v>
      </c>
      <c r="J95" s="420">
        <f>J120</f>
        <v>0</v>
      </c>
      <c r="K95" s="420">
        <f t="shared" si="12"/>
        <v>0</v>
      </c>
      <c r="L95" s="420">
        <f t="shared" si="12"/>
        <v>0</v>
      </c>
      <c r="M95" s="420">
        <f t="shared" si="12"/>
        <v>0</v>
      </c>
      <c r="N95" s="420">
        <f t="shared" si="12"/>
        <v>0</v>
      </c>
      <c r="O95" s="420">
        <f t="shared" si="12"/>
        <v>0</v>
      </c>
      <c r="P95" s="420">
        <f t="shared" si="12"/>
        <v>0</v>
      </c>
      <c r="Q95" s="420">
        <f t="shared" si="12"/>
        <v>0</v>
      </c>
      <c r="R95" s="420">
        <f t="shared" si="12"/>
        <v>0</v>
      </c>
      <c r="S95" s="420">
        <f t="shared" si="12"/>
        <v>0</v>
      </c>
      <c r="T95" s="420">
        <f t="shared" si="12"/>
        <v>0</v>
      </c>
      <c r="U95" s="429">
        <f t="shared" si="12"/>
        <v>0</v>
      </c>
    </row>
    <row r="96" spans="1:21" x14ac:dyDescent="0.25">
      <c r="A96" s="11"/>
      <c r="B96" s="105" t="s">
        <v>230</v>
      </c>
      <c r="C96" s="104">
        <v>305</v>
      </c>
      <c r="D96" s="332" t="s">
        <v>61</v>
      </c>
      <c r="E96" s="103"/>
      <c r="F96" s="103"/>
      <c r="G96" s="103"/>
      <c r="H96" s="430">
        <f t="shared" si="10"/>
        <v>0</v>
      </c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1"/>
    </row>
    <row r="97" spans="1:23" x14ac:dyDescent="0.25">
      <c r="A97" s="11"/>
      <c r="B97" s="105" t="s">
        <v>231</v>
      </c>
      <c r="C97" s="104">
        <v>306</v>
      </c>
      <c r="D97" s="332" t="s">
        <v>61</v>
      </c>
      <c r="E97" s="103"/>
      <c r="F97" s="103"/>
      <c r="G97" s="103"/>
      <c r="H97" s="430">
        <f t="shared" si="10"/>
        <v>0</v>
      </c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1"/>
    </row>
    <row r="98" spans="1:23" x14ac:dyDescent="0.25">
      <c r="A98" s="11"/>
      <c r="B98" s="105" t="s">
        <v>232</v>
      </c>
      <c r="C98" s="334" t="s">
        <v>195</v>
      </c>
      <c r="D98" s="332" t="s">
        <v>62</v>
      </c>
      <c r="E98" s="103"/>
      <c r="F98" s="103"/>
      <c r="G98" s="103"/>
      <c r="H98" s="430">
        <f t="shared" si="10"/>
        <v>0</v>
      </c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1"/>
    </row>
    <row r="99" spans="1:23" x14ac:dyDescent="0.25">
      <c r="A99" s="11"/>
      <c r="B99" s="105" t="s">
        <v>233</v>
      </c>
      <c r="C99" s="334" t="s">
        <v>196</v>
      </c>
      <c r="D99" s="332" t="s">
        <v>62</v>
      </c>
      <c r="E99" s="103"/>
      <c r="F99" s="103"/>
      <c r="G99" s="103"/>
      <c r="H99" s="430">
        <f>SUM(J99:U99)</f>
        <v>0</v>
      </c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1"/>
    </row>
    <row r="100" spans="1:23" x14ac:dyDescent="0.25">
      <c r="A100" s="11"/>
      <c r="B100" s="105" t="s">
        <v>235</v>
      </c>
      <c r="C100" s="334" t="s">
        <v>197</v>
      </c>
      <c r="D100" s="104" t="s">
        <v>63</v>
      </c>
      <c r="E100" s="103"/>
      <c r="F100" s="103"/>
      <c r="G100" s="103"/>
      <c r="H100" s="430">
        <f>SUM(J100:U100)</f>
        <v>0</v>
      </c>
      <c r="J100" s="100"/>
      <c r="K100" s="100"/>
      <c r="L100" s="100"/>
      <c r="M100" s="100"/>
      <c r="N100" s="100"/>
      <c r="O100" s="100"/>
      <c r="P100" s="100"/>
      <c r="Q100" s="100"/>
      <c r="R100" s="100"/>
      <c r="S100" s="100"/>
      <c r="T100" s="100"/>
      <c r="U100" s="101"/>
    </row>
    <row r="101" spans="1:23" x14ac:dyDescent="0.25">
      <c r="A101" s="11"/>
      <c r="B101" s="105" t="s">
        <v>64</v>
      </c>
      <c r="C101" s="334" t="s">
        <v>198</v>
      </c>
      <c r="D101" s="104" t="s">
        <v>63</v>
      </c>
      <c r="E101" s="104"/>
      <c r="F101" s="103"/>
      <c r="G101" s="344" t="e">
        <f>H101/$W$16</f>
        <v>#DIV/0!</v>
      </c>
      <c r="H101" s="430">
        <f t="shared" si="10"/>
        <v>0</v>
      </c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1"/>
    </row>
    <row r="102" spans="1:23" x14ac:dyDescent="0.25">
      <c r="A102" s="11"/>
      <c r="B102" s="105" t="s">
        <v>65</v>
      </c>
      <c r="C102" s="334" t="s">
        <v>199</v>
      </c>
      <c r="D102" s="104" t="s">
        <v>63</v>
      </c>
      <c r="E102" s="104">
        <v>365</v>
      </c>
      <c r="F102" s="103"/>
      <c r="G102" s="103"/>
      <c r="H102" s="430">
        <f t="shared" si="10"/>
        <v>0</v>
      </c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1"/>
    </row>
    <row r="103" spans="1:23" x14ac:dyDescent="0.25">
      <c r="A103" s="11"/>
      <c r="B103" s="105" t="s">
        <v>66</v>
      </c>
      <c r="C103" s="334" t="s">
        <v>200</v>
      </c>
      <c r="D103" s="104" t="s">
        <v>67</v>
      </c>
      <c r="E103" s="103">
        <v>338</v>
      </c>
      <c r="F103" s="103"/>
      <c r="G103" s="344">
        <v>0.33</v>
      </c>
      <c r="H103" s="430">
        <f t="shared" si="10"/>
        <v>0</v>
      </c>
      <c r="I103" s="46"/>
      <c r="J103" s="420">
        <f>$G$103*J16</f>
        <v>0</v>
      </c>
      <c r="K103" s="420">
        <f t="shared" ref="K103:U103" si="13">$G$103*K16</f>
        <v>0</v>
      </c>
      <c r="L103" s="420">
        <f t="shared" si="13"/>
        <v>0</v>
      </c>
      <c r="M103" s="420">
        <f t="shared" si="13"/>
        <v>0</v>
      </c>
      <c r="N103" s="420">
        <f t="shared" si="13"/>
        <v>0</v>
      </c>
      <c r="O103" s="420">
        <f t="shared" si="13"/>
        <v>0</v>
      </c>
      <c r="P103" s="420">
        <f t="shared" si="13"/>
        <v>0</v>
      </c>
      <c r="Q103" s="420">
        <f t="shared" si="13"/>
        <v>0</v>
      </c>
      <c r="R103" s="420">
        <f t="shared" si="13"/>
        <v>0</v>
      </c>
      <c r="S103" s="420">
        <f t="shared" si="13"/>
        <v>0</v>
      </c>
      <c r="T103" s="420">
        <f t="shared" si="13"/>
        <v>0</v>
      </c>
      <c r="U103" s="420">
        <f t="shared" si="13"/>
        <v>0</v>
      </c>
    </row>
    <row r="104" spans="1:23" x14ac:dyDescent="0.25">
      <c r="A104" s="11"/>
      <c r="B104" s="105" t="s">
        <v>234</v>
      </c>
      <c r="C104" s="104">
        <v>351</v>
      </c>
      <c r="D104" s="104" t="s">
        <v>67</v>
      </c>
      <c r="E104" s="103">
        <v>324</v>
      </c>
      <c r="F104" s="103"/>
      <c r="G104" s="349">
        <v>1.6000000000000001E-3</v>
      </c>
      <c r="H104" s="430">
        <f t="shared" si="10"/>
        <v>10.920960000000001</v>
      </c>
      <c r="J104" s="420">
        <f>$G$104*J46/100</f>
        <v>10.920960000000001</v>
      </c>
      <c r="K104" s="420">
        <f t="shared" ref="K104:U104" si="14">$G$104*K46/100</f>
        <v>0</v>
      </c>
      <c r="L104" s="420">
        <f t="shared" si="14"/>
        <v>0</v>
      </c>
      <c r="M104" s="420">
        <f t="shared" si="14"/>
        <v>0</v>
      </c>
      <c r="N104" s="420">
        <f t="shared" si="14"/>
        <v>0</v>
      </c>
      <c r="O104" s="420">
        <f t="shared" si="14"/>
        <v>0</v>
      </c>
      <c r="P104" s="420">
        <f t="shared" si="14"/>
        <v>0</v>
      </c>
      <c r="Q104" s="420">
        <f t="shared" si="14"/>
        <v>0</v>
      </c>
      <c r="R104" s="420">
        <f t="shared" si="14"/>
        <v>0</v>
      </c>
      <c r="S104" s="420">
        <f t="shared" si="14"/>
        <v>0</v>
      </c>
      <c r="T104" s="420">
        <f t="shared" si="14"/>
        <v>0</v>
      </c>
      <c r="U104" s="420">
        <f t="shared" si="14"/>
        <v>0</v>
      </c>
    </row>
    <row r="105" spans="1:23" x14ac:dyDescent="0.25">
      <c r="A105" s="11"/>
      <c r="B105" s="106" t="s">
        <v>68</v>
      </c>
      <c r="C105" s="333" t="s">
        <v>201</v>
      </c>
      <c r="D105" s="107" t="s">
        <v>67</v>
      </c>
      <c r="E105" s="107"/>
      <c r="F105" s="108"/>
      <c r="G105" s="344">
        <v>3.75</v>
      </c>
      <c r="H105" s="430">
        <f t="shared" si="10"/>
        <v>0</v>
      </c>
      <c r="J105" s="420">
        <f>$G$105*J16</f>
        <v>0</v>
      </c>
      <c r="K105" s="420">
        <f t="shared" ref="K105:U105" si="15">$G$105*K16</f>
        <v>0</v>
      </c>
      <c r="L105" s="420">
        <f t="shared" si="15"/>
        <v>0</v>
      </c>
      <c r="M105" s="420">
        <f t="shared" si="15"/>
        <v>0</v>
      </c>
      <c r="N105" s="420">
        <f t="shared" si="15"/>
        <v>0</v>
      </c>
      <c r="O105" s="420">
        <f t="shared" si="15"/>
        <v>0</v>
      </c>
      <c r="P105" s="420">
        <f t="shared" si="15"/>
        <v>0</v>
      </c>
      <c r="Q105" s="420">
        <f t="shared" si="15"/>
        <v>0</v>
      </c>
      <c r="R105" s="420">
        <f t="shared" si="15"/>
        <v>0</v>
      </c>
      <c r="S105" s="420">
        <f t="shared" si="15"/>
        <v>0</v>
      </c>
      <c r="T105" s="420">
        <f t="shared" si="15"/>
        <v>0</v>
      </c>
      <c r="U105" s="420">
        <f t="shared" si="15"/>
        <v>0</v>
      </c>
    </row>
    <row r="106" spans="1:23" x14ac:dyDescent="0.25">
      <c r="B106" s="11"/>
      <c r="U106" s="109"/>
    </row>
    <row r="107" spans="1:23" ht="15.75" thickBot="1" x14ac:dyDescent="0.3">
      <c r="A107" s="11"/>
      <c r="B107" s="110" t="s">
        <v>69</v>
      </c>
      <c r="C107" s="33"/>
      <c r="D107" s="33"/>
      <c r="E107" s="33"/>
      <c r="F107" s="33"/>
      <c r="G107" s="436" t="e">
        <f>H107/B127</f>
        <v>#DIV/0!</v>
      </c>
      <c r="H107" s="425">
        <f>SUM(H82:H105)</f>
        <v>10.920960000000001</v>
      </c>
      <c r="I107" s="112"/>
      <c r="J107" s="425">
        <f>SUM(J82:J105)</f>
        <v>10.920960000000001</v>
      </c>
      <c r="K107" s="425">
        <f t="shared" ref="K107:U107" si="16">SUM(K82:K105)</f>
        <v>0</v>
      </c>
      <c r="L107" s="425">
        <f>SUM(L82:L105)</f>
        <v>0</v>
      </c>
      <c r="M107" s="425">
        <f t="shared" si="16"/>
        <v>0</v>
      </c>
      <c r="N107" s="425">
        <f t="shared" si="16"/>
        <v>0</v>
      </c>
      <c r="O107" s="425">
        <f t="shared" si="16"/>
        <v>0</v>
      </c>
      <c r="P107" s="425">
        <f t="shared" si="16"/>
        <v>0</v>
      </c>
      <c r="Q107" s="425">
        <f t="shared" si="16"/>
        <v>0</v>
      </c>
      <c r="R107" s="425">
        <f t="shared" si="16"/>
        <v>0</v>
      </c>
      <c r="S107" s="425">
        <f t="shared" si="16"/>
        <v>0</v>
      </c>
      <c r="T107" s="425">
        <f t="shared" si="16"/>
        <v>0</v>
      </c>
      <c r="U107" s="426">
        <f t="shared" si="16"/>
        <v>0</v>
      </c>
    </row>
    <row r="108" spans="1:23" ht="15.75" thickBot="1" x14ac:dyDescent="0.3"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</row>
    <row r="109" spans="1:23" ht="16.5" thickTop="1" thickBot="1" x14ac:dyDescent="0.3">
      <c r="B109" s="113" t="s">
        <v>70</v>
      </c>
      <c r="C109" s="114"/>
      <c r="D109" s="114"/>
      <c r="E109" s="114"/>
      <c r="F109" s="114"/>
      <c r="G109" s="115"/>
      <c r="H109" s="431">
        <f>H51+H78+H107</f>
        <v>10.920960000000001</v>
      </c>
      <c r="I109" s="115"/>
      <c r="J109" s="431">
        <f>J51+J78+J107</f>
        <v>10.920960000000001</v>
      </c>
      <c r="K109" s="431">
        <f t="shared" ref="K109:U109" si="17">K51+K78+K107</f>
        <v>0</v>
      </c>
      <c r="L109" s="431">
        <f t="shared" si="17"/>
        <v>0</v>
      </c>
      <c r="M109" s="431">
        <f t="shared" si="17"/>
        <v>0</v>
      </c>
      <c r="N109" s="431">
        <f t="shared" si="17"/>
        <v>0</v>
      </c>
      <c r="O109" s="431">
        <f t="shared" si="17"/>
        <v>0</v>
      </c>
      <c r="P109" s="431">
        <f t="shared" si="17"/>
        <v>0</v>
      </c>
      <c r="Q109" s="431">
        <f t="shared" si="17"/>
        <v>0</v>
      </c>
      <c r="R109" s="431">
        <f t="shared" si="17"/>
        <v>0</v>
      </c>
      <c r="S109" s="431">
        <f t="shared" si="17"/>
        <v>0</v>
      </c>
      <c r="T109" s="431">
        <f t="shared" si="17"/>
        <v>0</v>
      </c>
      <c r="U109" s="432">
        <f t="shared" si="17"/>
        <v>0</v>
      </c>
      <c r="W109" s="67">
        <f>SUM(J109:U109)</f>
        <v>10.920960000000001</v>
      </c>
    </row>
    <row r="110" spans="1:23" ht="15.75" thickBot="1" x14ac:dyDescent="0.3">
      <c r="J110" s="222"/>
      <c r="K110" s="222"/>
      <c r="L110" s="222"/>
    </row>
    <row r="111" spans="1:23" ht="16.5" thickTop="1" thickBot="1" x14ac:dyDescent="0.3">
      <c r="B111" s="113" t="s">
        <v>71</v>
      </c>
      <c r="C111" s="114"/>
      <c r="D111" s="114"/>
      <c r="E111" s="114"/>
      <c r="F111" s="114"/>
      <c r="G111" s="114"/>
      <c r="H111" s="431">
        <f>H46-H109</f>
        <v>682549.07903999998</v>
      </c>
      <c r="I111" s="115"/>
      <c r="J111" s="431">
        <f t="shared" ref="J111:U111" si="18">J46-J109</f>
        <v>682549.07903999998</v>
      </c>
      <c r="K111" s="431">
        <f t="shared" si="18"/>
        <v>0</v>
      </c>
      <c r="L111" s="431">
        <f t="shared" si="18"/>
        <v>0</v>
      </c>
      <c r="M111" s="431">
        <f t="shared" si="18"/>
        <v>0</v>
      </c>
      <c r="N111" s="431">
        <f t="shared" si="18"/>
        <v>0</v>
      </c>
      <c r="O111" s="431">
        <f t="shared" si="18"/>
        <v>0</v>
      </c>
      <c r="P111" s="431">
        <f t="shared" si="18"/>
        <v>0</v>
      </c>
      <c r="Q111" s="431">
        <f t="shared" si="18"/>
        <v>0</v>
      </c>
      <c r="R111" s="431">
        <f t="shared" si="18"/>
        <v>0</v>
      </c>
      <c r="S111" s="431">
        <f t="shared" si="18"/>
        <v>0</v>
      </c>
      <c r="T111" s="431">
        <f t="shared" si="18"/>
        <v>0</v>
      </c>
      <c r="U111" s="432">
        <f t="shared" si="18"/>
        <v>0</v>
      </c>
      <c r="W111" s="67">
        <f>SUM(J111:U111)</f>
        <v>682549.07903999998</v>
      </c>
    </row>
    <row r="112" spans="1:23" ht="15.75" thickBot="1" x14ac:dyDescent="0.3">
      <c r="K112" s="131"/>
    </row>
    <row r="113" spans="2:21" x14ac:dyDescent="0.25">
      <c r="B113" s="71" t="s">
        <v>72</v>
      </c>
      <c r="C113" s="80" t="s">
        <v>44</v>
      </c>
      <c r="D113" s="42" t="s">
        <v>220</v>
      </c>
      <c r="E113" s="42" t="s">
        <v>203</v>
      </c>
      <c r="F113" s="42" t="s">
        <v>240</v>
      </c>
      <c r="G113" s="42" t="s">
        <v>239</v>
      </c>
      <c r="H113" s="9"/>
      <c r="I113" s="118"/>
      <c r="J113" s="448" t="s">
        <v>73</v>
      </c>
      <c r="K113" s="448"/>
      <c r="L113" s="448"/>
      <c r="M113" s="448"/>
      <c r="N113" s="448"/>
      <c r="O113" s="448"/>
      <c r="P113" s="448"/>
      <c r="Q113" s="448"/>
      <c r="R113" s="448"/>
      <c r="S113" s="448"/>
      <c r="T113" s="448"/>
      <c r="U113" s="449"/>
    </row>
    <row r="114" spans="2:21" x14ac:dyDescent="0.25">
      <c r="B114" s="119" t="s">
        <v>74</v>
      </c>
      <c r="C114" s="340">
        <v>720</v>
      </c>
      <c r="D114" s="120" t="s">
        <v>59</v>
      </c>
      <c r="E114" s="121" t="s">
        <v>75</v>
      </c>
      <c r="F114" s="123"/>
      <c r="G114" s="345"/>
      <c r="H114" s="122"/>
      <c r="J114" s="123"/>
      <c r="K114" s="123"/>
      <c r="L114" s="123"/>
      <c r="M114" s="123"/>
      <c r="N114" s="123"/>
      <c r="O114" s="123"/>
      <c r="P114" s="123"/>
      <c r="Q114" s="123"/>
      <c r="R114" s="123"/>
      <c r="S114" s="123"/>
      <c r="T114" s="123"/>
      <c r="U114" s="124"/>
    </row>
    <row r="115" spans="2:21" x14ac:dyDescent="0.25">
      <c r="B115" s="119" t="s">
        <v>76</v>
      </c>
      <c r="C115" s="340">
        <v>720</v>
      </c>
      <c r="D115" s="120" t="s">
        <v>59</v>
      </c>
      <c r="E115" s="121" t="s">
        <v>75</v>
      </c>
      <c r="F115" s="123"/>
      <c r="G115" s="345">
        <f>IFERROR(H115/F115,0)</f>
        <v>0</v>
      </c>
      <c r="H115" s="122"/>
      <c r="J115" s="123"/>
      <c r="K115" s="123"/>
      <c r="L115" s="123"/>
      <c r="M115" s="123"/>
      <c r="N115" s="123"/>
      <c r="O115" s="123"/>
      <c r="P115" s="123"/>
      <c r="Q115" s="123"/>
      <c r="R115" s="123"/>
      <c r="S115" s="123"/>
      <c r="T115" s="123"/>
      <c r="U115" s="124"/>
    </row>
    <row r="116" spans="2:21" x14ac:dyDescent="0.25">
      <c r="B116" s="119" t="s">
        <v>77</v>
      </c>
      <c r="C116" s="340">
        <v>720</v>
      </c>
      <c r="D116" s="120" t="s">
        <v>59</v>
      </c>
      <c r="E116" s="121" t="s">
        <v>75</v>
      </c>
      <c r="F116" s="123"/>
      <c r="G116" s="345"/>
      <c r="H116" s="122"/>
      <c r="J116" s="123"/>
      <c r="K116" s="123"/>
      <c r="L116" s="123"/>
      <c r="M116" s="123"/>
      <c r="N116" s="123"/>
      <c r="O116" s="123"/>
      <c r="P116" s="123"/>
      <c r="Q116" s="123"/>
      <c r="R116" s="123"/>
      <c r="S116" s="123"/>
      <c r="T116" s="123"/>
      <c r="U116" s="124"/>
    </row>
    <row r="117" spans="2:21" x14ac:dyDescent="0.25">
      <c r="B117" s="119" t="s">
        <v>78</v>
      </c>
      <c r="C117" s="340">
        <v>720</v>
      </c>
      <c r="D117" s="120" t="s">
        <v>59</v>
      </c>
      <c r="E117" s="121" t="s">
        <v>75</v>
      </c>
      <c r="F117" s="123"/>
      <c r="G117" s="345"/>
      <c r="H117" s="122"/>
      <c r="J117" s="123"/>
      <c r="K117" s="123"/>
      <c r="L117" s="123"/>
      <c r="M117" s="123"/>
      <c r="N117" s="123"/>
      <c r="O117" s="123"/>
      <c r="P117" s="123"/>
      <c r="Q117" s="123"/>
      <c r="R117" s="123"/>
      <c r="S117" s="123"/>
      <c r="T117" s="123"/>
      <c r="U117" s="124"/>
    </row>
    <row r="118" spans="2:21" x14ac:dyDescent="0.25">
      <c r="B118" s="119" t="s">
        <v>205</v>
      </c>
      <c r="C118" s="340">
        <v>720</v>
      </c>
      <c r="D118" s="120" t="s">
        <v>59</v>
      </c>
      <c r="E118" s="121" t="s">
        <v>206</v>
      </c>
      <c r="F118" s="123"/>
      <c r="G118" s="345"/>
      <c r="H118" s="122"/>
      <c r="J118" s="123"/>
      <c r="K118" s="123"/>
      <c r="L118" s="123"/>
      <c r="M118" s="123"/>
      <c r="N118" s="123"/>
      <c r="O118" s="123"/>
      <c r="P118" s="123"/>
      <c r="Q118" s="123"/>
      <c r="R118" s="123"/>
      <c r="S118" s="123"/>
      <c r="T118" s="123"/>
      <c r="U118" s="124"/>
    </row>
    <row r="119" spans="2:21" x14ac:dyDescent="0.25">
      <c r="B119" s="119" t="s">
        <v>60</v>
      </c>
      <c r="C119" s="341" t="s">
        <v>194</v>
      </c>
      <c r="D119" s="120" t="s">
        <v>59</v>
      </c>
      <c r="E119" s="121" t="s">
        <v>79</v>
      </c>
      <c r="F119" s="123"/>
      <c r="G119" s="345">
        <f>IFERROR(H119/F119,0)</f>
        <v>0</v>
      </c>
      <c r="H119" s="122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4"/>
    </row>
    <row r="120" spans="2:21" x14ac:dyDescent="0.25">
      <c r="B120" s="119" t="s">
        <v>80</v>
      </c>
      <c r="C120" s="341" t="s">
        <v>194</v>
      </c>
      <c r="D120" s="120" t="s">
        <v>59</v>
      </c>
      <c r="E120" s="121" t="s">
        <v>81</v>
      </c>
      <c r="F120" s="123"/>
      <c r="G120" s="345">
        <f>IFERROR(H120/F120,0)</f>
        <v>0</v>
      </c>
      <c r="H120" s="122"/>
      <c r="J120" s="123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339"/>
    </row>
    <row r="121" spans="2:21" x14ac:dyDescent="0.25">
      <c r="B121" s="336" t="s">
        <v>237</v>
      </c>
      <c r="C121" s="342" t="s">
        <v>195</v>
      </c>
      <c r="D121" s="337" t="s">
        <v>62</v>
      </c>
      <c r="E121" s="338" t="s">
        <v>79</v>
      </c>
      <c r="F121" s="123"/>
      <c r="G121" s="345"/>
      <c r="H121" s="122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339"/>
    </row>
    <row r="122" spans="2:21" ht="15.75" thickBot="1" x14ac:dyDescent="0.3">
      <c r="B122" s="125" t="s">
        <v>236</v>
      </c>
      <c r="C122" s="343" t="s">
        <v>195</v>
      </c>
      <c r="D122" s="126" t="s">
        <v>62</v>
      </c>
      <c r="E122" s="127" t="s">
        <v>81</v>
      </c>
      <c r="F122" s="381"/>
      <c r="G122" s="346"/>
      <c r="H122" s="128">
        <v>0</v>
      </c>
      <c r="I122" s="33"/>
      <c r="J122" s="129"/>
      <c r="K122" s="129"/>
      <c r="L122" s="129"/>
      <c r="M122" s="129"/>
      <c r="N122" s="129"/>
      <c r="O122" s="129"/>
      <c r="P122" s="129"/>
      <c r="Q122" s="129"/>
      <c r="R122" s="129"/>
      <c r="S122" s="129"/>
      <c r="T122" s="129"/>
      <c r="U122" s="130"/>
    </row>
    <row r="123" spans="2:21" x14ac:dyDescent="0.25">
      <c r="J123" s="131"/>
      <c r="K123" s="131"/>
      <c r="L123" s="131"/>
      <c r="M123" s="131"/>
      <c r="N123" s="131"/>
      <c r="O123" s="131"/>
      <c r="P123" s="131"/>
      <c r="Q123" s="131"/>
      <c r="R123" s="131"/>
      <c r="S123" s="131"/>
      <c r="T123" s="131"/>
      <c r="U123" s="131"/>
    </row>
    <row r="124" spans="2:21" ht="15.75" thickBot="1" x14ac:dyDescent="0.3">
      <c r="J124" s="131"/>
      <c r="K124" s="131"/>
      <c r="L124" s="131"/>
      <c r="M124" s="131"/>
      <c r="N124" s="131"/>
      <c r="O124" s="131"/>
      <c r="P124" s="131"/>
      <c r="Q124" s="131"/>
      <c r="R124" s="131"/>
      <c r="S124" s="131"/>
      <c r="T124" s="131"/>
      <c r="U124" s="131"/>
    </row>
    <row r="125" spans="2:21" x14ac:dyDescent="0.25">
      <c r="B125" s="71" t="s">
        <v>82</v>
      </c>
      <c r="C125" s="9"/>
      <c r="D125" s="9"/>
      <c r="E125" s="9"/>
      <c r="F125" s="9"/>
      <c r="G125" s="40"/>
      <c r="J125" s="131"/>
      <c r="K125" s="131"/>
      <c r="L125" s="131"/>
      <c r="M125" s="131"/>
      <c r="N125" s="131"/>
      <c r="O125" s="131"/>
      <c r="P125" s="131"/>
      <c r="Q125" s="131"/>
      <c r="R125" s="131"/>
      <c r="S125" s="131"/>
      <c r="T125" s="131"/>
      <c r="U125" s="131"/>
    </row>
    <row r="126" spans="2:21" x14ac:dyDescent="0.25">
      <c r="B126" s="132" t="s">
        <v>83</v>
      </c>
      <c r="C126" s="43" t="s">
        <v>84</v>
      </c>
      <c r="D126"/>
      <c r="E126"/>
      <c r="F126" s="450" t="s">
        <v>85</v>
      </c>
      <c r="G126" s="451"/>
      <c r="I126" s="131"/>
      <c r="J126" s="131"/>
      <c r="K126" s="131"/>
      <c r="L126" s="131"/>
      <c r="M126" s="131"/>
      <c r="N126" s="131"/>
      <c r="O126" s="131"/>
      <c r="P126" s="131"/>
      <c r="Q126" s="131"/>
      <c r="R126" s="131"/>
      <c r="S126" s="131"/>
      <c r="T126" s="131"/>
    </row>
    <row r="127" spans="2:21" ht="18.75" x14ac:dyDescent="0.3">
      <c r="B127" s="133">
        <f>W16</f>
        <v>0</v>
      </c>
      <c r="C127" s="134"/>
      <c r="D127" s="134"/>
      <c r="E127" s="134"/>
      <c r="F127" s="135"/>
      <c r="G127" s="136"/>
      <c r="I127" s="131"/>
      <c r="J127" s="131"/>
      <c r="K127" s="131"/>
      <c r="L127" s="131"/>
      <c r="M127" s="131"/>
      <c r="N127" s="131"/>
      <c r="O127" s="131"/>
      <c r="P127" s="131"/>
      <c r="Q127" s="131"/>
      <c r="R127" s="131"/>
      <c r="S127" s="131"/>
      <c r="T127" s="131"/>
    </row>
    <row r="128" spans="2:21" x14ac:dyDescent="0.25">
      <c r="B128" s="137" t="s">
        <v>86</v>
      </c>
      <c r="C128" s="134"/>
      <c r="D128" s="134"/>
      <c r="E128" s="138">
        <f>H46</f>
        <v>682560</v>
      </c>
      <c r="F128" s="135"/>
      <c r="G128" s="139" t="e">
        <f>E128/$B$127</f>
        <v>#DIV/0!</v>
      </c>
      <c r="I128" s="131"/>
      <c r="J128" s="131"/>
      <c r="K128" s="131"/>
      <c r="L128" s="131"/>
      <c r="M128" s="131"/>
      <c r="N128" s="131"/>
      <c r="O128" s="131"/>
      <c r="P128" s="131"/>
      <c r="Q128" s="131"/>
      <c r="R128" s="131"/>
      <c r="S128" s="131"/>
      <c r="T128" s="131"/>
    </row>
    <row r="129" spans="2:21" ht="9" customHeight="1" x14ac:dyDescent="0.25">
      <c r="B129" s="11"/>
      <c r="C129" s="134"/>
      <c r="D129" s="134"/>
      <c r="E129" s="134"/>
      <c r="F129" s="135"/>
      <c r="G129" s="136"/>
      <c r="I129" s="131"/>
      <c r="J129" s="131"/>
      <c r="K129" s="131"/>
      <c r="L129" s="131"/>
      <c r="M129" s="131"/>
      <c r="N129" s="131"/>
      <c r="O129" s="131"/>
      <c r="P129" s="131"/>
      <c r="Q129" s="131"/>
      <c r="R129" s="131"/>
      <c r="S129" s="131"/>
      <c r="T129" s="131"/>
    </row>
    <row r="130" spans="2:21" x14ac:dyDescent="0.25">
      <c r="B130" s="137" t="s">
        <v>87</v>
      </c>
      <c r="C130" s="134"/>
      <c r="D130" s="134"/>
      <c r="E130" s="134"/>
      <c r="F130" s="135"/>
      <c r="G130" s="136"/>
      <c r="I130" s="131"/>
      <c r="J130" s="131"/>
      <c r="K130" s="131"/>
      <c r="L130" s="131"/>
      <c r="M130" s="131"/>
      <c r="N130" s="131"/>
      <c r="O130" s="131"/>
      <c r="P130" s="131"/>
      <c r="Q130" s="131"/>
      <c r="R130" s="131"/>
      <c r="S130" s="131"/>
      <c r="T130" s="131"/>
    </row>
    <row r="131" spans="2:21" x14ac:dyDescent="0.25">
      <c r="B131" s="24" t="s">
        <v>88</v>
      </c>
      <c r="C131" s="138">
        <f>H51+H82+H83+H84+H89</f>
        <v>0</v>
      </c>
      <c r="D131" s="138"/>
      <c r="E131" s="134"/>
      <c r="F131" s="140" t="e">
        <f t="shared" ref="F131:F138" si="19">C131/$B$127</f>
        <v>#DIV/0!</v>
      </c>
      <c r="G131" s="136"/>
      <c r="I131" s="131"/>
      <c r="J131" s="131"/>
      <c r="K131" s="131"/>
      <c r="L131" s="131"/>
      <c r="M131" s="131"/>
      <c r="N131" s="131"/>
      <c r="O131" s="131"/>
      <c r="P131" s="131"/>
      <c r="Q131" s="131"/>
      <c r="R131" s="131"/>
      <c r="S131" s="131"/>
      <c r="T131" s="131"/>
    </row>
    <row r="132" spans="2:21" x14ac:dyDescent="0.25">
      <c r="B132" s="24" t="s">
        <v>89</v>
      </c>
      <c r="C132" s="138">
        <f>H78</f>
        <v>0</v>
      </c>
      <c r="D132" s="138"/>
      <c r="E132" s="134"/>
      <c r="F132" s="140" t="e">
        <f t="shared" si="19"/>
        <v>#DIV/0!</v>
      </c>
      <c r="G132" s="136"/>
      <c r="I132" s="131"/>
      <c r="J132" s="131"/>
      <c r="K132" s="131"/>
      <c r="L132" s="131"/>
      <c r="M132" s="131"/>
      <c r="N132" s="131"/>
      <c r="O132" s="131"/>
      <c r="P132" s="131"/>
      <c r="Q132" s="131"/>
      <c r="R132" s="131"/>
      <c r="S132" s="131"/>
      <c r="T132" s="131"/>
    </row>
    <row r="133" spans="2:21" x14ac:dyDescent="0.25">
      <c r="B133" s="24" t="s">
        <v>59</v>
      </c>
      <c r="C133" s="138">
        <f>H90+H91+H92</f>
        <v>0</v>
      </c>
      <c r="D133" s="138"/>
      <c r="E133" s="134"/>
      <c r="F133" s="140" t="e">
        <f t="shared" si="19"/>
        <v>#DIV/0!</v>
      </c>
      <c r="G133" s="136"/>
      <c r="I133" s="131"/>
      <c r="J133" s="131"/>
      <c r="K133" s="131"/>
      <c r="L133" s="131"/>
      <c r="M133" s="131"/>
      <c r="N133" s="131"/>
      <c r="O133" s="131"/>
      <c r="P133" s="131"/>
      <c r="Q133" s="131"/>
      <c r="R133" s="131"/>
      <c r="S133" s="131"/>
      <c r="T133" s="131"/>
    </row>
    <row r="134" spans="2:21" x14ac:dyDescent="0.25">
      <c r="B134" s="24" t="s">
        <v>90</v>
      </c>
      <c r="C134" s="138">
        <f>H95+H96</f>
        <v>0</v>
      </c>
      <c r="D134" s="138"/>
      <c r="E134" s="134"/>
      <c r="F134" s="140" t="e">
        <f t="shared" si="19"/>
        <v>#DIV/0!</v>
      </c>
      <c r="G134" s="136"/>
      <c r="I134" s="131"/>
      <c r="J134" s="131"/>
      <c r="K134" s="131"/>
      <c r="L134" s="131"/>
      <c r="M134" s="131"/>
      <c r="N134" s="131"/>
      <c r="O134" s="131"/>
      <c r="P134" s="131"/>
      <c r="Q134" s="131"/>
      <c r="R134" s="131"/>
      <c r="S134" s="131"/>
      <c r="T134" s="131"/>
    </row>
    <row r="135" spans="2:21" x14ac:dyDescent="0.25">
      <c r="B135" s="24" t="s">
        <v>91</v>
      </c>
      <c r="C135" s="138">
        <f>H97+H98</f>
        <v>0</v>
      </c>
      <c r="D135" s="138"/>
      <c r="E135" s="134"/>
      <c r="F135" s="140" t="e">
        <f t="shared" si="19"/>
        <v>#DIV/0!</v>
      </c>
      <c r="G135" s="136"/>
      <c r="I135" s="131"/>
      <c r="J135" s="131"/>
      <c r="K135" s="131"/>
      <c r="L135" s="131"/>
      <c r="M135" s="131"/>
      <c r="N135" s="131"/>
      <c r="O135" s="131"/>
      <c r="P135" s="131"/>
      <c r="Q135" s="131"/>
      <c r="R135" s="131"/>
      <c r="S135" s="131"/>
      <c r="T135" s="131"/>
    </row>
    <row r="136" spans="2:21" x14ac:dyDescent="0.25">
      <c r="B136" s="24" t="s">
        <v>63</v>
      </c>
      <c r="C136" s="138">
        <f>H99+H100+H101+H102</f>
        <v>0</v>
      </c>
      <c r="D136" s="138"/>
      <c r="E136" s="134"/>
      <c r="F136" s="140" t="e">
        <f t="shared" si="19"/>
        <v>#DIV/0!</v>
      </c>
      <c r="G136" s="136"/>
      <c r="I136" s="131"/>
      <c r="J136" s="131"/>
      <c r="K136" s="131"/>
      <c r="L136" s="131"/>
      <c r="M136" s="131"/>
      <c r="N136" s="131"/>
      <c r="O136" s="131"/>
      <c r="P136" s="131"/>
      <c r="Q136" s="131"/>
      <c r="R136" s="131"/>
      <c r="S136" s="131"/>
      <c r="T136" s="131"/>
    </row>
    <row r="137" spans="2:21" x14ac:dyDescent="0.25">
      <c r="B137" s="24" t="s">
        <v>68</v>
      </c>
      <c r="C137" s="138">
        <f>H105</f>
        <v>0</v>
      </c>
      <c r="D137" s="138"/>
      <c r="E137" s="134"/>
      <c r="F137" s="140" t="e">
        <f t="shared" si="19"/>
        <v>#DIV/0!</v>
      </c>
      <c r="G137" s="136"/>
      <c r="I137" s="131"/>
      <c r="J137" s="131"/>
      <c r="K137" s="131"/>
      <c r="L137" s="131"/>
      <c r="M137" s="131"/>
      <c r="N137" s="131"/>
      <c r="O137" s="131"/>
      <c r="P137" s="131"/>
      <c r="Q137" s="131"/>
      <c r="R137" s="131"/>
      <c r="S137" s="131"/>
      <c r="T137" s="131"/>
    </row>
    <row r="138" spans="2:21" x14ac:dyDescent="0.25">
      <c r="B138" s="24" t="s">
        <v>92</v>
      </c>
      <c r="C138" s="141">
        <f>+H103+H104</f>
        <v>10.920960000000001</v>
      </c>
      <c r="D138" s="141"/>
      <c r="E138" s="141">
        <f>SUM(C131:C138)</f>
        <v>10.920960000000001</v>
      </c>
      <c r="F138" s="142" t="e">
        <f t="shared" si="19"/>
        <v>#DIV/0!</v>
      </c>
      <c r="G138" s="143" t="e">
        <f>SUM(F131:F138)</f>
        <v>#DIV/0!</v>
      </c>
      <c r="I138" s="131"/>
      <c r="J138" s="131"/>
      <c r="K138" s="131"/>
      <c r="L138" s="131"/>
      <c r="M138" s="131"/>
      <c r="N138" s="131"/>
      <c r="O138" s="131"/>
      <c r="P138" s="131"/>
      <c r="Q138" s="131"/>
      <c r="R138" s="131"/>
      <c r="S138" s="131"/>
      <c r="T138" s="131"/>
    </row>
    <row r="139" spans="2:21" ht="19.5" thickBot="1" x14ac:dyDescent="0.35">
      <c r="B139" s="32"/>
      <c r="C139" s="144"/>
      <c r="D139" s="144"/>
      <c r="E139" s="145">
        <f>E128-E138</f>
        <v>682549.07903999998</v>
      </c>
      <c r="F139" s="146"/>
      <c r="G139" s="147" t="e">
        <f>G128-G138</f>
        <v>#DIV/0!</v>
      </c>
      <c r="I139" s="131"/>
      <c r="J139" s="131"/>
      <c r="K139" s="131"/>
      <c r="L139" s="131"/>
      <c r="M139" s="131"/>
      <c r="N139" s="131"/>
      <c r="O139" s="131"/>
      <c r="P139" s="131"/>
      <c r="Q139" s="131"/>
      <c r="R139" s="131"/>
      <c r="S139" s="131"/>
      <c r="T139" s="131"/>
    </row>
    <row r="140" spans="2:21" x14ac:dyDescent="0.25">
      <c r="J140" s="131"/>
      <c r="K140" s="131"/>
      <c r="L140" s="131"/>
      <c r="M140" s="131"/>
      <c r="N140" s="131"/>
      <c r="O140" s="131"/>
      <c r="P140" s="131"/>
      <c r="Q140" s="131"/>
      <c r="R140" s="131"/>
      <c r="S140" s="131"/>
      <c r="T140" s="131"/>
      <c r="U140" s="131"/>
    </row>
    <row r="141" spans="2:21" x14ac:dyDescent="0.25">
      <c r="B141" s="150" t="s">
        <v>93</v>
      </c>
      <c r="J141" s="131"/>
      <c r="K141" s="131"/>
      <c r="L141" s="131"/>
      <c r="M141" s="131"/>
      <c r="N141" s="131"/>
      <c r="O141" s="131"/>
      <c r="P141" s="131"/>
      <c r="Q141" s="131"/>
      <c r="R141" s="131"/>
      <c r="S141" s="131"/>
      <c r="T141" s="131"/>
      <c r="U141" s="131"/>
    </row>
    <row r="142" spans="2:21" x14ac:dyDescent="0.25">
      <c r="B142" s="151" t="s">
        <v>94</v>
      </c>
      <c r="H142" s="148">
        <f t="shared" ref="H142:H157" si="20">SUM(J142:U142)</f>
        <v>0</v>
      </c>
      <c r="J142" s="131"/>
      <c r="K142" s="131"/>
      <c r="L142" s="131"/>
      <c r="M142" s="131"/>
      <c r="N142" s="131"/>
      <c r="O142" s="131"/>
      <c r="P142" s="131"/>
      <c r="Q142" s="131"/>
      <c r="R142" s="131"/>
      <c r="S142" s="131"/>
      <c r="T142" s="131"/>
      <c r="U142" s="131"/>
    </row>
    <row r="143" spans="2:21" x14ac:dyDescent="0.25">
      <c r="B143" s="151" t="s">
        <v>95</v>
      </c>
      <c r="H143" s="148">
        <f t="shared" si="20"/>
        <v>0</v>
      </c>
    </row>
    <row r="144" spans="2:21" x14ac:dyDescent="0.25">
      <c r="B144" s="151" t="s">
        <v>96</v>
      </c>
      <c r="H144" s="148">
        <f t="shared" si="20"/>
        <v>0</v>
      </c>
    </row>
    <row r="145" spans="2:8" x14ac:dyDescent="0.25">
      <c r="B145" s="151" t="s">
        <v>97</v>
      </c>
      <c r="H145" s="148">
        <f t="shared" si="20"/>
        <v>0</v>
      </c>
    </row>
    <row r="146" spans="2:8" x14ac:dyDescent="0.25">
      <c r="B146" s="151" t="s">
        <v>98</v>
      </c>
      <c r="H146" s="148">
        <f t="shared" si="20"/>
        <v>0</v>
      </c>
    </row>
    <row r="147" spans="2:8" x14ac:dyDescent="0.25">
      <c r="B147" s="151" t="s">
        <v>99</v>
      </c>
      <c r="H147" s="148">
        <f t="shared" si="20"/>
        <v>0</v>
      </c>
    </row>
    <row r="148" spans="2:8" x14ac:dyDescent="0.25">
      <c r="B148" s="151" t="s">
        <v>100</v>
      </c>
      <c r="H148" s="148">
        <f t="shared" si="20"/>
        <v>0</v>
      </c>
    </row>
    <row r="149" spans="2:8" x14ac:dyDescent="0.25">
      <c r="B149" s="151" t="s">
        <v>101</v>
      </c>
      <c r="H149" s="148">
        <f t="shared" si="20"/>
        <v>0</v>
      </c>
    </row>
    <row r="150" spans="2:8" x14ac:dyDescent="0.25">
      <c r="B150" s="151" t="s">
        <v>102</v>
      </c>
      <c r="H150" s="148">
        <f t="shared" si="20"/>
        <v>0</v>
      </c>
    </row>
    <row r="151" spans="2:8" x14ac:dyDescent="0.25">
      <c r="B151" s="151" t="s">
        <v>103</v>
      </c>
      <c r="H151" s="148">
        <f t="shared" si="20"/>
        <v>0</v>
      </c>
    </row>
    <row r="152" spans="2:8" x14ac:dyDescent="0.25">
      <c r="B152" s="151" t="s">
        <v>104</v>
      </c>
      <c r="H152" s="148">
        <f t="shared" si="20"/>
        <v>0</v>
      </c>
    </row>
    <row r="153" spans="2:8" x14ac:dyDescent="0.25">
      <c r="B153" s="151" t="s">
        <v>105</v>
      </c>
      <c r="H153" s="148">
        <f t="shared" si="20"/>
        <v>0</v>
      </c>
    </row>
    <row r="154" spans="2:8" x14ac:dyDescent="0.25">
      <c r="B154" s="151" t="s">
        <v>106</v>
      </c>
      <c r="H154" s="148">
        <f t="shared" si="20"/>
        <v>0</v>
      </c>
    </row>
    <row r="155" spans="2:8" x14ac:dyDescent="0.25">
      <c r="B155" s="151" t="s">
        <v>107</v>
      </c>
      <c r="H155" s="148">
        <f t="shared" si="20"/>
        <v>0</v>
      </c>
    </row>
    <row r="156" spans="2:8" x14ac:dyDescent="0.25">
      <c r="B156" s="151" t="s">
        <v>108</v>
      </c>
      <c r="H156" s="148">
        <f t="shared" si="20"/>
        <v>0</v>
      </c>
    </row>
    <row r="157" spans="2:8" x14ac:dyDescent="0.25">
      <c r="B157" t="s">
        <v>109</v>
      </c>
      <c r="H157" s="148">
        <f t="shared" si="20"/>
        <v>0</v>
      </c>
    </row>
    <row r="158" spans="2:8" x14ac:dyDescent="0.25">
      <c r="B158" t="s">
        <v>110</v>
      </c>
      <c r="H158" s="148">
        <f t="shared" ref="H158:H170" si="21">SUM(J158:U158)</f>
        <v>0</v>
      </c>
    </row>
    <row r="159" spans="2:8" x14ac:dyDescent="0.25">
      <c r="B159" t="s">
        <v>111</v>
      </c>
      <c r="H159" s="148">
        <f t="shared" si="21"/>
        <v>0</v>
      </c>
    </row>
    <row r="160" spans="2:8" x14ac:dyDescent="0.25">
      <c r="B160" t="s">
        <v>112</v>
      </c>
      <c r="H160" s="148">
        <f t="shared" si="21"/>
        <v>0</v>
      </c>
    </row>
    <row r="161" spans="2:21" x14ac:dyDescent="0.25">
      <c r="B161" t="s">
        <v>113</v>
      </c>
      <c r="H161" s="148">
        <f t="shared" si="21"/>
        <v>0</v>
      </c>
    </row>
    <row r="162" spans="2:21" x14ac:dyDescent="0.25">
      <c r="B162" s="152" t="s">
        <v>114</v>
      </c>
      <c r="H162" s="148">
        <f t="shared" si="21"/>
        <v>0</v>
      </c>
    </row>
    <row r="163" spans="2:21" x14ac:dyDescent="0.25">
      <c r="B163" s="153" t="s">
        <v>115</v>
      </c>
      <c r="H163" s="148">
        <f t="shared" si="21"/>
        <v>0</v>
      </c>
    </row>
    <row r="164" spans="2:21" x14ac:dyDescent="0.25">
      <c r="B164" s="153" t="s">
        <v>116</v>
      </c>
      <c r="H164" s="148">
        <f t="shared" si="21"/>
        <v>0</v>
      </c>
    </row>
    <row r="165" spans="2:21" x14ac:dyDescent="0.25">
      <c r="B165" s="153" t="s">
        <v>117</v>
      </c>
      <c r="H165" s="148">
        <f t="shared" si="21"/>
        <v>0</v>
      </c>
    </row>
    <row r="166" spans="2:21" x14ac:dyDescent="0.25">
      <c r="B166" s="153" t="s">
        <v>90</v>
      </c>
      <c r="H166" s="148">
        <f t="shared" si="21"/>
        <v>0</v>
      </c>
    </row>
    <row r="167" spans="2:21" x14ac:dyDescent="0.25">
      <c r="B167" s="153" t="s">
        <v>118</v>
      </c>
      <c r="H167" s="148">
        <f t="shared" si="21"/>
        <v>0</v>
      </c>
    </row>
    <row r="168" spans="2:21" x14ac:dyDescent="0.25">
      <c r="B168" s="153" t="s">
        <v>119</v>
      </c>
      <c r="H168" s="148">
        <f t="shared" si="21"/>
        <v>0</v>
      </c>
    </row>
    <row r="169" spans="2:21" x14ac:dyDescent="0.25">
      <c r="B169" s="153" t="s">
        <v>120</v>
      </c>
      <c r="H169" s="148">
        <f t="shared" si="21"/>
        <v>0</v>
      </c>
    </row>
    <row r="170" spans="2:21" x14ac:dyDescent="0.25">
      <c r="B170" s="153" t="s">
        <v>121</v>
      </c>
      <c r="H170" s="148">
        <f t="shared" si="21"/>
        <v>0</v>
      </c>
    </row>
    <row r="171" spans="2:21" x14ac:dyDescent="0.25">
      <c r="B171" s="153" t="s">
        <v>122</v>
      </c>
      <c r="H171" s="1">
        <f>SUM(J171:U171)</f>
        <v>0</v>
      </c>
    </row>
    <row r="173" spans="2:21" x14ac:dyDescent="0.25">
      <c r="B173" s="154" t="s">
        <v>2</v>
      </c>
      <c r="C173" s="155"/>
      <c r="D173" s="155"/>
      <c r="E173" s="155"/>
      <c r="F173" s="155"/>
      <c r="G173" s="155"/>
      <c r="H173" s="155"/>
      <c r="I173" s="155"/>
      <c r="J173" s="156">
        <f>SUM(J142:J171)</f>
        <v>0</v>
      </c>
      <c r="K173" s="156">
        <f t="shared" ref="K173:T173" si="22">SUM(K142:K171)</f>
        <v>0</v>
      </c>
      <c r="L173" s="156">
        <f t="shared" si="22"/>
        <v>0</v>
      </c>
      <c r="M173" s="156">
        <f t="shared" si="22"/>
        <v>0</v>
      </c>
      <c r="N173" s="156">
        <f t="shared" si="22"/>
        <v>0</v>
      </c>
      <c r="O173" s="156">
        <f t="shared" si="22"/>
        <v>0</v>
      </c>
      <c r="P173" s="156">
        <f t="shared" si="22"/>
        <v>0</v>
      </c>
      <c r="Q173" s="156">
        <f t="shared" si="22"/>
        <v>0</v>
      </c>
      <c r="R173" s="156">
        <f t="shared" si="22"/>
        <v>0</v>
      </c>
      <c r="S173" s="156">
        <f t="shared" si="22"/>
        <v>0</v>
      </c>
      <c r="T173" s="156">
        <f t="shared" si="22"/>
        <v>0</v>
      </c>
      <c r="U173" s="156">
        <f>SUM(U142:U171)</f>
        <v>0</v>
      </c>
    </row>
  </sheetData>
  <sheetProtection selectLockedCells="1"/>
  <protectedRanges>
    <protectedRange sqref="J4:U13" name="Production"/>
    <protectedRange sqref="C20:C41" name="Grade mix_1"/>
    <protectedRange sqref="F20:G41" name="JAS converions_1_1"/>
  </protectedRanges>
  <mergeCells count="6">
    <mergeCell ref="I7:I9"/>
    <mergeCell ref="I4:I6"/>
    <mergeCell ref="J113:U113"/>
    <mergeCell ref="F126:G126"/>
    <mergeCell ref="I13:I16"/>
    <mergeCell ref="I10:I12"/>
  </mergeCells>
  <phoneticPr fontId="18" type="noConversion"/>
  <dataValidations count="1">
    <dataValidation type="whole" errorStyle="warning" allowBlank="1" showInputMessage="1" showErrorMessage="1" errorTitle="High number of skids" error="Are you sure you are going to build this many skids?" sqref="J118:U122" xr:uid="{6B40031E-62B8-4DB3-AE17-530926594550}">
      <formula1>0</formula1>
      <formula2>10</formula2>
    </dataValidation>
  </dataValidations>
  <pageMargins left="0.70866141732283472" right="0.70866141732283472" top="0.74803149606299213" bottom="0.74803149606299213" header="0.31496062992125984" footer="0.31496062992125984"/>
  <pageSetup paperSize="8" scale="3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8D267-C25A-45F2-9926-221506241785}">
  <sheetPr codeName="Sheet6">
    <tabColor rgb="FFFF0000"/>
    <pageSetUpPr fitToPage="1"/>
  </sheetPr>
  <dimension ref="A1:X142"/>
  <sheetViews>
    <sheetView zoomScale="80" zoomScaleNormal="80" workbookViewId="0">
      <selection activeCell="I2" sqref="I2"/>
    </sheetView>
  </sheetViews>
  <sheetFormatPr defaultColWidth="9" defaultRowHeight="15" x14ac:dyDescent="0.25"/>
  <cols>
    <col min="1" max="1" width="2.28515625" style="1" customWidth="1"/>
    <col min="2" max="2" width="44" style="1" customWidth="1"/>
    <col min="3" max="3" width="13.85546875" style="1" customWidth="1"/>
    <col min="4" max="4" width="16.140625" style="1" customWidth="1"/>
    <col min="5" max="5" width="17" style="1" customWidth="1"/>
    <col min="6" max="6" width="12.7109375" style="1" customWidth="1"/>
    <col min="7" max="7" width="13.28515625" style="1" bestFit="1" customWidth="1"/>
    <col min="8" max="8" width="21.28515625" style="1" customWidth="1"/>
    <col min="9" max="9" width="10.140625" style="1" customWidth="1"/>
    <col min="10" max="21" width="15.7109375" style="1" bestFit="1" customWidth="1"/>
    <col min="22" max="22" width="5" style="1" customWidth="1"/>
    <col min="23" max="23" width="15.28515625" style="4" bestFit="1" customWidth="1"/>
    <col min="24" max="24" width="17.5703125" style="1" customWidth="1"/>
    <col min="25" max="16384" width="9" style="1"/>
  </cols>
  <sheetData>
    <row r="1" spans="2:24" ht="15.75" thickBot="1" x14ac:dyDescent="0.3">
      <c r="C1" s="2">
        <v>2025</v>
      </c>
      <c r="D1" s="3" t="s">
        <v>0</v>
      </c>
    </row>
    <row r="2" spans="2:24" ht="27" thickBot="1" x14ac:dyDescent="0.45">
      <c r="B2" s="5" t="s">
        <v>263</v>
      </c>
      <c r="G2" s="305"/>
      <c r="H2" s="43" t="s">
        <v>209</v>
      </c>
      <c r="I2" s="404"/>
      <c r="W2" s="6"/>
      <c r="X2" s="7"/>
    </row>
    <row r="3" spans="2:24" ht="15.75" x14ac:dyDescent="0.25">
      <c r="B3" s="8" t="s">
        <v>1</v>
      </c>
      <c r="C3" s="9"/>
      <c r="D3" s="9"/>
      <c r="E3" s="9"/>
      <c r="F3" s="9"/>
      <c r="G3" s="9" t="s">
        <v>241</v>
      </c>
      <c r="H3" s="10"/>
      <c r="I3" s="372">
        <f>IF(NOT(ISBLANK(J5)), J5, IF(NOT(ISBLANK(J8)), J8, IF(NOT(ISBLANK(J11)), J11, 0)))+IF(NOT(ISBLANK(K5)), K5, IF(NOT(ISBLANK(K8)), K8, IF(NOT(ISBLANK(K11)), K11, 0)))+IF(NOT(ISBLANK(L5)), L5, IF(NOT(ISBLANK(L8)), L8, IF(NOT(ISBLANK(L11)), L11, 0)))+IF(NOT(ISBLANK(M5)), M5, IF(NOT(ISBLANK(M8)), M8, IF(NOT(ISBLANK(M11)), M11, 0)))+IF(NOT(ISBLANK(N5)), N5, IF(NOT(ISBLANK(N8)), N8, IF(NOT(ISBLANK(N11)), N11, 0)))+IF(NOT(ISBLANK(O5)), O5, IF(NOT(ISBLANK(O8)), O8, IF(NOT(ISBLANK(O11)), O11, 0)))+IF(NOT(ISBLANK(P5)), P5, IF(NOT(ISBLANK(P8)), P8, IF(NOT(ISBLANK(P11)), P11, 0)))+IF(NOT(ISBLANK(Q5)), Q5, IF(NOT(ISBLANK(Q8)), Q8, IF(NOT(ISBLANK(Q11)), Q11, 0)))+IF(NOT(ISBLANK(R5)), R5, IF(NOT(ISBLANK(R8)), R8, IF(NOT(ISBLANK(R11)), R11, 0)))+IF(NOT(ISBLANK(S5)), S5, IF(NOT(ISBLANK(S8)), S8, IF(NOT(ISBLANK(S11)), S11, 0)))+IF(NOT(ISBLANK(T5)), T5, IF(NOT(ISBLANK(T8)), T8, IF(NOT(ISBLANK(T11)), T11, 0)))+IF(NOT(ISBLANK(U5)), U5, IF(NOT(ISBLANK(U8)), U8, IF(NOT(ISBLANK(U11)), U11, 0)))</f>
        <v>0</v>
      </c>
      <c r="J3" s="178">
        <v>45658</v>
      </c>
      <c r="K3" s="178">
        <v>45689</v>
      </c>
      <c r="L3" s="178">
        <v>45717</v>
      </c>
      <c r="M3" s="178">
        <v>45748</v>
      </c>
      <c r="N3" s="178">
        <v>45778</v>
      </c>
      <c r="O3" s="178">
        <v>45809</v>
      </c>
      <c r="P3" s="178">
        <v>45839</v>
      </c>
      <c r="Q3" s="178">
        <v>45870</v>
      </c>
      <c r="R3" s="178">
        <v>45901</v>
      </c>
      <c r="S3" s="178">
        <v>45931</v>
      </c>
      <c r="T3" s="178">
        <v>45962</v>
      </c>
      <c r="U3" s="178">
        <v>45992</v>
      </c>
      <c r="W3" s="6" t="s">
        <v>2</v>
      </c>
      <c r="X3" s="7"/>
    </row>
    <row r="4" spans="2:24" x14ac:dyDescent="0.25">
      <c r="B4" s="11"/>
      <c r="G4" s="12" t="s">
        <v>7</v>
      </c>
      <c r="H4" s="301" t="s">
        <v>4</v>
      </c>
      <c r="I4" s="452">
        <f>IFERROR((J4*J5+K4*K5+L4*L5+M4*M5+N4*N5+O4*O5+P4*P5+Q4*Q5+R4*R5+S4*S5+T4*T5+U4*U5)/$W$16,0)</f>
        <v>0</v>
      </c>
      <c r="J4" s="352"/>
      <c r="K4" s="352"/>
      <c r="L4" s="352"/>
      <c r="M4" s="352"/>
      <c r="N4" s="353"/>
      <c r="O4" s="353"/>
      <c r="P4" s="353"/>
      <c r="Q4" s="353"/>
      <c r="R4" s="353"/>
      <c r="S4" s="353"/>
      <c r="T4" s="353"/>
      <c r="U4" s="354"/>
      <c r="W4" s="6"/>
      <c r="X4" s="7"/>
    </row>
    <row r="5" spans="2:24" x14ac:dyDescent="0.25">
      <c r="B5" s="11"/>
      <c r="G5" s="16"/>
      <c r="H5" s="1" t="s">
        <v>5</v>
      </c>
      <c r="I5" s="453"/>
      <c r="J5" s="352"/>
      <c r="K5" s="352"/>
      <c r="L5" s="353"/>
      <c r="M5" s="353"/>
      <c r="N5" s="353"/>
      <c r="O5" s="353"/>
      <c r="P5" s="353"/>
      <c r="Q5" s="353"/>
      <c r="R5" s="353"/>
      <c r="S5" s="353"/>
      <c r="T5" s="353"/>
      <c r="U5" s="354"/>
      <c r="W5" s="6"/>
      <c r="X5" s="7"/>
    </row>
    <row r="6" spans="2:24" ht="15.75" thickBot="1" x14ac:dyDescent="0.3">
      <c r="B6" s="11"/>
      <c r="G6" s="17"/>
      <c r="H6" s="302" t="s">
        <v>6</v>
      </c>
      <c r="I6" s="454"/>
      <c r="J6" s="355"/>
      <c r="K6" s="355"/>
      <c r="L6" s="356"/>
      <c r="M6" s="356"/>
      <c r="N6" s="356"/>
      <c r="O6" s="356"/>
      <c r="P6" s="356"/>
      <c r="Q6" s="356"/>
      <c r="R6" s="356"/>
      <c r="S6" s="356"/>
      <c r="T6" s="356"/>
      <c r="U6" s="357"/>
      <c r="W6" s="6"/>
      <c r="X6" s="7"/>
    </row>
    <row r="7" spans="2:24" x14ac:dyDescent="0.25">
      <c r="B7" s="11"/>
      <c r="G7" s="12" t="s">
        <v>3</v>
      </c>
      <c r="H7" s="301" t="s">
        <v>4</v>
      </c>
      <c r="I7" s="452">
        <f>IFERROR((J7*J8+K7*K8+L7*L8+M7*M8+N7*N8+O7*O8+P7*P8+Q7*Q8+R7*R8+S7*S8+T7*T8+U7*U8)/$W$16,0)</f>
        <v>0</v>
      </c>
      <c r="J7" s="358"/>
      <c r="K7" s="358"/>
      <c r="L7" s="358"/>
      <c r="M7" s="358"/>
      <c r="N7" s="358"/>
      <c r="O7" s="358"/>
      <c r="P7" s="358"/>
      <c r="Q7" s="358"/>
      <c r="R7" s="358"/>
      <c r="S7" s="358"/>
      <c r="T7" s="358"/>
      <c r="U7" s="359"/>
      <c r="W7" s="6"/>
      <c r="X7" s="7"/>
    </row>
    <row r="8" spans="2:24" x14ac:dyDescent="0.25">
      <c r="B8" s="11"/>
      <c r="G8" s="16"/>
      <c r="H8" s="1" t="s">
        <v>5</v>
      </c>
      <c r="I8" s="453"/>
      <c r="J8" s="353"/>
      <c r="K8" s="353"/>
      <c r="L8" s="353"/>
      <c r="M8" s="353"/>
      <c r="N8" s="353"/>
      <c r="O8" s="353"/>
      <c r="P8" s="353"/>
      <c r="Q8" s="353"/>
      <c r="R8" s="353"/>
      <c r="S8" s="353"/>
      <c r="T8" s="353"/>
      <c r="U8" s="354"/>
      <c r="W8" s="6"/>
      <c r="X8" s="7"/>
    </row>
    <row r="9" spans="2:24" ht="15.75" thickBot="1" x14ac:dyDescent="0.3">
      <c r="B9" s="11"/>
      <c r="G9" s="17"/>
      <c r="H9" s="302" t="s">
        <v>6</v>
      </c>
      <c r="I9" s="454"/>
      <c r="J9" s="356"/>
      <c r="K9" s="356"/>
      <c r="L9" s="356"/>
      <c r="M9" s="356"/>
      <c r="N9" s="356"/>
      <c r="O9" s="356"/>
      <c r="P9" s="356"/>
      <c r="Q9" s="356"/>
      <c r="R9" s="356"/>
      <c r="S9" s="356"/>
      <c r="T9" s="356"/>
      <c r="U9" s="357"/>
      <c r="W9" s="6"/>
      <c r="X9" s="7"/>
    </row>
    <row r="10" spans="2:24" x14ac:dyDescent="0.25">
      <c r="B10" s="11"/>
      <c r="G10" s="12" t="s">
        <v>8</v>
      </c>
      <c r="H10" s="301" t="s">
        <v>4</v>
      </c>
      <c r="I10" s="452">
        <f>IFERROR((J10*J11+K10*K11+L10*L11+M10*M11+N10*N11+O10*O11+P10*P11+Q10*Q11+R10*R11+S10*S11+T10*T11+U10*U11)/$W$16,0)</f>
        <v>0</v>
      </c>
      <c r="J10" s="353"/>
      <c r="K10" s="353"/>
      <c r="L10" s="353"/>
      <c r="M10" s="353"/>
      <c r="N10" s="353"/>
      <c r="O10" s="353"/>
      <c r="P10" s="353"/>
      <c r="Q10" s="353"/>
      <c r="R10" s="353"/>
      <c r="S10" s="353"/>
      <c r="T10" s="353"/>
      <c r="U10" s="354"/>
      <c r="W10" s="6"/>
      <c r="X10" s="7"/>
    </row>
    <row r="11" spans="2:24" x14ac:dyDescent="0.25">
      <c r="B11" s="11"/>
      <c r="G11" s="16"/>
      <c r="H11" s="1" t="s">
        <v>5</v>
      </c>
      <c r="I11" s="453"/>
      <c r="J11" s="353"/>
      <c r="K11" s="353"/>
      <c r="L11" s="353"/>
      <c r="M11" s="353"/>
      <c r="N11" s="353"/>
      <c r="O11" s="353"/>
      <c r="P11" s="353"/>
      <c r="Q11" s="353"/>
      <c r="R11" s="353"/>
      <c r="S11" s="353"/>
      <c r="T11" s="353"/>
      <c r="U11" s="354"/>
      <c r="W11" s="6"/>
      <c r="X11" s="7"/>
    </row>
    <row r="12" spans="2:24" ht="15.75" thickBot="1" x14ac:dyDescent="0.3">
      <c r="B12" s="11"/>
      <c r="G12" s="17"/>
      <c r="H12" s="302" t="s">
        <v>6</v>
      </c>
      <c r="I12" s="454"/>
      <c r="J12" s="356"/>
      <c r="K12" s="356"/>
      <c r="L12" s="356"/>
      <c r="M12" s="356"/>
      <c r="N12" s="356"/>
      <c r="O12" s="356"/>
      <c r="P12" s="356"/>
      <c r="Q12" s="356"/>
      <c r="R12" s="356"/>
      <c r="S12" s="356"/>
      <c r="T12" s="356"/>
      <c r="U12" s="357"/>
      <c r="V12" s="7"/>
      <c r="W12" s="6"/>
      <c r="X12" s="7"/>
    </row>
    <row r="13" spans="2:24" x14ac:dyDescent="0.25">
      <c r="B13" s="11"/>
      <c r="G13" s="12" t="s">
        <v>9</v>
      </c>
      <c r="H13" s="1" t="s">
        <v>6</v>
      </c>
      <c r="I13" s="455">
        <f>SUM(I4:I12)</f>
        <v>0</v>
      </c>
      <c r="J13" s="308">
        <f t="shared" ref="J13:U13" si="0">IFERROR((J4*J5*J6+J7*J8*J9+J10*J11*J12)/J16,0)</f>
        <v>0</v>
      </c>
      <c r="K13" s="23">
        <f t="shared" si="0"/>
        <v>0</v>
      </c>
      <c r="L13" s="23">
        <f t="shared" si="0"/>
        <v>0</v>
      </c>
      <c r="M13" s="23">
        <f t="shared" si="0"/>
        <v>0</v>
      </c>
      <c r="N13" s="23">
        <f t="shared" si="0"/>
        <v>0</v>
      </c>
      <c r="O13" s="23">
        <f t="shared" si="0"/>
        <v>0</v>
      </c>
      <c r="P13" s="23">
        <f t="shared" si="0"/>
        <v>0</v>
      </c>
      <c r="Q13" s="23">
        <f t="shared" si="0"/>
        <v>0</v>
      </c>
      <c r="R13" s="23">
        <f t="shared" si="0"/>
        <v>0</v>
      </c>
      <c r="S13" s="23">
        <f t="shared" si="0"/>
        <v>0</v>
      </c>
      <c r="T13" s="23">
        <f t="shared" si="0"/>
        <v>0</v>
      </c>
      <c r="U13" s="200">
        <f t="shared" si="0"/>
        <v>0</v>
      </c>
      <c r="V13" s="7"/>
      <c r="W13" s="6">
        <f>I3</f>
        <v>0</v>
      </c>
      <c r="X13" s="306" t="s">
        <v>208</v>
      </c>
    </row>
    <row r="14" spans="2:24" x14ac:dyDescent="0.25">
      <c r="B14" s="24"/>
      <c r="C14" s="25"/>
      <c r="D14" s="26"/>
      <c r="G14" s="16" t="s">
        <v>9</v>
      </c>
      <c r="H14" t="s">
        <v>4</v>
      </c>
      <c r="I14" s="456"/>
      <c r="J14" s="309">
        <f t="shared" ref="J14:U14" si="1">J4+J7+J10</f>
        <v>0</v>
      </c>
      <c r="K14" s="27">
        <f t="shared" si="1"/>
        <v>0</v>
      </c>
      <c r="L14" s="27">
        <f t="shared" si="1"/>
        <v>0</v>
      </c>
      <c r="M14" s="27">
        <f t="shared" si="1"/>
        <v>0</v>
      </c>
      <c r="N14" s="27">
        <f t="shared" si="1"/>
        <v>0</v>
      </c>
      <c r="O14" s="27">
        <f t="shared" si="1"/>
        <v>0</v>
      </c>
      <c r="P14" s="27">
        <f t="shared" si="1"/>
        <v>0</v>
      </c>
      <c r="Q14" s="27">
        <f t="shared" si="1"/>
        <v>0</v>
      </c>
      <c r="R14" s="27">
        <f t="shared" si="1"/>
        <v>0</v>
      </c>
      <c r="S14" s="27">
        <f t="shared" si="1"/>
        <v>0</v>
      </c>
      <c r="T14" s="27">
        <f t="shared" si="1"/>
        <v>0</v>
      </c>
      <c r="U14" s="303">
        <f t="shared" si="1"/>
        <v>0</v>
      </c>
      <c r="W14" s="28">
        <f>IF(W16=0,0,W16/W15)</f>
        <v>0</v>
      </c>
      <c r="X14" s="306" t="str">
        <f>H2</f>
        <v>Estimated Tonnes (ha)</v>
      </c>
    </row>
    <row r="15" spans="2:24" x14ac:dyDescent="0.25">
      <c r="B15" s="24"/>
      <c r="C15" s="29"/>
      <c r="D15" s="30"/>
      <c r="G15" s="16" t="s">
        <v>2</v>
      </c>
      <c r="H15" s="1" t="s">
        <v>207</v>
      </c>
      <c r="I15" s="456"/>
      <c r="J15" s="23">
        <f t="shared" ref="J15:U15" si="2">IFERROR(J16/$I$2,0)</f>
        <v>0</v>
      </c>
      <c r="K15" s="23">
        <f t="shared" si="2"/>
        <v>0</v>
      </c>
      <c r="L15" s="23">
        <f t="shared" si="2"/>
        <v>0</v>
      </c>
      <c r="M15" s="23">
        <f t="shared" si="2"/>
        <v>0</v>
      </c>
      <c r="N15" s="23">
        <f t="shared" si="2"/>
        <v>0</v>
      </c>
      <c r="O15" s="23">
        <f t="shared" si="2"/>
        <v>0</v>
      </c>
      <c r="P15" s="23">
        <f t="shared" si="2"/>
        <v>0</v>
      </c>
      <c r="Q15" s="23">
        <f t="shared" si="2"/>
        <v>0</v>
      </c>
      <c r="R15" s="23">
        <f t="shared" si="2"/>
        <v>0</v>
      </c>
      <c r="S15" s="23">
        <f t="shared" si="2"/>
        <v>0</v>
      </c>
      <c r="T15" s="23">
        <f t="shared" si="2"/>
        <v>0</v>
      </c>
      <c r="U15" s="201">
        <f t="shared" si="2"/>
        <v>0</v>
      </c>
      <c r="V15" s="31"/>
      <c r="W15" s="28">
        <f>SUM(J15:U15)</f>
        <v>0</v>
      </c>
      <c r="X15" s="306" t="str">
        <f>H15</f>
        <v>Hectare (ha)</v>
      </c>
    </row>
    <row r="16" spans="2:24" ht="15.75" thickBot="1" x14ac:dyDescent="0.3">
      <c r="B16" s="32"/>
      <c r="C16" s="33"/>
      <c r="D16" s="33"/>
      <c r="E16" s="33"/>
      <c r="F16" s="33"/>
      <c r="G16" s="311" t="s">
        <v>2</v>
      </c>
      <c r="H16" s="33" t="s">
        <v>10</v>
      </c>
      <c r="I16" s="457"/>
      <c r="J16" s="310">
        <f t="shared" ref="J16:U16" si="3">IFERROR((J4*J5+J7*J8+J10*J11),0)</f>
        <v>0</v>
      </c>
      <c r="K16" s="34">
        <f t="shared" si="3"/>
        <v>0</v>
      </c>
      <c r="L16" s="34">
        <f t="shared" si="3"/>
        <v>0</v>
      </c>
      <c r="M16" s="34">
        <f t="shared" si="3"/>
        <v>0</v>
      </c>
      <c r="N16" s="34">
        <f t="shared" si="3"/>
        <v>0</v>
      </c>
      <c r="O16" s="34">
        <f t="shared" si="3"/>
        <v>0</v>
      </c>
      <c r="P16" s="34">
        <f t="shared" si="3"/>
        <v>0</v>
      </c>
      <c r="Q16" s="34">
        <f t="shared" si="3"/>
        <v>0</v>
      </c>
      <c r="R16" s="34">
        <f t="shared" si="3"/>
        <v>0</v>
      </c>
      <c r="S16" s="34">
        <f t="shared" si="3"/>
        <v>0</v>
      </c>
      <c r="T16" s="34">
        <f t="shared" si="3"/>
        <v>0</v>
      </c>
      <c r="U16" s="202">
        <f t="shared" si="3"/>
        <v>0</v>
      </c>
      <c r="W16" s="28">
        <f>SUM(J16:U16)</f>
        <v>0</v>
      </c>
      <c r="X16" s="35" t="str">
        <f>H16</f>
        <v>Tonnes Harvested</v>
      </c>
    </row>
    <row r="17" spans="1:24" ht="25.5" customHeight="1" thickBot="1" x14ac:dyDescent="0.3">
      <c r="C17" s="7"/>
      <c r="D17" s="7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7"/>
      <c r="W17" s="38" t="e">
        <f>W16/W15</f>
        <v>#DIV/0!</v>
      </c>
      <c r="X17" s="307" t="s">
        <v>11</v>
      </c>
    </row>
    <row r="18" spans="1:24" ht="16.5" thickBot="1" x14ac:dyDescent="0.3">
      <c r="B18" s="8" t="s">
        <v>12</v>
      </c>
      <c r="C18" s="9"/>
      <c r="D18" s="9"/>
      <c r="E18" s="9"/>
      <c r="F18" s="9"/>
      <c r="G18" s="9"/>
      <c r="H18" s="9"/>
      <c r="I18" s="9"/>
      <c r="J18" s="39"/>
      <c r="K18" s="9"/>
      <c r="L18" s="9"/>
      <c r="M18" s="9"/>
      <c r="N18" s="9"/>
      <c r="O18" s="9"/>
      <c r="P18" s="9"/>
      <c r="Q18" s="9"/>
      <c r="R18" s="9"/>
      <c r="S18" s="9"/>
      <c r="T18" s="9"/>
      <c r="U18" s="40"/>
    </row>
    <row r="19" spans="1:24" x14ac:dyDescent="0.25">
      <c r="B19" s="41" t="s">
        <v>13</v>
      </c>
      <c r="C19" s="42" t="s">
        <v>14</v>
      </c>
      <c r="D19" s="405" t="s">
        <v>210</v>
      </c>
      <c r="E19" s="42" t="s">
        <v>15</v>
      </c>
      <c r="F19" s="42" t="s">
        <v>211</v>
      </c>
      <c r="G19" s="42" t="s">
        <v>17</v>
      </c>
      <c r="H19" s="42" t="s">
        <v>18</v>
      </c>
      <c r="I19" s="43"/>
      <c r="J19" s="178">
        <v>45658</v>
      </c>
      <c r="K19" s="178">
        <v>45689</v>
      </c>
      <c r="L19" s="178">
        <v>45717</v>
      </c>
      <c r="M19" s="178">
        <v>45748</v>
      </c>
      <c r="N19" s="178">
        <v>45778</v>
      </c>
      <c r="O19" s="178">
        <v>45809</v>
      </c>
      <c r="P19" s="178">
        <v>45839</v>
      </c>
      <c r="Q19" s="178">
        <v>45870</v>
      </c>
      <c r="R19" s="178">
        <v>45901</v>
      </c>
      <c r="S19" s="178">
        <v>45931</v>
      </c>
      <c r="T19" s="178">
        <v>45962</v>
      </c>
      <c r="U19" s="317">
        <v>45992</v>
      </c>
    </row>
    <row r="20" spans="1:24" x14ac:dyDescent="0.25">
      <c r="A20" s="11"/>
      <c r="B20" s="239" t="s">
        <v>20</v>
      </c>
      <c r="C20" s="312">
        <v>0.11412433298869637</v>
      </c>
      <c r="D20" s="406">
        <v>1</v>
      </c>
      <c r="E20" s="388" t="s">
        <v>21</v>
      </c>
      <c r="F20" s="389">
        <f t="shared" ref="F20:F27" si="4">IFERROR(H20/G20,0)</f>
        <v>0</v>
      </c>
      <c r="G20" s="315"/>
      <c r="H20" s="45">
        <f t="shared" ref="H20:H41" si="5">SUM(J20:U20)</f>
        <v>0</v>
      </c>
      <c r="I20" s="46"/>
      <c r="J20" s="47">
        <f>J16*$C20*$D20*$G20</f>
        <v>0</v>
      </c>
      <c r="K20" s="47">
        <f t="shared" ref="K20:U20" si="6">K16*$C$20*$D$20*$G$20</f>
        <v>0</v>
      </c>
      <c r="L20" s="47">
        <f t="shared" si="6"/>
        <v>0</v>
      </c>
      <c r="M20" s="47">
        <f t="shared" si="6"/>
        <v>0</v>
      </c>
      <c r="N20" s="47">
        <f t="shared" si="6"/>
        <v>0</v>
      </c>
      <c r="O20" s="47">
        <f t="shared" si="6"/>
        <v>0</v>
      </c>
      <c r="P20" s="47">
        <f t="shared" si="6"/>
        <v>0</v>
      </c>
      <c r="Q20" s="47">
        <f t="shared" si="6"/>
        <v>0</v>
      </c>
      <c r="R20" s="47">
        <f t="shared" si="6"/>
        <v>0</v>
      </c>
      <c r="S20" s="47">
        <f t="shared" si="6"/>
        <v>0</v>
      </c>
      <c r="T20" s="47">
        <f t="shared" si="6"/>
        <v>0</v>
      </c>
      <c r="U20" s="48">
        <f t="shared" si="6"/>
        <v>0</v>
      </c>
      <c r="W20" s="38" t="e">
        <f t="shared" ref="W20:W41" si="7">$W$17*C20</f>
        <v>#DIV/0!</v>
      </c>
      <c r="X20" s="1" t="str">
        <f t="shared" ref="X20:X41" si="8">B20</f>
        <v>P35</v>
      </c>
    </row>
    <row r="21" spans="1:24" x14ac:dyDescent="0.25">
      <c r="A21" s="11"/>
      <c r="B21" s="239" t="s">
        <v>22</v>
      </c>
      <c r="C21" s="312">
        <v>7.0000000000000007E-2</v>
      </c>
      <c r="D21" s="406">
        <v>1</v>
      </c>
      <c r="E21" s="388" t="s">
        <v>21</v>
      </c>
      <c r="F21" s="389">
        <f t="shared" si="4"/>
        <v>0</v>
      </c>
      <c r="G21" s="315"/>
      <c r="H21" s="45">
        <f t="shared" si="5"/>
        <v>0</v>
      </c>
      <c r="I21" s="46"/>
      <c r="J21" s="47">
        <f t="shared" ref="J21:U21" si="9">J16*$C$21*$D$21*$G$21</f>
        <v>0</v>
      </c>
      <c r="K21" s="47">
        <f t="shared" si="9"/>
        <v>0</v>
      </c>
      <c r="L21" s="47">
        <f t="shared" si="9"/>
        <v>0</v>
      </c>
      <c r="M21" s="47">
        <f t="shared" si="9"/>
        <v>0</v>
      </c>
      <c r="N21" s="47">
        <f t="shared" si="9"/>
        <v>0</v>
      </c>
      <c r="O21" s="47">
        <f t="shared" si="9"/>
        <v>0</v>
      </c>
      <c r="P21" s="47">
        <f t="shared" si="9"/>
        <v>0</v>
      </c>
      <c r="Q21" s="47">
        <f t="shared" si="9"/>
        <v>0</v>
      </c>
      <c r="R21" s="47">
        <f t="shared" si="9"/>
        <v>0</v>
      </c>
      <c r="S21" s="47">
        <f t="shared" si="9"/>
        <v>0</v>
      </c>
      <c r="T21" s="47">
        <f t="shared" si="9"/>
        <v>0</v>
      </c>
      <c r="U21" s="48">
        <f t="shared" si="9"/>
        <v>0</v>
      </c>
      <c r="W21" s="38" t="e">
        <f t="shared" si="7"/>
        <v>#DIV/0!</v>
      </c>
      <c r="X21" s="1" t="str">
        <f t="shared" si="8"/>
        <v>S30</v>
      </c>
    </row>
    <row r="22" spans="1:24" x14ac:dyDescent="0.25">
      <c r="A22" s="11"/>
      <c r="B22" s="239" t="s">
        <v>25</v>
      </c>
      <c r="C22" s="312">
        <v>0</v>
      </c>
      <c r="D22" s="406">
        <v>1</v>
      </c>
      <c r="E22" s="388" t="s">
        <v>21</v>
      </c>
      <c r="F22" s="389">
        <f t="shared" si="4"/>
        <v>0</v>
      </c>
      <c r="G22" s="315"/>
      <c r="H22" s="45">
        <f t="shared" si="5"/>
        <v>0</v>
      </c>
      <c r="I22" s="46"/>
      <c r="J22" s="47">
        <f t="shared" ref="J22:U22" si="10">J16*$C$22*$D$22*$G$22</f>
        <v>0</v>
      </c>
      <c r="K22" s="47">
        <f t="shared" si="10"/>
        <v>0</v>
      </c>
      <c r="L22" s="47">
        <f t="shared" si="10"/>
        <v>0</v>
      </c>
      <c r="M22" s="47">
        <f t="shared" si="10"/>
        <v>0</v>
      </c>
      <c r="N22" s="47">
        <f t="shared" si="10"/>
        <v>0</v>
      </c>
      <c r="O22" s="47">
        <f t="shared" si="10"/>
        <v>0</v>
      </c>
      <c r="P22" s="47">
        <f t="shared" si="10"/>
        <v>0</v>
      </c>
      <c r="Q22" s="47">
        <f t="shared" si="10"/>
        <v>0</v>
      </c>
      <c r="R22" s="47">
        <f t="shared" si="10"/>
        <v>0</v>
      </c>
      <c r="S22" s="47">
        <f t="shared" si="10"/>
        <v>0</v>
      </c>
      <c r="T22" s="47">
        <f t="shared" si="10"/>
        <v>0</v>
      </c>
      <c r="U22" s="48">
        <f t="shared" si="10"/>
        <v>0</v>
      </c>
      <c r="W22" s="38" t="e">
        <f t="shared" si="7"/>
        <v>#DIV/0!</v>
      </c>
      <c r="X22" s="1" t="str">
        <f t="shared" si="8"/>
        <v>S20</v>
      </c>
    </row>
    <row r="23" spans="1:24" x14ac:dyDescent="0.25">
      <c r="A23" s="11"/>
      <c r="B23" s="242" t="s">
        <v>30</v>
      </c>
      <c r="C23" s="312">
        <v>0.05</v>
      </c>
      <c r="D23" s="406">
        <v>1</v>
      </c>
      <c r="E23" s="388" t="s">
        <v>21</v>
      </c>
      <c r="F23" s="389">
        <f t="shared" si="4"/>
        <v>0</v>
      </c>
      <c r="G23" s="315"/>
      <c r="H23" s="45">
        <f t="shared" si="5"/>
        <v>0</v>
      </c>
      <c r="I23" s="46"/>
      <c r="J23" s="47">
        <f t="shared" ref="J23:U23" si="11">J16*$C$23*$D$23*$G$23</f>
        <v>0</v>
      </c>
      <c r="K23" s="47">
        <f t="shared" si="11"/>
        <v>0</v>
      </c>
      <c r="L23" s="47">
        <f t="shared" si="11"/>
        <v>0</v>
      </c>
      <c r="M23" s="47">
        <f t="shared" si="11"/>
        <v>0</v>
      </c>
      <c r="N23" s="47">
        <f t="shared" si="11"/>
        <v>0</v>
      </c>
      <c r="O23" s="47">
        <f t="shared" si="11"/>
        <v>0</v>
      </c>
      <c r="P23" s="47">
        <f t="shared" si="11"/>
        <v>0</v>
      </c>
      <c r="Q23" s="47">
        <f t="shared" si="11"/>
        <v>0</v>
      </c>
      <c r="R23" s="47">
        <f t="shared" si="11"/>
        <v>0</v>
      </c>
      <c r="S23" s="47">
        <f t="shared" si="11"/>
        <v>0</v>
      </c>
      <c r="T23" s="47">
        <f t="shared" si="11"/>
        <v>0</v>
      </c>
      <c r="U23" s="48">
        <f t="shared" si="11"/>
        <v>0</v>
      </c>
      <c r="W23" s="38" t="e">
        <f t="shared" si="7"/>
        <v>#DIV/0!</v>
      </c>
      <c r="X23" s="1" t="str">
        <f t="shared" si="8"/>
        <v>Domestic Pulp</v>
      </c>
    </row>
    <row r="24" spans="1:24" x14ac:dyDescent="0.25">
      <c r="A24" s="11"/>
      <c r="B24" s="242" t="s">
        <v>222</v>
      </c>
      <c r="C24" s="312">
        <v>0</v>
      </c>
      <c r="D24" s="406">
        <v>1</v>
      </c>
      <c r="E24" s="388" t="s">
        <v>21</v>
      </c>
      <c r="F24" s="389">
        <f t="shared" si="4"/>
        <v>0</v>
      </c>
      <c r="G24" s="315"/>
      <c r="H24" s="45">
        <f t="shared" si="5"/>
        <v>0</v>
      </c>
      <c r="I24" s="46"/>
      <c r="J24" s="47">
        <f t="shared" ref="J24:U24" si="12">J16*$C$24*$D$24*$G$24</f>
        <v>0</v>
      </c>
      <c r="K24" s="47">
        <f t="shared" si="12"/>
        <v>0</v>
      </c>
      <c r="L24" s="47">
        <f t="shared" si="12"/>
        <v>0</v>
      </c>
      <c r="M24" s="47">
        <f t="shared" si="12"/>
        <v>0</v>
      </c>
      <c r="N24" s="47">
        <f t="shared" si="12"/>
        <v>0</v>
      </c>
      <c r="O24" s="47">
        <f t="shared" si="12"/>
        <v>0</v>
      </c>
      <c r="P24" s="47">
        <f t="shared" si="12"/>
        <v>0</v>
      </c>
      <c r="Q24" s="47">
        <f t="shared" si="12"/>
        <v>0</v>
      </c>
      <c r="R24" s="47">
        <f t="shared" si="12"/>
        <v>0</v>
      </c>
      <c r="S24" s="47">
        <f t="shared" si="12"/>
        <v>0</v>
      </c>
      <c r="T24" s="47">
        <f t="shared" si="12"/>
        <v>0</v>
      </c>
      <c r="U24" s="48">
        <f t="shared" si="12"/>
        <v>0</v>
      </c>
      <c r="W24" s="38" t="e">
        <f t="shared" si="7"/>
        <v>#DIV/0!</v>
      </c>
      <c r="X24" s="1" t="str">
        <f t="shared" si="8"/>
        <v>Eucalyptus</v>
      </c>
    </row>
    <row r="25" spans="1:24" x14ac:dyDescent="0.25">
      <c r="A25" s="11"/>
      <c r="B25" s="242" t="s">
        <v>34</v>
      </c>
      <c r="C25" s="312">
        <v>0</v>
      </c>
      <c r="D25" s="406">
        <v>1</v>
      </c>
      <c r="E25" s="388" t="s">
        <v>21</v>
      </c>
      <c r="F25" s="389">
        <f t="shared" si="4"/>
        <v>0</v>
      </c>
      <c r="G25" s="315"/>
      <c r="H25" s="45">
        <f t="shared" si="5"/>
        <v>0</v>
      </c>
      <c r="I25" s="46"/>
      <c r="J25" s="47">
        <f t="shared" ref="J25:U25" si="13">J16*$C$25*$D$25*$G$25</f>
        <v>0</v>
      </c>
      <c r="K25" s="47">
        <f t="shared" si="13"/>
        <v>0</v>
      </c>
      <c r="L25" s="47">
        <f t="shared" si="13"/>
        <v>0</v>
      </c>
      <c r="M25" s="47">
        <f t="shared" si="13"/>
        <v>0</v>
      </c>
      <c r="N25" s="47">
        <f t="shared" si="13"/>
        <v>0</v>
      </c>
      <c r="O25" s="47">
        <f t="shared" si="13"/>
        <v>0</v>
      </c>
      <c r="P25" s="47">
        <f t="shared" si="13"/>
        <v>0</v>
      </c>
      <c r="Q25" s="47">
        <f t="shared" si="13"/>
        <v>0</v>
      </c>
      <c r="R25" s="47">
        <f t="shared" si="13"/>
        <v>0</v>
      </c>
      <c r="S25" s="47">
        <f t="shared" si="13"/>
        <v>0</v>
      </c>
      <c r="T25" s="47">
        <f t="shared" si="13"/>
        <v>0</v>
      </c>
      <c r="U25" s="48">
        <f t="shared" si="13"/>
        <v>0</v>
      </c>
      <c r="W25" s="38" t="e">
        <f t="shared" si="7"/>
        <v>#DIV/0!</v>
      </c>
      <c r="X25" s="1" t="str">
        <f t="shared" si="8"/>
        <v>FW</v>
      </c>
    </row>
    <row r="26" spans="1:24" x14ac:dyDescent="0.25">
      <c r="A26" s="11"/>
      <c r="B26" s="242" t="s">
        <v>37</v>
      </c>
      <c r="C26" s="312">
        <v>0</v>
      </c>
      <c r="D26" s="406">
        <v>1</v>
      </c>
      <c r="E26" s="388" t="s">
        <v>21</v>
      </c>
      <c r="F26" s="389">
        <f t="shared" si="4"/>
        <v>0</v>
      </c>
      <c r="G26" s="315"/>
      <c r="H26" s="45">
        <f t="shared" si="5"/>
        <v>0</v>
      </c>
      <c r="I26" s="46"/>
      <c r="J26" s="47">
        <f t="shared" ref="J26:U26" si="14">J16*$C$26*$D$26*$G$26</f>
        <v>0</v>
      </c>
      <c r="K26" s="47">
        <f t="shared" si="14"/>
        <v>0</v>
      </c>
      <c r="L26" s="47">
        <f t="shared" si="14"/>
        <v>0</v>
      </c>
      <c r="M26" s="47">
        <f t="shared" si="14"/>
        <v>0</v>
      </c>
      <c r="N26" s="47">
        <f t="shared" si="14"/>
        <v>0</v>
      </c>
      <c r="O26" s="47">
        <f t="shared" si="14"/>
        <v>0</v>
      </c>
      <c r="P26" s="47">
        <f t="shared" si="14"/>
        <v>0</v>
      </c>
      <c r="Q26" s="47">
        <f t="shared" si="14"/>
        <v>0</v>
      </c>
      <c r="R26" s="47">
        <f t="shared" si="14"/>
        <v>0</v>
      </c>
      <c r="S26" s="47">
        <f t="shared" si="14"/>
        <v>0</v>
      </c>
      <c r="T26" s="47">
        <f t="shared" si="14"/>
        <v>0</v>
      </c>
      <c r="U26" s="48">
        <f t="shared" si="14"/>
        <v>0</v>
      </c>
      <c r="W26" s="38" t="e">
        <f t="shared" si="7"/>
        <v>#DIV/0!</v>
      </c>
      <c r="X26" t="str">
        <f t="shared" si="8"/>
        <v>Euc Pulp</v>
      </c>
    </row>
    <row r="27" spans="1:24" x14ac:dyDescent="0.25">
      <c r="A27" s="11"/>
      <c r="B27" s="242" t="s">
        <v>174</v>
      </c>
      <c r="C27" s="312">
        <v>0</v>
      </c>
      <c r="D27" s="406">
        <v>1</v>
      </c>
      <c r="E27" s="388" t="s">
        <v>21</v>
      </c>
      <c r="F27" s="389">
        <f t="shared" si="4"/>
        <v>0</v>
      </c>
      <c r="G27" s="315"/>
      <c r="H27" s="45">
        <f t="shared" si="5"/>
        <v>0</v>
      </c>
      <c r="I27" s="46"/>
      <c r="J27" s="47">
        <f t="shared" ref="J27:U27" si="15">J16*$C$27*$D$27*$G$27</f>
        <v>0</v>
      </c>
      <c r="K27" s="47">
        <f t="shared" si="15"/>
        <v>0</v>
      </c>
      <c r="L27" s="47">
        <f t="shared" si="15"/>
        <v>0</v>
      </c>
      <c r="M27" s="47">
        <f t="shared" si="15"/>
        <v>0</v>
      </c>
      <c r="N27" s="47">
        <f t="shared" si="15"/>
        <v>0</v>
      </c>
      <c r="O27" s="47">
        <f t="shared" si="15"/>
        <v>0</v>
      </c>
      <c r="P27" s="47">
        <f t="shared" si="15"/>
        <v>0</v>
      </c>
      <c r="Q27" s="47">
        <f t="shared" si="15"/>
        <v>0</v>
      </c>
      <c r="R27" s="47">
        <f t="shared" si="15"/>
        <v>0</v>
      </c>
      <c r="S27" s="47">
        <f t="shared" si="15"/>
        <v>0</v>
      </c>
      <c r="T27" s="47">
        <f t="shared" si="15"/>
        <v>0</v>
      </c>
      <c r="U27" s="48">
        <f t="shared" si="15"/>
        <v>0</v>
      </c>
      <c r="W27" s="38" t="e">
        <f t="shared" si="7"/>
        <v>#DIV/0!</v>
      </c>
      <c r="X27" s="1" t="str">
        <f t="shared" si="8"/>
        <v>Binwood</v>
      </c>
    </row>
    <row r="28" spans="1:24" x14ac:dyDescent="0.25">
      <c r="A28" s="11"/>
      <c r="B28" s="376" t="s">
        <v>202</v>
      </c>
      <c r="C28" s="378">
        <v>0</v>
      </c>
      <c r="D28" s="407"/>
      <c r="E28" s="390" t="s">
        <v>21</v>
      </c>
      <c r="F28" s="391">
        <f t="shared" ref="F28:F40" si="16">IFERROR(H28/G28/D28,0)</f>
        <v>0</v>
      </c>
      <c r="G28" s="379"/>
      <c r="H28" s="45">
        <f t="shared" si="5"/>
        <v>0</v>
      </c>
      <c r="I28" s="46"/>
      <c r="J28" s="47">
        <f t="shared" ref="J28:U28" si="17">J16*$C$28*$D$28*$G$28</f>
        <v>0</v>
      </c>
      <c r="K28" s="47">
        <f t="shared" si="17"/>
        <v>0</v>
      </c>
      <c r="L28" s="47">
        <f t="shared" si="17"/>
        <v>0</v>
      </c>
      <c r="M28" s="47">
        <f t="shared" si="17"/>
        <v>0</v>
      </c>
      <c r="N28" s="47">
        <f t="shared" si="17"/>
        <v>0</v>
      </c>
      <c r="O28" s="47">
        <f t="shared" si="17"/>
        <v>0</v>
      </c>
      <c r="P28" s="47">
        <f t="shared" si="17"/>
        <v>0</v>
      </c>
      <c r="Q28" s="47">
        <f t="shared" si="17"/>
        <v>0</v>
      </c>
      <c r="R28" s="47">
        <f t="shared" si="17"/>
        <v>0</v>
      </c>
      <c r="S28" s="47">
        <f t="shared" si="17"/>
        <v>0</v>
      </c>
      <c r="T28" s="47">
        <f t="shared" si="17"/>
        <v>0</v>
      </c>
      <c r="U28" s="48">
        <f t="shared" si="17"/>
        <v>0</v>
      </c>
      <c r="W28" s="38" t="e">
        <f t="shared" si="7"/>
        <v>#DIV/0!</v>
      </c>
      <c r="X28" s="1" t="str">
        <f t="shared" si="8"/>
        <v>Spare Grade</v>
      </c>
    </row>
    <row r="29" spans="1:24" x14ac:dyDescent="0.25">
      <c r="A29" s="11"/>
      <c r="B29" s="243" t="s">
        <v>175</v>
      </c>
      <c r="C29" s="313">
        <v>0</v>
      </c>
      <c r="D29" s="408">
        <v>1</v>
      </c>
      <c r="E29" s="388" t="s">
        <v>19</v>
      </c>
      <c r="F29" s="389">
        <f t="shared" si="16"/>
        <v>0</v>
      </c>
      <c r="G29" s="316"/>
      <c r="H29" s="45">
        <f t="shared" si="5"/>
        <v>0</v>
      </c>
      <c r="I29" s="46"/>
      <c r="J29" s="47">
        <f t="shared" ref="J29:U29" si="18">J16*$C$29*$D$29*$G$29</f>
        <v>0</v>
      </c>
      <c r="K29" s="47">
        <f t="shared" si="18"/>
        <v>0</v>
      </c>
      <c r="L29" s="47">
        <f t="shared" si="18"/>
        <v>0</v>
      </c>
      <c r="M29" s="47">
        <f t="shared" si="18"/>
        <v>0</v>
      </c>
      <c r="N29" s="47">
        <f t="shared" si="18"/>
        <v>0</v>
      </c>
      <c r="O29" s="47">
        <f t="shared" si="18"/>
        <v>0</v>
      </c>
      <c r="P29" s="47">
        <f t="shared" si="18"/>
        <v>0</v>
      </c>
      <c r="Q29" s="47">
        <f t="shared" si="18"/>
        <v>0</v>
      </c>
      <c r="R29" s="47">
        <f t="shared" si="18"/>
        <v>0</v>
      </c>
      <c r="S29" s="47">
        <f t="shared" si="18"/>
        <v>0</v>
      </c>
      <c r="T29" s="47">
        <f t="shared" si="18"/>
        <v>0</v>
      </c>
      <c r="U29" s="48">
        <f t="shared" si="18"/>
        <v>0</v>
      </c>
      <c r="W29" s="38" t="e">
        <f t="shared" si="7"/>
        <v>#DIV/0!</v>
      </c>
      <c r="X29" s="1" t="str">
        <f t="shared" si="8"/>
        <v>P40</v>
      </c>
    </row>
    <row r="30" spans="1:24" x14ac:dyDescent="0.25">
      <c r="A30" s="11"/>
      <c r="B30" s="243" t="s">
        <v>176</v>
      </c>
      <c r="C30" s="313">
        <v>1.933667793097546E-3</v>
      </c>
      <c r="D30" s="408">
        <v>1.0288960591838534</v>
      </c>
      <c r="E30" s="388" t="s">
        <v>19</v>
      </c>
      <c r="F30" s="389">
        <f t="shared" si="16"/>
        <v>0</v>
      </c>
      <c r="G30" s="316"/>
      <c r="H30" s="45">
        <f t="shared" si="5"/>
        <v>0</v>
      </c>
      <c r="I30" s="46"/>
      <c r="J30" s="47">
        <f t="shared" ref="J30:U30" si="19">J16*$C$30*$D$30*$G$30</f>
        <v>0</v>
      </c>
      <c r="K30" s="47">
        <f t="shared" si="19"/>
        <v>0</v>
      </c>
      <c r="L30" s="47">
        <f t="shared" si="19"/>
        <v>0</v>
      </c>
      <c r="M30" s="47">
        <f t="shared" si="19"/>
        <v>0</v>
      </c>
      <c r="N30" s="47">
        <f t="shared" si="19"/>
        <v>0</v>
      </c>
      <c r="O30" s="47">
        <f t="shared" si="19"/>
        <v>0</v>
      </c>
      <c r="P30" s="47">
        <f t="shared" si="19"/>
        <v>0</v>
      </c>
      <c r="Q30" s="47">
        <f t="shared" si="19"/>
        <v>0</v>
      </c>
      <c r="R30" s="47">
        <f t="shared" si="19"/>
        <v>0</v>
      </c>
      <c r="S30" s="47">
        <f t="shared" si="19"/>
        <v>0</v>
      </c>
      <c r="T30" s="47">
        <f t="shared" si="19"/>
        <v>0</v>
      </c>
      <c r="U30" s="48">
        <f t="shared" si="19"/>
        <v>0</v>
      </c>
      <c r="W30" s="38" t="e">
        <f t="shared" si="7"/>
        <v>#DIV/0!</v>
      </c>
      <c r="X30" s="1" t="str">
        <f t="shared" si="8"/>
        <v>P30</v>
      </c>
    </row>
    <row r="31" spans="1:24" x14ac:dyDescent="0.25">
      <c r="A31" s="11"/>
      <c r="B31" s="246" t="s">
        <v>23</v>
      </c>
      <c r="C31" s="313">
        <v>0.15</v>
      </c>
      <c r="D31" s="408">
        <v>1.04</v>
      </c>
      <c r="E31" s="392" t="s">
        <v>19</v>
      </c>
      <c r="F31" s="389">
        <f t="shared" si="16"/>
        <v>0</v>
      </c>
      <c r="G31" s="316"/>
      <c r="H31" s="45">
        <f t="shared" si="5"/>
        <v>0</v>
      </c>
      <c r="I31" s="46"/>
      <c r="J31" s="47">
        <f t="shared" ref="J31:U31" si="20">J16*$C$31*$D$31*$G$31</f>
        <v>0</v>
      </c>
      <c r="K31" s="47">
        <f t="shared" si="20"/>
        <v>0</v>
      </c>
      <c r="L31" s="47">
        <f t="shared" si="20"/>
        <v>0</v>
      </c>
      <c r="M31" s="47">
        <f t="shared" si="20"/>
        <v>0</v>
      </c>
      <c r="N31" s="47">
        <f t="shared" si="20"/>
        <v>0</v>
      </c>
      <c r="O31" s="47">
        <f t="shared" si="20"/>
        <v>0</v>
      </c>
      <c r="P31" s="47">
        <f t="shared" si="20"/>
        <v>0</v>
      </c>
      <c r="Q31" s="47">
        <f t="shared" si="20"/>
        <v>0</v>
      </c>
      <c r="R31" s="47">
        <f t="shared" si="20"/>
        <v>0</v>
      </c>
      <c r="S31" s="47">
        <f t="shared" si="20"/>
        <v>0</v>
      </c>
      <c r="T31" s="47">
        <f t="shared" si="20"/>
        <v>0</v>
      </c>
      <c r="U31" s="48">
        <f t="shared" si="20"/>
        <v>0</v>
      </c>
      <c r="W31" s="38" t="e">
        <f t="shared" si="7"/>
        <v>#DIV/0!</v>
      </c>
      <c r="X31" s="1" t="str">
        <f t="shared" si="8"/>
        <v>AO</v>
      </c>
    </row>
    <row r="32" spans="1:24" x14ac:dyDescent="0.25">
      <c r="A32" s="11"/>
      <c r="B32" s="246" t="s">
        <v>24</v>
      </c>
      <c r="C32" s="313">
        <v>0.28000000000000003</v>
      </c>
      <c r="D32" s="408">
        <v>1.01</v>
      </c>
      <c r="E32" s="392" t="s">
        <v>19</v>
      </c>
      <c r="F32" s="389">
        <f t="shared" si="16"/>
        <v>0</v>
      </c>
      <c r="G32" s="316"/>
      <c r="H32" s="45">
        <f t="shared" si="5"/>
        <v>0</v>
      </c>
      <c r="I32" s="46"/>
      <c r="J32" s="47">
        <f t="shared" ref="J32:U32" si="21">J16*$C$32*$D$32*$G$32</f>
        <v>0</v>
      </c>
      <c r="K32" s="47">
        <f t="shared" si="21"/>
        <v>0</v>
      </c>
      <c r="L32" s="47">
        <f t="shared" si="21"/>
        <v>0</v>
      </c>
      <c r="M32" s="47">
        <f t="shared" si="21"/>
        <v>0</v>
      </c>
      <c r="N32" s="47">
        <f t="shared" si="21"/>
        <v>0</v>
      </c>
      <c r="O32" s="47">
        <f t="shared" si="21"/>
        <v>0</v>
      </c>
      <c r="P32" s="47">
        <f t="shared" si="21"/>
        <v>0</v>
      </c>
      <c r="Q32" s="47">
        <f t="shared" si="21"/>
        <v>0</v>
      </c>
      <c r="R32" s="47">
        <f t="shared" si="21"/>
        <v>0</v>
      </c>
      <c r="S32" s="47">
        <f t="shared" si="21"/>
        <v>0</v>
      </c>
      <c r="T32" s="47">
        <f t="shared" si="21"/>
        <v>0</v>
      </c>
      <c r="U32" s="48">
        <f t="shared" si="21"/>
        <v>0</v>
      </c>
      <c r="W32" s="38" t="e">
        <f t="shared" si="7"/>
        <v>#DIV/0!</v>
      </c>
      <c r="X32" s="1" t="str">
        <f t="shared" si="8"/>
        <v>A</v>
      </c>
    </row>
    <row r="33" spans="1:24" x14ac:dyDescent="0.25">
      <c r="A33" s="11"/>
      <c r="B33" s="246" t="s">
        <v>26</v>
      </c>
      <c r="C33" s="313">
        <v>0.208703355468741</v>
      </c>
      <c r="D33" s="408">
        <v>0.96</v>
      </c>
      <c r="E33" s="392" t="s">
        <v>19</v>
      </c>
      <c r="F33" s="389">
        <f t="shared" si="16"/>
        <v>0</v>
      </c>
      <c r="G33" s="316"/>
      <c r="H33" s="45">
        <f t="shared" si="5"/>
        <v>0</v>
      </c>
      <c r="I33" s="46"/>
      <c r="J33" s="47">
        <f t="shared" ref="J33:U33" si="22">J16*$C$33*$D$33*$G$33</f>
        <v>0</v>
      </c>
      <c r="K33" s="47">
        <f t="shared" si="22"/>
        <v>0</v>
      </c>
      <c r="L33" s="47">
        <f t="shared" si="22"/>
        <v>0</v>
      </c>
      <c r="M33" s="47">
        <f t="shared" si="22"/>
        <v>0</v>
      </c>
      <c r="N33" s="47">
        <f t="shared" si="22"/>
        <v>0</v>
      </c>
      <c r="O33" s="47">
        <f t="shared" si="22"/>
        <v>0</v>
      </c>
      <c r="P33" s="47">
        <f t="shared" si="22"/>
        <v>0</v>
      </c>
      <c r="Q33" s="47">
        <f t="shared" si="22"/>
        <v>0</v>
      </c>
      <c r="R33" s="47">
        <f t="shared" si="22"/>
        <v>0</v>
      </c>
      <c r="S33" s="47">
        <f t="shared" si="22"/>
        <v>0</v>
      </c>
      <c r="T33" s="47">
        <f t="shared" si="22"/>
        <v>0</v>
      </c>
      <c r="U33" s="48">
        <f t="shared" si="22"/>
        <v>0</v>
      </c>
      <c r="W33" s="38" t="e">
        <f t="shared" si="7"/>
        <v>#DIV/0!</v>
      </c>
      <c r="X33" s="1" t="str">
        <f t="shared" si="8"/>
        <v>K</v>
      </c>
    </row>
    <row r="34" spans="1:24" x14ac:dyDescent="0.25">
      <c r="A34" s="11"/>
      <c r="B34" s="243" t="s">
        <v>27</v>
      </c>
      <c r="C34" s="313">
        <v>2.5784396041069621E-2</v>
      </c>
      <c r="D34" s="408">
        <v>0.97</v>
      </c>
      <c r="E34" s="388" t="s">
        <v>19</v>
      </c>
      <c r="F34" s="389">
        <f t="shared" si="16"/>
        <v>0</v>
      </c>
      <c r="G34" s="316"/>
      <c r="H34" s="45">
        <f t="shared" si="5"/>
        <v>0</v>
      </c>
      <c r="I34" s="46"/>
      <c r="J34" s="47">
        <f t="shared" ref="J34:U34" si="23">J16*$C$34*$D$34*$G$34</f>
        <v>0</v>
      </c>
      <c r="K34" s="47">
        <f t="shared" si="23"/>
        <v>0</v>
      </c>
      <c r="L34" s="47">
        <f t="shared" si="23"/>
        <v>0</v>
      </c>
      <c r="M34" s="47">
        <f t="shared" si="23"/>
        <v>0</v>
      </c>
      <c r="N34" s="47">
        <f t="shared" si="23"/>
        <v>0</v>
      </c>
      <c r="O34" s="47">
        <f t="shared" si="23"/>
        <v>0</v>
      </c>
      <c r="P34" s="47">
        <f t="shared" si="23"/>
        <v>0</v>
      </c>
      <c r="Q34" s="47">
        <f t="shared" si="23"/>
        <v>0</v>
      </c>
      <c r="R34" s="47">
        <f t="shared" si="23"/>
        <v>0</v>
      </c>
      <c r="S34" s="47">
        <f t="shared" si="23"/>
        <v>0</v>
      </c>
      <c r="T34" s="47">
        <f t="shared" si="23"/>
        <v>0</v>
      </c>
      <c r="U34" s="48">
        <f t="shared" si="23"/>
        <v>0</v>
      </c>
      <c r="W34" s="38" t="e">
        <f t="shared" si="7"/>
        <v>#DIV/0!</v>
      </c>
      <c r="X34" s="1" t="str">
        <f t="shared" si="8"/>
        <v>KI</v>
      </c>
    </row>
    <row r="35" spans="1:24" x14ac:dyDescent="0.25">
      <c r="A35" s="11"/>
      <c r="B35" s="243" t="s">
        <v>29</v>
      </c>
      <c r="C35" s="313">
        <v>0.10175209731252557</v>
      </c>
      <c r="D35" s="408">
        <v>0.92</v>
      </c>
      <c r="E35" s="392" t="s">
        <v>19</v>
      </c>
      <c r="F35" s="389">
        <f t="shared" si="16"/>
        <v>0</v>
      </c>
      <c r="G35" s="316"/>
      <c r="H35" s="45">
        <f t="shared" si="5"/>
        <v>0</v>
      </c>
      <c r="I35" s="46"/>
      <c r="J35" s="47">
        <f t="shared" ref="J35:U35" si="24">J16*$C$35*$D$35*$G$35</f>
        <v>0</v>
      </c>
      <c r="K35" s="47">
        <f t="shared" si="24"/>
        <v>0</v>
      </c>
      <c r="L35" s="47">
        <f t="shared" si="24"/>
        <v>0</v>
      </c>
      <c r="M35" s="47">
        <f t="shared" si="24"/>
        <v>0</v>
      </c>
      <c r="N35" s="47">
        <f t="shared" si="24"/>
        <v>0</v>
      </c>
      <c r="O35" s="47">
        <f t="shared" si="24"/>
        <v>0</v>
      </c>
      <c r="P35" s="47">
        <f t="shared" si="24"/>
        <v>0</v>
      </c>
      <c r="Q35" s="47">
        <f t="shared" si="24"/>
        <v>0</v>
      </c>
      <c r="R35" s="47">
        <f t="shared" si="24"/>
        <v>0</v>
      </c>
      <c r="S35" s="47">
        <f t="shared" si="24"/>
        <v>0</v>
      </c>
      <c r="T35" s="47">
        <f t="shared" si="24"/>
        <v>0</v>
      </c>
      <c r="U35" s="48">
        <f t="shared" si="24"/>
        <v>0</v>
      </c>
      <c r="W35" s="38" t="e">
        <f t="shared" si="7"/>
        <v>#DIV/0!</v>
      </c>
      <c r="X35" s="1" t="str">
        <f t="shared" si="8"/>
        <v>KIS</v>
      </c>
    </row>
    <row r="36" spans="1:24" x14ac:dyDescent="0.25">
      <c r="A36" s="11"/>
      <c r="B36" s="246" t="s">
        <v>28</v>
      </c>
      <c r="C36" s="313"/>
      <c r="D36" s="408"/>
      <c r="E36" s="392" t="s">
        <v>19</v>
      </c>
      <c r="F36" s="389">
        <f t="shared" si="16"/>
        <v>0</v>
      </c>
      <c r="G36" s="316"/>
      <c r="H36" s="45">
        <f t="shared" si="5"/>
        <v>0</v>
      </c>
      <c r="I36" s="46"/>
      <c r="J36" s="47">
        <f t="shared" ref="J36:U36" si="25">J16*$C$36*$D$36*$G$36</f>
        <v>0</v>
      </c>
      <c r="K36" s="47">
        <f t="shared" si="25"/>
        <v>0</v>
      </c>
      <c r="L36" s="47">
        <f t="shared" si="25"/>
        <v>0</v>
      </c>
      <c r="M36" s="47">
        <f t="shared" si="25"/>
        <v>0</v>
      </c>
      <c r="N36" s="47">
        <f t="shared" si="25"/>
        <v>0</v>
      </c>
      <c r="O36" s="47">
        <f t="shared" si="25"/>
        <v>0</v>
      </c>
      <c r="P36" s="47">
        <f t="shared" si="25"/>
        <v>0</v>
      </c>
      <c r="Q36" s="47">
        <f t="shared" si="25"/>
        <v>0</v>
      </c>
      <c r="R36" s="47">
        <f t="shared" si="25"/>
        <v>0</v>
      </c>
      <c r="S36" s="47">
        <f t="shared" si="25"/>
        <v>0</v>
      </c>
      <c r="T36" s="47">
        <f t="shared" si="25"/>
        <v>0</v>
      </c>
      <c r="U36" s="48">
        <f t="shared" si="25"/>
        <v>0</v>
      </c>
      <c r="W36" s="38" t="e">
        <f t="shared" si="7"/>
        <v>#DIV/0!</v>
      </c>
      <c r="X36" s="1" t="str">
        <f t="shared" si="8"/>
        <v>KI stub</v>
      </c>
    </row>
    <row r="37" spans="1:24" x14ac:dyDescent="0.25">
      <c r="A37" s="11"/>
      <c r="B37" s="246" t="s">
        <v>31</v>
      </c>
      <c r="C37" s="313"/>
      <c r="D37" s="408"/>
      <c r="E37" s="392" t="s">
        <v>19</v>
      </c>
      <c r="F37" s="389">
        <f t="shared" si="16"/>
        <v>0</v>
      </c>
      <c r="G37" s="316"/>
      <c r="H37" s="45">
        <f t="shared" si="5"/>
        <v>0</v>
      </c>
      <c r="I37" s="46"/>
      <c r="J37" s="47">
        <f t="shared" ref="J37:U37" si="26">J16*$C$37*$D$37*$G$37</f>
        <v>0</v>
      </c>
      <c r="K37" s="47">
        <f t="shared" si="26"/>
        <v>0</v>
      </c>
      <c r="L37" s="47">
        <f t="shared" si="26"/>
        <v>0</v>
      </c>
      <c r="M37" s="47">
        <f t="shared" si="26"/>
        <v>0</v>
      </c>
      <c r="N37" s="47">
        <f t="shared" si="26"/>
        <v>0</v>
      </c>
      <c r="O37" s="47">
        <f t="shared" si="26"/>
        <v>0</v>
      </c>
      <c r="P37" s="47">
        <f t="shared" si="26"/>
        <v>0</v>
      </c>
      <c r="Q37" s="47">
        <f t="shared" si="26"/>
        <v>0</v>
      </c>
      <c r="R37" s="47">
        <f t="shared" si="26"/>
        <v>0</v>
      </c>
      <c r="S37" s="47">
        <f t="shared" si="26"/>
        <v>0</v>
      </c>
      <c r="T37" s="47">
        <f t="shared" si="26"/>
        <v>0</v>
      </c>
      <c r="U37" s="48">
        <f t="shared" si="26"/>
        <v>0</v>
      </c>
      <c r="W37" s="38" t="e">
        <f t="shared" si="7"/>
        <v>#DIV/0!</v>
      </c>
      <c r="X37" s="1" t="str">
        <f t="shared" si="8"/>
        <v>CF+</v>
      </c>
    </row>
    <row r="38" spans="1:24" x14ac:dyDescent="0.25">
      <c r="A38" s="11"/>
      <c r="B38" s="246" t="s">
        <v>32</v>
      </c>
      <c r="C38" s="313"/>
      <c r="D38" s="408"/>
      <c r="E38" s="392" t="s">
        <v>19</v>
      </c>
      <c r="F38" s="389">
        <f t="shared" si="16"/>
        <v>0</v>
      </c>
      <c r="G38" s="316"/>
      <c r="H38" s="45">
        <f t="shared" si="5"/>
        <v>0</v>
      </c>
      <c r="I38" s="46"/>
      <c r="J38" s="47">
        <f t="shared" ref="J38:U38" si="27">J16*$C$38*$D$38*$G$38</f>
        <v>0</v>
      </c>
      <c r="K38" s="47">
        <f t="shared" si="27"/>
        <v>0</v>
      </c>
      <c r="L38" s="47">
        <f t="shared" si="27"/>
        <v>0</v>
      </c>
      <c r="M38" s="47">
        <f t="shared" si="27"/>
        <v>0</v>
      </c>
      <c r="N38" s="47">
        <f t="shared" si="27"/>
        <v>0</v>
      </c>
      <c r="O38" s="47">
        <f t="shared" si="27"/>
        <v>0</v>
      </c>
      <c r="P38" s="47">
        <f t="shared" si="27"/>
        <v>0</v>
      </c>
      <c r="Q38" s="47">
        <f t="shared" si="27"/>
        <v>0</v>
      </c>
      <c r="R38" s="47">
        <f t="shared" si="27"/>
        <v>0</v>
      </c>
      <c r="S38" s="47">
        <f t="shared" si="27"/>
        <v>0</v>
      </c>
      <c r="T38" s="47">
        <f t="shared" si="27"/>
        <v>0</v>
      </c>
      <c r="U38" s="48">
        <f t="shared" si="27"/>
        <v>0</v>
      </c>
      <c r="W38" s="38" t="e">
        <f t="shared" si="7"/>
        <v>#DIV/0!</v>
      </c>
      <c r="X38" s="1" t="str">
        <f t="shared" si="8"/>
        <v>CF-</v>
      </c>
    </row>
    <row r="39" spans="1:24" x14ac:dyDescent="0.25">
      <c r="A39" s="11"/>
      <c r="B39" s="246" t="s">
        <v>33</v>
      </c>
      <c r="C39" s="313"/>
      <c r="D39" s="408"/>
      <c r="E39" s="392" t="s">
        <v>19</v>
      </c>
      <c r="F39" s="389">
        <f t="shared" si="16"/>
        <v>0</v>
      </c>
      <c r="G39" s="316"/>
      <c r="H39" s="45">
        <f t="shared" si="5"/>
        <v>0</v>
      </c>
      <c r="I39" s="46"/>
      <c r="J39" s="47">
        <f t="shared" ref="J39:U39" si="28">J16*$C$39*$D$39*$G$39</f>
        <v>0</v>
      </c>
      <c r="K39" s="47">
        <f t="shared" si="28"/>
        <v>0</v>
      </c>
      <c r="L39" s="47">
        <f t="shared" si="28"/>
        <v>0</v>
      </c>
      <c r="M39" s="47">
        <f t="shared" si="28"/>
        <v>0</v>
      </c>
      <c r="N39" s="47">
        <f t="shared" si="28"/>
        <v>0</v>
      </c>
      <c r="O39" s="47">
        <f t="shared" si="28"/>
        <v>0</v>
      </c>
      <c r="P39" s="47">
        <f t="shared" si="28"/>
        <v>0</v>
      </c>
      <c r="Q39" s="47">
        <f t="shared" si="28"/>
        <v>0</v>
      </c>
      <c r="R39" s="47">
        <f t="shared" si="28"/>
        <v>0</v>
      </c>
      <c r="S39" s="47">
        <f t="shared" si="28"/>
        <v>0</v>
      </c>
      <c r="T39" s="47">
        <f t="shared" si="28"/>
        <v>0</v>
      </c>
      <c r="U39" s="48">
        <f t="shared" si="28"/>
        <v>0</v>
      </c>
      <c r="W39" s="38" t="e">
        <f t="shared" si="7"/>
        <v>#DIV/0!</v>
      </c>
      <c r="X39" s="1" t="str">
        <f t="shared" si="8"/>
        <v>CM</v>
      </c>
    </row>
    <row r="40" spans="1:24" x14ac:dyDescent="0.25">
      <c r="A40" s="11"/>
      <c r="B40" s="243" t="s">
        <v>35</v>
      </c>
      <c r="C40" s="313"/>
      <c r="D40" s="408"/>
      <c r="E40" s="392" t="s">
        <v>19</v>
      </c>
      <c r="F40" s="389">
        <f t="shared" si="16"/>
        <v>0</v>
      </c>
      <c r="G40" s="316"/>
      <c r="H40" s="45">
        <f t="shared" si="5"/>
        <v>0</v>
      </c>
      <c r="I40" s="46"/>
      <c r="J40" s="47">
        <f t="shared" ref="J40:U40" si="29">J16*$C$40*$D$40*$G$40</f>
        <v>0</v>
      </c>
      <c r="K40" s="47">
        <f t="shared" si="29"/>
        <v>0</v>
      </c>
      <c r="L40" s="47">
        <f t="shared" si="29"/>
        <v>0</v>
      </c>
      <c r="M40" s="47">
        <f t="shared" si="29"/>
        <v>0</v>
      </c>
      <c r="N40" s="47">
        <f t="shared" si="29"/>
        <v>0</v>
      </c>
      <c r="O40" s="47">
        <f t="shared" si="29"/>
        <v>0</v>
      </c>
      <c r="P40" s="47">
        <f t="shared" si="29"/>
        <v>0</v>
      </c>
      <c r="Q40" s="47">
        <f t="shared" si="29"/>
        <v>0</v>
      </c>
      <c r="R40" s="47">
        <f t="shared" si="29"/>
        <v>0</v>
      </c>
      <c r="S40" s="47">
        <f t="shared" si="29"/>
        <v>0</v>
      </c>
      <c r="T40" s="47">
        <f t="shared" si="29"/>
        <v>0</v>
      </c>
      <c r="U40" s="48">
        <f t="shared" si="29"/>
        <v>0</v>
      </c>
      <c r="W40" s="38" t="e">
        <f t="shared" si="7"/>
        <v>#DIV/0!</v>
      </c>
      <c r="X40" s="1" t="str">
        <f t="shared" si="8"/>
        <v>Euc A</v>
      </c>
    </row>
    <row r="41" spans="1:24" x14ac:dyDescent="0.25">
      <c r="A41" s="11"/>
      <c r="B41" s="243" t="s">
        <v>36</v>
      </c>
      <c r="C41" s="313"/>
      <c r="D41" s="408"/>
      <c r="E41" s="392"/>
      <c r="F41" s="389"/>
      <c r="G41" s="316"/>
      <c r="H41" s="45">
        <f t="shared" si="5"/>
        <v>0</v>
      </c>
      <c r="I41" s="46"/>
      <c r="J41" s="47">
        <f t="shared" ref="J41:U41" si="30">J16*$C$41*$D$41*$G$41</f>
        <v>0</v>
      </c>
      <c r="K41" s="47">
        <f t="shared" si="30"/>
        <v>0</v>
      </c>
      <c r="L41" s="47">
        <f t="shared" si="30"/>
        <v>0</v>
      </c>
      <c r="M41" s="47">
        <f t="shared" si="30"/>
        <v>0</v>
      </c>
      <c r="N41" s="47">
        <f t="shared" si="30"/>
        <v>0</v>
      </c>
      <c r="O41" s="47">
        <f t="shared" si="30"/>
        <v>0</v>
      </c>
      <c r="P41" s="47">
        <f t="shared" si="30"/>
        <v>0</v>
      </c>
      <c r="Q41" s="47">
        <f t="shared" si="30"/>
        <v>0</v>
      </c>
      <c r="R41" s="47">
        <f t="shared" si="30"/>
        <v>0</v>
      </c>
      <c r="S41" s="47">
        <f t="shared" si="30"/>
        <v>0</v>
      </c>
      <c r="T41" s="47">
        <f t="shared" si="30"/>
        <v>0</v>
      </c>
      <c r="U41" s="48">
        <f t="shared" si="30"/>
        <v>0</v>
      </c>
      <c r="W41" s="38" t="e">
        <f t="shared" si="7"/>
        <v>#DIV/0!</v>
      </c>
      <c r="X41" s="1" t="str">
        <f t="shared" si="8"/>
        <v>Euc K</v>
      </c>
    </row>
    <row r="42" spans="1:24" ht="15.75" thickBot="1" x14ac:dyDescent="0.3">
      <c r="A42" s="11"/>
      <c r="B42" s="49"/>
      <c r="C42" s="314">
        <f>SUM(C20:C41)</f>
        <v>1.0022978496041302</v>
      </c>
      <c r="D42" s="51"/>
      <c r="E42" s="52"/>
      <c r="F42" s="53"/>
      <c r="G42" s="54"/>
      <c r="H42" s="54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318"/>
    </row>
    <row r="43" spans="1:24" ht="15.75" thickTop="1" x14ac:dyDescent="0.25">
      <c r="A43" s="11"/>
      <c r="B43" s="55" t="s">
        <v>39</v>
      </c>
      <c r="C43" s="51">
        <f>SUMIF(E20:E41,"JAS",C20:C41)</f>
        <v>0.76817351661543376</v>
      </c>
      <c r="D43" s="51"/>
      <c r="E43" s="52"/>
      <c r="F43" s="53"/>
      <c r="G43" s="54"/>
      <c r="H43" s="45">
        <f>SUM(J43:U43)</f>
        <v>0</v>
      </c>
      <c r="I43" s="46"/>
      <c r="J43" s="56">
        <f t="shared" ref="J43:U43" si="31">SUM(J28:J41)</f>
        <v>0</v>
      </c>
      <c r="K43" s="56">
        <f t="shared" si="31"/>
        <v>0</v>
      </c>
      <c r="L43" s="56">
        <f t="shared" si="31"/>
        <v>0</v>
      </c>
      <c r="M43" s="56">
        <f t="shared" si="31"/>
        <v>0</v>
      </c>
      <c r="N43" s="56">
        <f t="shared" si="31"/>
        <v>0</v>
      </c>
      <c r="O43" s="56">
        <f t="shared" si="31"/>
        <v>0</v>
      </c>
      <c r="P43" s="56">
        <f t="shared" si="31"/>
        <v>0</v>
      </c>
      <c r="Q43" s="56">
        <f t="shared" si="31"/>
        <v>0</v>
      </c>
      <c r="R43" s="56">
        <f t="shared" si="31"/>
        <v>0</v>
      </c>
      <c r="S43" s="56">
        <f t="shared" si="31"/>
        <v>0</v>
      </c>
      <c r="T43" s="56">
        <f t="shared" si="31"/>
        <v>0</v>
      </c>
      <c r="U43" s="57">
        <f t="shared" si="31"/>
        <v>0</v>
      </c>
      <c r="W43" s="38" t="e">
        <f>SUM(W20:W42)</f>
        <v>#DIV/0!</v>
      </c>
    </row>
    <row r="44" spans="1:24" x14ac:dyDescent="0.25">
      <c r="A44" s="11"/>
      <c r="B44" s="55" t="s">
        <v>40</v>
      </c>
      <c r="C44" s="51">
        <f>SUMIF(E20:E41,"Tonnes",C20:C41)</f>
        <v>0.23412433298869639</v>
      </c>
      <c r="D44" s="51"/>
      <c r="E44" s="52"/>
      <c r="F44" s="53"/>
      <c r="G44" s="54"/>
      <c r="H44" s="45">
        <f>SUM(J44:U44)</f>
        <v>0</v>
      </c>
      <c r="I44" s="46"/>
      <c r="J44" s="56">
        <f t="shared" ref="J44:U44" si="32">SUM(J20:J27)</f>
        <v>0</v>
      </c>
      <c r="K44" s="56">
        <f t="shared" si="32"/>
        <v>0</v>
      </c>
      <c r="L44" s="56">
        <f t="shared" si="32"/>
        <v>0</v>
      </c>
      <c r="M44" s="56">
        <f t="shared" si="32"/>
        <v>0</v>
      </c>
      <c r="N44" s="56">
        <f t="shared" si="32"/>
        <v>0</v>
      </c>
      <c r="O44" s="56">
        <f t="shared" si="32"/>
        <v>0</v>
      </c>
      <c r="P44" s="56">
        <f t="shared" si="32"/>
        <v>0</v>
      </c>
      <c r="Q44" s="56">
        <f t="shared" si="32"/>
        <v>0</v>
      </c>
      <c r="R44" s="56">
        <f t="shared" si="32"/>
        <v>0</v>
      </c>
      <c r="S44" s="56">
        <f t="shared" si="32"/>
        <v>0</v>
      </c>
      <c r="T44" s="56">
        <f t="shared" si="32"/>
        <v>0</v>
      </c>
      <c r="U44" s="57">
        <f t="shared" si="32"/>
        <v>0</v>
      </c>
    </row>
    <row r="45" spans="1:24" ht="15.75" thickBot="1" x14ac:dyDescent="0.3">
      <c r="A45" s="11"/>
      <c r="B45" s="49"/>
      <c r="C45" s="51"/>
      <c r="D45" s="51"/>
      <c r="E45" s="52"/>
      <c r="F45" s="53"/>
      <c r="G45" s="54"/>
      <c r="H45" s="54"/>
      <c r="I45" s="46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8"/>
    </row>
    <row r="46" spans="1:24" ht="16.5" thickTop="1" thickBot="1" x14ac:dyDescent="0.3">
      <c r="A46" s="11"/>
      <c r="B46" s="59" t="s">
        <v>18</v>
      </c>
      <c r="C46" s="60"/>
      <c r="D46" s="60"/>
      <c r="E46" s="61"/>
      <c r="F46" s="62"/>
      <c r="G46" s="63" t="e">
        <f>H46/W16</f>
        <v>#DIV/0!</v>
      </c>
      <c r="H46" s="64">
        <f>SUM(H20:H41)</f>
        <v>0</v>
      </c>
      <c r="I46" s="65"/>
      <c r="J46" s="64">
        <f t="shared" ref="J46:U46" si="33">SUM(J20:J41)</f>
        <v>0</v>
      </c>
      <c r="K46" s="64">
        <f t="shared" si="33"/>
        <v>0</v>
      </c>
      <c r="L46" s="64">
        <f t="shared" si="33"/>
        <v>0</v>
      </c>
      <c r="M46" s="64">
        <f t="shared" si="33"/>
        <v>0</v>
      </c>
      <c r="N46" s="64">
        <f t="shared" si="33"/>
        <v>0</v>
      </c>
      <c r="O46" s="64">
        <f t="shared" si="33"/>
        <v>0</v>
      </c>
      <c r="P46" s="64">
        <f t="shared" si="33"/>
        <v>0</v>
      </c>
      <c r="Q46" s="64">
        <f t="shared" si="33"/>
        <v>0</v>
      </c>
      <c r="R46" s="64">
        <f t="shared" si="33"/>
        <v>0</v>
      </c>
      <c r="S46" s="64">
        <f t="shared" si="33"/>
        <v>0</v>
      </c>
      <c r="T46" s="64">
        <f t="shared" si="33"/>
        <v>0</v>
      </c>
      <c r="U46" s="66">
        <f t="shared" si="33"/>
        <v>0</v>
      </c>
      <c r="W46" s="67">
        <f>SUM(J46:U46)</f>
        <v>0</v>
      </c>
    </row>
    <row r="47" spans="1:24" x14ac:dyDescent="0.25">
      <c r="A47" s="11"/>
      <c r="B47" s="68"/>
      <c r="G47" s="52"/>
      <c r="H47" s="69"/>
      <c r="I47" s="69"/>
    </row>
    <row r="48" spans="1:24" ht="16.5" thickBot="1" x14ac:dyDescent="0.3">
      <c r="A48" s="11"/>
      <c r="B48" s="70" t="s">
        <v>41</v>
      </c>
      <c r="C48" s="80" t="s">
        <v>44</v>
      </c>
      <c r="D48" s="42" t="s">
        <v>220</v>
      </c>
    </row>
    <row r="49" spans="1:23" ht="15.75" thickBot="1" x14ac:dyDescent="0.3">
      <c r="A49" s="11"/>
      <c r="B49" s="71" t="s">
        <v>42</v>
      </c>
      <c r="C49" s="321" t="s">
        <v>193</v>
      </c>
      <c r="D49" s="324" t="s">
        <v>53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40"/>
    </row>
    <row r="50" spans="1:23" ht="15.75" thickBot="1" x14ac:dyDescent="0.3">
      <c r="A50" s="11"/>
      <c r="B50" s="72"/>
      <c r="C50" s="319"/>
      <c r="D50" s="43"/>
      <c r="E50" s="43"/>
      <c r="F50" s="43"/>
      <c r="G50" s="43"/>
      <c r="H50" s="42" t="s">
        <v>18</v>
      </c>
      <c r="I50" s="43"/>
      <c r="J50" s="178">
        <v>45658</v>
      </c>
      <c r="K50" s="178">
        <v>45689</v>
      </c>
      <c r="L50" s="178">
        <v>45717</v>
      </c>
      <c r="M50" s="178">
        <v>45748</v>
      </c>
      <c r="N50" s="178">
        <v>45778</v>
      </c>
      <c r="O50" s="178">
        <v>45809</v>
      </c>
      <c r="P50" s="178">
        <v>45839</v>
      </c>
      <c r="Q50" s="178">
        <v>45870</v>
      </c>
      <c r="R50" s="178">
        <v>45901</v>
      </c>
      <c r="S50" s="178">
        <v>45931</v>
      </c>
      <c r="T50" s="178">
        <v>45962</v>
      </c>
      <c r="U50" s="178">
        <v>45992</v>
      </c>
    </row>
    <row r="51" spans="1:23" ht="16.5" thickTop="1" thickBot="1" x14ac:dyDescent="0.3">
      <c r="A51" s="11"/>
      <c r="B51" s="73"/>
      <c r="C51" s="320"/>
      <c r="D51" s="74"/>
      <c r="E51" s="74"/>
      <c r="F51" s="74"/>
      <c r="G51" s="74" t="e">
        <f>H51/W16</f>
        <v>#DIV/0!</v>
      </c>
      <c r="H51" s="75">
        <f>SUM(J51:U51)</f>
        <v>0</v>
      </c>
      <c r="I51" s="76"/>
      <c r="J51" s="77">
        <f t="shared" ref="J51:U51" si="34">J16*J13</f>
        <v>0</v>
      </c>
      <c r="K51" s="77">
        <f t="shared" si="34"/>
        <v>0</v>
      </c>
      <c r="L51" s="77">
        <f t="shared" si="34"/>
        <v>0</v>
      </c>
      <c r="M51" s="77">
        <f t="shared" si="34"/>
        <v>0</v>
      </c>
      <c r="N51" s="77">
        <f t="shared" si="34"/>
        <v>0</v>
      </c>
      <c r="O51" s="77">
        <f t="shared" si="34"/>
        <v>0</v>
      </c>
      <c r="P51" s="77">
        <f t="shared" si="34"/>
        <v>0</v>
      </c>
      <c r="Q51" s="77">
        <f t="shared" si="34"/>
        <v>0</v>
      </c>
      <c r="R51" s="77">
        <f t="shared" si="34"/>
        <v>0</v>
      </c>
      <c r="S51" s="77">
        <f t="shared" si="34"/>
        <v>0</v>
      </c>
      <c r="T51" s="77">
        <f t="shared" si="34"/>
        <v>0</v>
      </c>
      <c r="U51" s="78">
        <f t="shared" si="34"/>
        <v>0</v>
      </c>
      <c r="W51" s="67">
        <f>SUM(J51:U51)</f>
        <v>0</v>
      </c>
    </row>
    <row r="52" spans="1:23" x14ac:dyDescent="0.25">
      <c r="A52" s="11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</row>
    <row r="53" spans="1:23" ht="15.75" thickBot="1" x14ac:dyDescent="0.3">
      <c r="A53" s="11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</row>
    <row r="54" spans="1:23" ht="15.75" thickBot="1" x14ac:dyDescent="0.3">
      <c r="A54" s="11"/>
      <c r="B54" s="71" t="s">
        <v>43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40"/>
    </row>
    <row r="55" spans="1:23" x14ac:dyDescent="0.25">
      <c r="A55" s="11"/>
      <c r="B55" s="41" t="s">
        <v>13</v>
      </c>
      <c r="C55" s="80" t="s">
        <v>44</v>
      </c>
      <c r="D55" s="42" t="s">
        <v>220</v>
      </c>
      <c r="E55" s="80" t="s">
        <v>45</v>
      </c>
      <c r="F55" s="80" t="s">
        <v>45</v>
      </c>
      <c r="G55" s="80" t="s">
        <v>46</v>
      </c>
      <c r="H55" s="81" t="s">
        <v>18</v>
      </c>
      <c r="I55" s="43"/>
      <c r="J55" s="178">
        <v>45658</v>
      </c>
      <c r="K55" s="178">
        <v>45689</v>
      </c>
      <c r="L55" s="178">
        <v>45717</v>
      </c>
      <c r="M55" s="178">
        <v>45748</v>
      </c>
      <c r="N55" s="178">
        <v>45778</v>
      </c>
      <c r="O55" s="178">
        <v>45809</v>
      </c>
      <c r="P55" s="178">
        <v>45839</v>
      </c>
      <c r="Q55" s="178">
        <v>45870</v>
      </c>
      <c r="R55" s="178">
        <v>45901</v>
      </c>
      <c r="S55" s="178">
        <v>45931</v>
      </c>
      <c r="T55" s="178">
        <v>45962</v>
      </c>
      <c r="U55" s="178">
        <v>45992</v>
      </c>
    </row>
    <row r="56" spans="1:23" x14ac:dyDescent="0.25">
      <c r="A56" s="11"/>
      <c r="B56" s="203" t="s">
        <v>20</v>
      </c>
      <c r="C56" s="321" t="s">
        <v>192</v>
      </c>
      <c r="D56" s="83" t="s">
        <v>47</v>
      </c>
      <c r="E56" s="393" t="s">
        <v>172</v>
      </c>
      <c r="F56" s="394"/>
      <c r="G56" s="360"/>
      <c r="H56" s="82">
        <f t="shared" ref="H56:H77" si="35">SUM(J56:U56)</f>
        <v>0</v>
      </c>
      <c r="I56" s="54"/>
      <c r="J56" s="325">
        <f t="shared" ref="J56:U56" si="36">IF($C20&gt;0,(J$16*$C20)*$G56,0)</f>
        <v>0</v>
      </c>
      <c r="K56" s="325">
        <f t="shared" si="36"/>
        <v>0</v>
      </c>
      <c r="L56" s="325">
        <f t="shared" si="36"/>
        <v>0</v>
      </c>
      <c r="M56" s="325">
        <f t="shared" si="36"/>
        <v>0</v>
      </c>
      <c r="N56" s="325">
        <f t="shared" si="36"/>
        <v>0</v>
      </c>
      <c r="O56" s="325">
        <f t="shared" si="36"/>
        <v>0</v>
      </c>
      <c r="P56" s="325">
        <f t="shared" si="36"/>
        <v>0</v>
      </c>
      <c r="Q56" s="325">
        <f t="shared" si="36"/>
        <v>0</v>
      </c>
      <c r="R56" s="325">
        <f t="shared" si="36"/>
        <v>0</v>
      </c>
      <c r="S56" s="325">
        <f t="shared" si="36"/>
        <v>0</v>
      </c>
      <c r="T56" s="325">
        <f t="shared" si="36"/>
        <v>0</v>
      </c>
      <c r="U56" s="326">
        <f t="shared" si="36"/>
        <v>0</v>
      </c>
    </row>
    <row r="57" spans="1:23" x14ac:dyDescent="0.25">
      <c r="A57" s="11"/>
      <c r="B57" s="102" t="s">
        <v>22</v>
      </c>
      <c r="C57" s="322" t="s">
        <v>192</v>
      </c>
      <c r="D57" s="207" t="s">
        <v>47</v>
      </c>
      <c r="E57" s="395" t="s">
        <v>172</v>
      </c>
      <c r="F57" s="361"/>
      <c r="G57" s="360"/>
      <c r="H57" s="82">
        <f t="shared" si="35"/>
        <v>0</v>
      </c>
      <c r="I57" s="54"/>
      <c r="J57" s="325">
        <f t="shared" ref="J57:U57" si="37">IF($C21&gt;0,(J$16*$C21)*$G57,0)</f>
        <v>0</v>
      </c>
      <c r="K57" s="325">
        <f t="shared" si="37"/>
        <v>0</v>
      </c>
      <c r="L57" s="325">
        <f t="shared" si="37"/>
        <v>0</v>
      </c>
      <c r="M57" s="325">
        <f t="shared" si="37"/>
        <v>0</v>
      </c>
      <c r="N57" s="325">
        <f t="shared" si="37"/>
        <v>0</v>
      </c>
      <c r="O57" s="325">
        <f t="shared" si="37"/>
        <v>0</v>
      </c>
      <c r="P57" s="325">
        <f t="shared" si="37"/>
        <v>0</v>
      </c>
      <c r="Q57" s="325">
        <f t="shared" si="37"/>
        <v>0</v>
      </c>
      <c r="R57" s="325">
        <f t="shared" si="37"/>
        <v>0</v>
      </c>
      <c r="S57" s="325">
        <f t="shared" si="37"/>
        <v>0</v>
      </c>
      <c r="T57" s="325">
        <f t="shared" si="37"/>
        <v>0</v>
      </c>
      <c r="U57" s="326">
        <f t="shared" si="37"/>
        <v>0</v>
      </c>
    </row>
    <row r="58" spans="1:23" x14ac:dyDescent="0.25">
      <c r="A58" s="11"/>
      <c r="B58" s="102" t="s">
        <v>25</v>
      </c>
      <c r="C58" s="322" t="s">
        <v>192</v>
      </c>
      <c r="D58" s="207" t="s">
        <v>47</v>
      </c>
      <c r="E58" s="395" t="s">
        <v>172</v>
      </c>
      <c r="F58" s="396"/>
      <c r="G58" s="360"/>
      <c r="H58" s="82">
        <f t="shared" si="35"/>
        <v>0</v>
      </c>
      <c r="I58" s="54"/>
      <c r="J58" s="325">
        <f t="shared" ref="J58:U58" si="38">IF($C22&gt;0,(J$16*$C22)*$G58,0)</f>
        <v>0</v>
      </c>
      <c r="K58" s="325">
        <f t="shared" si="38"/>
        <v>0</v>
      </c>
      <c r="L58" s="325">
        <f t="shared" si="38"/>
        <v>0</v>
      </c>
      <c r="M58" s="325">
        <f t="shared" si="38"/>
        <v>0</v>
      </c>
      <c r="N58" s="325">
        <f t="shared" si="38"/>
        <v>0</v>
      </c>
      <c r="O58" s="325">
        <f t="shared" si="38"/>
        <v>0</v>
      </c>
      <c r="P58" s="325">
        <f t="shared" si="38"/>
        <v>0</v>
      </c>
      <c r="Q58" s="325">
        <f t="shared" si="38"/>
        <v>0</v>
      </c>
      <c r="R58" s="325">
        <f t="shared" si="38"/>
        <v>0</v>
      </c>
      <c r="S58" s="325">
        <f t="shared" si="38"/>
        <v>0</v>
      </c>
      <c r="T58" s="325">
        <f t="shared" si="38"/>
        <v>0</v>
      </c>
      <c r="U58" s="326">
        <f t="shared" si="38"/>
        <v>0</v>
      </c>
    </row>
    <row r="59" spans="1:23" x14ac:dyDescent="0.25">
      <c r="A59" s="11"/>
      <c r="B59" s="102" t="s">
        <v>30</v>
      </c>
      <c r="C59" s="322" t="s">
        <v>192</v>
      </c>
      <c r="D59" s="207" t="s">
        <v>47</v>
      </c>
      <c r="E59" s="395" t="s">
        <v>172</v>
      </c>
      <c r="F59" s="396"/>
      <c r="G59" s="360"/>
      <c r="H59" s="82">
        <f t="shared" si="35"/>
        <v>0</v>
      </c>
      <c r="I59" s="54"/>
      <c r="J59" s="325">
        <f t="shared" ref="J59:U59" si="39">IF($C23&gt;0,(J$16*$C23)*$G59,0)</f>
        <v>0</v>
      </c>
      <c r="K59" s="325">
        <f t="shared" si="39"/>
        <v>0</v>
      </c>
      <c r="L59" s="325">
        <f t="shared" si="39"/>
        <v>0</v>
      </c>
      <c r="M59" s="325">
        <f t="shared" si="39"/>
        <v>0</v>
      </c>
      <c r="N59" s="325">
        <f t="shared" si="39"/>
        <v>0</v>
      </c>
      <c r="O59" s="325">
        <f t="shared" si="39"/>
        <v>0</v>
      </c>
      <c r="P59" s="325">
        <f t="shared" si="39"/>
        <v>0</v>
      </c>
      <c r="Q59" s="325">
        <f t="shared" si="39"/>
        <v>0</v>
      </c>
      <c r="R59" s="325">
        <f t="shared" si="39"/>
        <v>0</v>
      </c>
      <c r="S59" s="325">
        <f t="shared" si="39"/>
        <v>0</v>
      </c>
      <c r="T59" s="325">
        <f t="shared" si="39"/>
        <v>0</v>
      </c>
      <c r="U59" s="326">
        <f t="shared" si="39"/>
        <v>0</v>
      </c>
    </row>
    <row r="60" spans="1:23" x14ac:dyDescent="0.25">
      <c r="A60" s="11"/>
      <c r="B60" s="102" t="s">
        <v>222</v>
      </c>
      <c r="C60" s="322" t="s">
        <v>192</v>
      </c>
      <c r="D60" s="207" t="s">
        <v>47</v>
      </c>
      <c r="E60" s="395" t="s">
        <v>172</v>
      </c>
      <c r="F60" s="396"/>
      <c r="G60" s="360"/>
      <c r="H60" s="82">
        <f t="shared" si="35"/>
        <v>0</v>
      </c>
      <c r="I60" s="54"/>
      <c r="J60" s="325">
        <f t="shared" ref="J60:U60" si="40">IF($C24&gt;0,(J$16*$C24)*$G60,0)</f>
        <v>0</v>
      </c>
      <c r="K60" s="325">
        <f t="shared" si="40"/>
        <v>0</v>
      </c>
      <c r="L60" s="325">
        <f t="shared" si="40"/>
        <v>0</v>
      </c>
      <c r="M60" s="325">
        <f t="shared" si="40"/>
        <v>0</v>
      </c>
      <c r="N60" s="325">
        <f t="shared" si="40"/>
        <v>0</v>
      </c>
      <c r="O60" s="325">
        <f t="shared" si="40"/>
        <v>0</v>
      </c>
      <c r="P60" s="325">
        <f t="shared" si="40"/>
        <v>0</v>
      </c>
      <c r="Q60" s="325">
        <f t="shared" si="40"/>
        <v>0</v>
      </c>
      <c r="R60" s="325">
        <f t="shared" si="40"/>
        <v>0</v>
      </c>
      <c r="S60" s="325">
        <f t="shared" si="40"/>
        <v>0</v>
      </c>
      <c r="T60" s="325">
        <f t="shared" si="40"/>
        <v>0</v>
      </c>
      <c r="U60" s="326">
        <f t="shared" si="40"/>
        <v>0</v>
      </c>
    </row>
    <row r="61" spans="1:23" x14ac:dyDescent="0.25">
      <c r="A61" s="11"/>
      <c r="B61" s="102" t="s">
        <v>34</v>
      </c>
      <c r="C61" s="322" t="s">
        <v>192</v>
      </c>
      <c r="D61" s="207" t="s">
        <v>47</v>
      </c>
      <c r="E61" s="395" t="s">
        <v>172</v>
      </c>
      <c r="F61" s="396"/>
      <c r="G61" s="360"/>
      <c r="H61" s="82">
        <f t="shared" si="35"/>
        <v>0</v>
      </c>
      <c r="I61" s="54"/>
      <c r="J61" s="325">
        <f t="shared" ref="J61:U61" si="41">IF($C25&gt;0,(J$16*$C25)*$G61,0)</f>
        <v>0</v>
      </c>
      <c r="K61" s="325">
        <f t="shared" si="41"/>
        <v>0</v>
      </c>
      <c r="L61" s="325">
        <f t="shared" si="41"/>
        <v>0</v>
      </c>
      <c r="M61" s="325">
        <f t="shared" si="41"/>
        <v>0</v>
      </c>
      <c r="N61" s="325">
        <f t="shared" si="41"/>
        <v>0</v>
      </c>
      <c r="O61" s="325">
        <f t="shared" si="41"/>
        <v>0</v>
      </c>
      <c r="P61" s="325">
        <f t="shared" si="41"/>
        <v>0</v>
      </c>
      <c r="Q61" s="325">
        <f t="shared" si="41"/>
        <v>0</v>
      </c>
      <c r="R61" s="325">
        <f t="shared" si="41"/>
        <v>0</v>
      </c>
      <c r="S61" s="325">
        <f t="shared" si="41"/>
        <v>0</v>
      </c>
      <c r="T61" s="325">
        <f t="shared" si="41"/>
        <v>0</v>
      </c>
      <c r="U61" s="326">
        <f t="shared" si="41"/>
        <v>0</v>
      </c>
    </row>
    <row r="62" spans="1:23" x14ac:dyDescent="0.25">
      <c r="A62" s="11"/>
      <c r="B62" s="102" t="s">
        <v>37</v>
      </c>
      <c r="C62" s="322" t="s">
        <v>192</v>
      </c>
      <c r="D62" s="207" t="s">
        <v>47</v>
      </c>
      <c r="E62" s="395" t="s">
        <v>172</v>
      </c>
      <c r="F62" s="396"/>
      <c r="G62" s="360"/>
      <c r="H62" s="82">
        <f t="shared" si="35"/>
        <v>0</v>
      </c>
      <c r="I62" s="54"/>
      <c r="J62" s="325">
        <f t="shared" ref="J62:U62" si="42">IF($C26&gt;0,(J$16*$C26)*$G62,0)</f>
        <v>0</v>
      </c>
      <c r="K62" s="325">
        <f t="shared" si="42"/>
        <v>0</v>
      </c>
      <c r="L62" s="325">
        <f t="shared" si="42"/>
        <v>0</v>
      </c>
      <c r="M62" s="325">
        <f t="shared" si="42"/>
        <v>0</v>
      </c>
      <c r="N62" s="325">
        <f t="shared" si="42"/>
        <v>0</v>
      </c>
      <c r="O62" s="325">
        <f t="shared" si="42"/>
        <v>0</v>
      </c>
      <c r="P62" s="325">
        <f t="shared" si="42"/>
        <v>0</v>
      </c>
      <c r="Q62" s="325">
        <f t="shared" si="42"/>
        <v>0</v>
      </c>
      <c r="R62" s="325">
        <f t="shared" si="42"/>
        <v>0</v>
      </c>
      <c r="S62" s="325">
        <f t="shared" si="42"/>
        <v>0</v>
      </c>
      <c r="T62" s="325">
        <f t="shared" si="42"/>
        <v>0</v>
      </c>
      <c r="U62" s="326">
        <f t="shared" si="42"/>
        <v>0</v>
      </c>
    </row>
    <row r="63" spans="1:23" x14ac:dyDescent="0.25">
      <c r="A63" s="11"/>
      <c r="B63" s="102" t="s">
        <v>174</v>
      </c>
      <c r="C63" s="322" t="s">
        <v>192</v>
      </c>
      <c r="D63" s="207" t="s">
        <v>47</v>
      </c>
      <c r="E63" s="395" t="s">
        <v>172</v>
      </c>
      <c r="F63" s="396"/>
      <c r="G63" s="360"/>
      <c r="H63" s="82">
        <f t="shared" si="35"/>
        <v>0</v>
      </c>
      <c r="I63" s="54"/>
      <c r="J63" s="325">
        <f t="shared" ref="J63:U63" si="43">IF($C27&gt;0,(J$16*$C27)*$G63,0)</f>
        <v>0</v>
      </c>
      <c r="K63" s="325">
        <f t="shared" si="43"/>
        <v>0</v>
      </c>
      <c r="L63" s="325">
        <f t="shared" si="43"/>
        <v>0</v>
      </c>
      <c r="M63" s="325">
        <f t="shared" si="43"/>
        <v>0</v>
      </c>
      <c r="N63" s="325">
        <f t="shared" si="43"/>
        <v>0</v>
      </c>
      <c r="O63" s="325">
        <f t="shared" si="43"/>
        <v>0</v>
      </c>
      <c r="P63" s="325">
        <f t="shared" si="43"/>
        <v>0</v>
      </c>
      <c r="Q63" s="325">
        <f t="shared" si="43"/>
        <v>0</v>
      </c>
      <c r="R63" s="325">
        <f t="shared" si="43"/>
        <v>0</v>
      </c>
      <c r="S63" s="325">
        <f t="shared" si="43"/>
        <v>0</v>
      </c>
      <c r="T63" s="325">
        <f t="shared" si="43"/>
        <v>0</v>
      </c>
      <c r="U63" s="326">
        <f t="shared" si="43"/>
        <v>0</v>
      </c>
    </row>
    <row r="64" spans="1:23" x14ac:dyDescent="0.25">
      <c r="A64" s="11"/>
      <c r="B64" s="102" t="s">
        <v>175</v>
      </c>
      <c r="C64" s="322" t="s">
        <v>192</v>
      </c>
      <c r="D64" s="207" t="s">
        <v>47</v>
      </c>
      <c r="E64" s="395" t="s">
        <v>221</v>
      </c>
      <c r="F64" s="396"/>
      <c r="G64" s="360"/>
      <c r="H64" s="82">
        <f t="shared" si="35"/>
        <v>0</v>
      </c>
      <c r="I64" s="54"/>
      <c r="J64" s="325">
        <f t="shared" ref="J64:U64" si="44">IF($C28&gt;0,(J$16*$C28)*$G64,0)</f>
        <v>0</v>
      </c>
      <c r="K64" s="325">
        <f t="shared" si="44"/>
        <v>0</v>
      </c>
      <c r="L64" s="325">
        <f t="shared" si="44"/>
        <v>0</v>
      </c>
      <c r="M64" s="325">
        <f t="shared" si="44"/>
        <v>0</v>
      </c>
      <c r="N64" s="325">
        <f t="shared" si="44"/>
        <v>0</v>
      </c>
      <c r="O64" s="325">
        <f t="shared" si="44"/>
        <v>0</v>
      </c>
      <c r="P64" s="325">
        <f t="shared" si="44"/>
        <v>0</v>
      </c>
      <c r="Q64" s="325">
        <f t="shared" si="44"/>
        <v>0</v>
      </c>
      <c r="R64" s="325">
        <f t="shared" si="44"/>
        <v>0</v>
      </c>
      <c r="S64" s="325">
        <f t="shared" si="44"/>
        <v>0</v>
      </c>
      <c r="T64" s="325">
        <f t="shared" si="44"/>
        <v>0</v>
      </c>
      <c r="U64" s="326">
        <f t="shared" si="44"/>
        <v>0</v>
      </c>
    </row>
    <row r="65" spans="1:23" x14ac:dyDescent="0.25">
      <c r="A65" s="11"/>
      <c r="B65" s="102" t="s">
        <v>176</v>
      </c>
      <c r="C65" s="322" t="s">
        <v>192</v>
      </c>
      <c r="D65" s="207" t="s">
        <v>47</v>
      </c>
      <c r="E65" s="395" t="s">
        <v>221</v>
      </c>
      <c r="F65" s="396"/>
      <c r="G65" s="360"/>
      <c r="H65" s="82">
        <f t="shared" si="35"/>
        <v>0</v>
      </c>
      <c r="I65" s="54"/>
      <c r="J65" s="325">
        <f t="shared" ref="J65:U65" si="45">IF($C29&gt;0,(J$16*$C29)*$G65,0)</f>
        <v>0</v>
      </c>
      <c r="K65" s="325">
        <f t="shared" si="45"/>
        <v>0</v>
      </c>
      <c r="L65" s="325">
        <f t="shared" si="45"/>
        <v>0</v>
      </c>
      <c r="M65" s="325">
        <f t="shared" si="45"/>
        <v>0</v>
      </c>
      <c r="N65" s="325">
        <f t="shared" si="45"/>
        <v>0</v>
      </c>
      <c r="O65" s="325">
        <f t="shared" si="45"/>
        <v>0</v>
      </c>
      <c r="P65" s="325">
        <f t="shared" si="45"/>
        <v>0</v>
      </c>
      <c r="Q65" s="325">
        <f t="shared" si="45"/>
        <v>0</v>
      </c>
      <c r="R65" s="325">
        <f t="shared" si="45"/>
        <v>0</v>
      </c>
      <c r="S65" s="325">
        <f t="shared" si="45"/>
        <v>0</v>
      </c>
      <c r="T65" s="325">
        <f t="shared" si="45"/>
        <v>0</v>
      </c>
      <c r="U65" s="326">
        <f t="shared" si="45"/>
        <v>0</v>
      </c>
    </row>
    <row r="66" spans="1:23" x14ac:dyDescent="0.25">
      <c r="A66" s="11"/>
      <c r="B66" s="102" t="s">
        <v>23</v>
      </c>
      <c r="C66" s="322" t="s">
        <v>192</v>
      </c>
      <c r="D66" s="207" t="s">
        <v>47</v>
      </c>
      <c r="E66" s="395" t="s">
        <v>221</v>
      </c>
      <c r="F66" s="396"/>
      <c r="G66" s="360"/>
      <c r="H66" s="82">
        <f t="shared" si="35"/>
        <v>0</v>
      </c>
      <c r="I66" s="54"/>
      <c r="J66" s="325">
        <f t="shared" ref="J66:U66" si="46">IF($C30&gt;0,(J$16*$C30)*$G66,0)</f>
        <v>0</v>
      </c>
      <c r="K66" s="325">
        <f t="shared" si="46"/>
        <v>0</v>
      </c>
      <c r="L66" s="325">
        <f t="shared" si="46"/>
        <v>0</v>
      </c>
      <c r="M66" s="325">
        <f t="shared" si="46"/>
        <v>0</v>
      </c>
      <c r="N66" s="325">
        <f t="shared" si="46"/>
        <v>0</v>
      </c>
      <c r="O66" s="325">
        <f t="shared" si="46"/>
        <v>0</v>
      </c>
      <c r="P66" s="325">
        <f t="shared" si="46"/>
        <v>0</v>
      </c>
      <c r="Q66" s="325">
        <f t="shared" si="46"/>
        <v>0</v>
      </c>
      <c r="R66" s="325">
        <f t="shared" si="46"/>
        <v>0</v>
      </c>
      <c r="S66" s="325">
        <f t="shared" si="46"/>
        <v>0</v>
      </c>
      <c r="T66" s="325">
        <f t="shared" si="46"/>
        <v>0</v>
      </c>
      <c r="U66" s="326">
        <f t="shared" si="46"/>
        <v>0</v>
      </c>
    </row>
    <row r="67" spans="1:23" x14ac:dyDescent="0.25">
      <c r="A67" s="11"/>
      <c r="B67" s="102" t="s">
        <v>24</v>
      </c>
      <c r="C67" s="322" t="s">
        <v>192</v>
      </c>
      <c r="D67" s="207" t="s">
        <v>47</v>
      </c>
      <c r="E67" s="395" t="s">
        <v>221</v>
      </c>
      <c r="F67" s="396"/>
      <c r="G67" s="360"/>
      <c r="H67" s="82">
        <f t="shared" si="35"/>
        <v>0</v>
      </c>
      <c r="I67" s="54"/>
      <c r="J67" s="325">
        <f t="shared" ref="J67:U67" si="47">IF($C31&gt;0,(J$16*$C31)*$G67,0)</f>
        <v>0</v>
      </c>
      <c r="K67" s="325">
        <f t="shared" si="47"/>
        <v>0</v>
      </c>
      <c r="L67" s="325">
        <f t="shared" si="47"/>
        <v>0</v>
      </c>
      <c r="M67" s="325">
        <f t="shared" si="47"/>
        <v>0</v>
      </c>
      <c r="N67" s="325">
        <f t="shared" si="47"/>
        <v>0</v>
      </c>
      <c r="O67" s="325">
        <f t="shared" si="47"/>
        <v>0</v>
      </c>
      <c r="P67" s="325">
        <f t="shared" si="47"/>
        <v>0</v>
      </c>
      <c r="Q67" s="325">
        <f t="shared" si="47"/>
        <v>0</v>
      </c>
      <c r="R67" s="325">
        <f t="shared" si="47"/>
        <v>0</v>
      </c>
      <c r="S67" s="325">
        <f t="shared" si="47"/>
        <v>0</v>
      </c>
      <c r="T67" s="325">
        <f t="shared" si="47"/>
        <v>0</v>
      </c>
      <c r="U67" s="326">
        <f t="shared" si="47"/>
        <v>0</v>
      </c>
    </row>
    <row r="68" spans="1:23" x14ac:dyDescent="0.25">
      <c r="A68" s="11"/>
      <c r="B68" s="212" t="s">
        <v>26</v>
      </c>
      <c r="C68" s="322" t="s">
        <v>192</v>
      </c>
      <c r="D68" s="207" t="s">
        <v>47</v>
      </c>
      <c r="E68" s="395" t="s">
        <v>221</v>
      </c>
      <c r="F68" s="396"/>
      <c r="G68" s="360"/>
      <c r="H68" s="82">
        <f t="shared" si="35"/>
        <v>0</v>
      </c>
      <c r="I68" s="54"/>
      <c r="J68" s="325">
        <f t="shared" ref="J68:U68" si="48">IF($C32&gt;0,(J$16*$C32)*$G68,0)</f>
        <v>0</v>
      </c>
      <c r="K68" s="325">
        <f t="shared" si="48"/>
        <v>0</v>
      </c>
      <c r="L68" s="325">
        <f t="shared" si="48"/>
        <v>0</v>
      </c>
      <c r="M68" s="325">
        <f t="shared" si="48"/>
        <v>0</v>
      </c>
      <c r="N68" s="325">
        <f t="shared" si="48"/>
        <v>0</v>
      </c>
      <c r="O68" s="325">
        <f t="shared" si="48"/>
        <v>0</v>
      </c>
      <c r="P68" s="325">
        <f t="shared" si="48"/>
        <v>0</v>
      </c>
      <c r="Q68" s="325">
        <f t="shared" si="48"/>
        <v>0</v>
      </c>
      <c r="R68" s="325">
        <f t="shared" si="48"/>
        <v>0</v>
      </c>
      <c r="S68" s="325">
        <f t="shared" si="48"/>
        <v>0</v>
      </c>
      <c r="T68" s="325">
        <f t="shared" si="48"/>
        <v>0</v>
      </c>
      <c r="U68" s="326">
        <f t="shared" si="48"/>
        <v>0</v>
      </c>
    </row>
    <row r="69" spans="1:23" x14ac:dyDescent="0.25">
      <c r="A69" s="11"/>
      <c r="B69" s="102" t="s">
        <v>27</v>
      </c>
      <c r="C69" s="322" t="s">
        <v>192</v>
      </c>
      <c r="D69" s="207" t="s">
        <v>47</v>
      </c>
      <c r="E69" s="395" t="s">
        <v>221</v>
      </c>
      <c r="F69" s="396"/>
      <c r="G69" s="360"/>
      <c r="H69" s="82">
        <f t="shared" si="35"/>
        <v>0</v>
      </c>
      <c r="I69" s="54"/>
      <c r="J69" s="325">
        <f t="shared" ref="J69:U69" si="49">IF($C33&gt;0,(J$16*$C33)*$G69,0)</f>
        <v>0</v>
      </c>
      <c r="K69" s="325">
        <f t="shared" si="49"/>
        <v>0</v>
      </c>
      <c r="L69" s="325">
        <f t="shared" si="49"/>
        <v>0</v>
      </c>
      <c r="M69" s="325">
        <f t="shared" si="49"/>
        <v>0</v>
      </c>
      <c r="N69" s="325">
        <f t="shared" si="49"/>
        <v>0</v>
      </c>
      <c r="O69" s="325">
        <f t="shared" si="49"/>
        <v>0</v>
      </c>
      <c r="P69" s="325">
        <f t="shared" si="49"/>
        <v>0</v>
      </c>
      <c r="Q69" s="325">
        <f t="shared" si="49"/>
        <v>0</v>
      </c>
      <c r="R69" s="325">
        <f t="shared" si="49"/>
        <v>0</v>
      </c>
      <c r="S69" s="325">
        <f t="shared" si="49"/>
        <v>0</v>
      </c>
      <c r="T69" s="325">
        <f t="shared" si="49"/>
        <v>0</v>
      </c>
      <c r="U69" s="326">
        <f t="shared" si="49"/>
        <v>0</v>
      </c>
    </row>
    <row r="70" spans="1:23" x14ac:dyDescent="0.25">
      <c r="A70" s="11"/>
      <c r="B70" s="102" t="s">
        <v>28</v>
      </c>
      <c r="C70" s="322" t="s">
        <v>192</v>
      </c>
      <c r="D70" s="207" t="s">
        <v>47</v>
      </c>
      <c r="E70" s="395" t="s">
        <v>221</v>
      </c>
      <c r="F70" s="396"/>
      <c r="G70" s="360"/>
      <c r="H70" s="82">
        <f t="shared" si="35"/>
        <v>0</v>
      </c>
      <c r="I70" s="54"/>
      <c r="J70" s="325">
        <f t="shared" ref="J70:U70" si="50">IF($C34&gt;0,(J$16*$C34)*$G70,0)</f>
        <v>0</v>
      </c>
      <c r="K70" s="325">
        <f t="shared" si="50"/>
        <v>0</v>
      </c>
      <c r="L70" s="325">
        <f t="shared" si="50"/>
        <v>0</v>
      </c>
      <c r="M70" s="325">
        <f t="shared" si="50"/>
        <v>0</v>
      </c>
      <c r="N70" s="325">
        <f t="shared" si="50"/>
        <v>0</v>
      </c>
      <c r="O70" s="325">
        <f t="shared" si="50"/>
        <v>0</v>
      </c>
      <c r="P70" s="325">
        <f t="shared" si="50"/>
        <v>0</v>
      </c>
      <c r="Q70" s="325">
        <f t="shared" si="50"/>
        <v>0</v>
      </c>
      <c r="R70" s="325">
        <f t="shared" si="50"/>
        <v>0</v>
      </c>
      <c r="S70" s="325">
        <f t="shared" si="50"/>
        <v>0</v>
      </c>
      <c r="T70" s="325">
        <f t="shared" si="50"/>
        <v>0</v>
      </c>
      <c r="U70" s="326">
        <f t="shared" si="50"/>
        <v>0</v>
      </c>
    </row>
    <row r="71" spans="1:23" x14ac:dyDescent="0.25">
      <c r="A71" s="11"/>
      <c r="B71" s="212" t="s">
        <v>29</v>
      </c>
      <c r="C71" s="322" t="s">
        <v>192</v>
      </c>
      <c r="D71" s="207" t="s">
        <v>47</v>
      </c>
      <c r="E71" s="395" t="s">
        <v>221</v>
      </c>
      <c r="F71" s="396"/>
      <c r="G71" s="360"/>
      <c r="H71" s="82">
        <f t="shared" si="35"/>
        <v>0</v>
      </c>
      <c r="I71" s="54"/>
      <c r="J71" s="325">
        <f t="shared" ref="J71:U71" si="51">IF($C35&gt;0,(J$16*$C35)*$G71,0)</f>
        <v>0</v>
      </c>
      <c r="K71" s="325">
        <f t="shared" si="51"/>
        <v>0</v>
      </c>
      <c r="L71" s="325">
        <f t="shared" si="51"/>
        <v>0</v>
      </c>
      <c r="M71" s="325">
        <f t="shared" si="51"/>
        <v>0</v>
      </c>
      <c r="N71" s="325">
        <f t="shared" si="51"/>
        <v>0</v>
      </c>
      <c r="O71" s="325">
        <f t="shared" si="51"/>
        <v>0</v>
      </c>
      <c r="P71" s="325">
        <f t="shared" si="51"/>
        <v>0</v>
      </c>
      <c r="Q71" s="325">
        <f t="shared" si="51"/>
        <v>0</v>
      </c>
      <c r="R71" s="325">
        <f t="shared" si="51"/>
        <v>0</v>
      </c>
      <c r="S71" s="325">
        <f t="shared" si="51"/>
        <v>0</v>
      </c>
      <c r="T71" s="325">
        <f t="shared" si="51"/>
        <v>0</v>
      </c>
      <c r="U71" s="326">
        <f t="shared" si="51"/>
        <v>0</v>
      </c>
    </row>
    <row r="72" spans="1:23" x14ac:dyDescent="0.25">
      <c r="A72" s="11"/>
      <c r="B72" s="212" t="s">
        <v>31</v>
      </c>
      <c r="C72" s="322" t="s">
        <v>192</v>
      </c>
      <c r="D72" s="207" t="s">
        <v>47</v>
      </c>
      <c r="E72" s="395" t="s">
        <v>221</v>
      </c>
      <c r="F72" s="396"/>
      <c r="G72" s="360"/>
      <c r="H72" s="82">
        <f t="shared" si="35"/>
        <v>0</v>
      </c>
      <c r="I72" s="54"/>
      <c r="J72" s="325">
        <f t="shared" ref="J72:U72" si="52">IF($C36&gt;0,(J$16*$C36)*$G72,0)</f>
        <v>0</v>
      </c>
      <c r="K72" s="325">
        <f t="shared" si="52"/>
        <v>0</v>
      </c>
      <c r="L72" s="325">
        <f t="shared" si="52"/>
        <v>0</v>
      </c>
      <c r="M72" s="325">
        <f t="shared" si="52"/>
        <v>0</v>
      </c>
      <c r="N72" s="325">
        <f t="shared" si="52"/>
        <v>0</v>
      </c>
      <c r="O72" s="325">
        <f t="shared" si="52"/>
        <v>0</v>
      </c>
      <c r="P72" s="325">
        <f t="shared" si="52"/>
        <v>0</v>
      </c>
      <c r="Q72" s="325">
        <f t="shared" si="52"/>
        <v>0</v>
      </c>
      <c r="R72" s="325">
        <f t="shared" si="52"/>
        <v>0</v>
      </c>
      <c r="S72" s="325">
        <f t="shared" si="52"/>
        <v>0</v>
      </c>
      <c r="T72" s="325">
        <f t="shared" si="52"/>
        <v>0</v>
      </c>
      <c r="U72" s="326">
        <f t="shared" si="52"/>
        <v>0</v>
      </c>
    </row>
    <row r="73" spans="1:23" x14ac:dyDescent="0.25">
      <c r="A73" s="11"/>
      <c r="B73" s="212" t="s">
        <v>32</v>
      </c>
      <c r="C73" s="322" t="s">
        <v>192</v>
      </c>
      <c r="D73" s="207" t="s">
        <v>47</v>
      </c>
      <c r="E73" s="395" t="s">
        <v>221</v>
      </c>
      <c r="F73" s="396"/>
      <c r="G73" s="360"/>
      <c r="H73" s="82">
        <f t="shared" si="35"/>
        <v>0</v>
      </c>
      <c r="I73" s="54"/>
      <c r="J73" s="325">
        <f t="shared" ref="J73:U73" si="53">IF($C37&gt;0,(J$16*$C37)*$G73,0)</f>
        <v>0</v>
      </c>
      <c r="K73" s="325">
        <f t="shared" si="53"/>
        <v>0</v>
      </c>
      <c r="L73" s="325">
        <f t="shared" si="53"/>
        <v>0</v>
      </c>
      <c r="M73" s="325">
        <f t="shared" si="53"/>
        <v>0</v>
      </c>
      <c r="N73" s="325">
        <f t="shared" si="53"/>
        <v>0</v>
      </c>
      <c r="O73" s="325">
        <f t="shared" si="53"/>
        <v>0</v>
      </c>
      <c r="P73" s="325">
        <f t="shared" si="53"/>
        <v>0</v>
      </c>
      <c r="Q73" s="325">
        <f t="shared" si="53"/>
        <v>0</v>
      </c>
      <c r="R73" s="325">
        <f t="shared" si="53"/>
        <v>0</v>
      </c>
      <c r="S73" s="325">
        <f t="shared" si="53"/>
        <v>0</v>
      </c>
      <c r="T73" s="325">
        <f t="shared" si="53"/>
        <v>0</v>
      </c>
      <c r="U73" s="326">
        <f t="shared" si="53"/>
        <v>0</v>
      </c>
    </row>
    <row r="74" spans="1:23" x14ac:dyDescent="0.25">
      <c r="A74" s="11"/>
      <c r="B74" s="102" t="s">
        <v>33</v>
      </c>
      <c r="C74" s="322" t="s">
        <v>192</v>
      </c>
      <c r="D74" s="207" t="s">
        <v>47</v>
      </c>
      <c r="E74" s="395" t="s">
        <v>221</v>
      </c>
      <c r="F74" s="396"/>
      <c r="G74" s="360"/>
      <c r="H74" s="82">
        <f t="shared" si="35"/>
        <v>0</v>
      </c>
      <c r="I74" s="54"/>
      <c r="J74" s="325">
        <f t="shared" ref="J74:U74" si="54">IF($C38&gt;0,(J$16*$C38)*$G74,0)</f>
        <v>0</v>
      </c>
      <c r="K74" s="325">
        <f t="shared" si="54"/>
        <v>0</v>
      </c>
      <c r="L74" s="325">
        <f t="shared" si="54"/>
        <v>0</v>
      </c>
      <c r="M74" s="325">
        <f t="shared" si="54"/>
        <v>0</v>
      </c>
      <c r="N74" s="325">
        <f t="shared" si="54"/>
        <v>0</v>
      </c>
      <c r="O74" s="325">
        <f t="shared" si="54"/>
        <v>0</v>
      </c>
      <c r="P74" s="325">
        <f t="shared" si="54"/>
        <v>0</v>
      </c>
      <c r="Q74" s="325">
        <f t="shared" si="54"/>
        <v>0</v>
      </c>
      <c r="R74" s="325">
        <f t="shared" si="54"/>
        <v>0</v>
      </c>
      <c r="S74" s="325">
        <f t="shared" si="54"/>
        <v>0</v>
      </c>
      <c r="T74" s="325">
        <f t="shared" si="54"/>
        <v>0</v>
      </c>
      <c r="U74" s="326">
        <f t="shared" si="54"/>
        <v>0</v>
      </c>
    </row>
    <row r="75" spans="1:23" x14ac:dyDescent="0.25">
      <c r="A75" s="11"/>
      <c r="B75" s="212" t="s">
        <v>35</v>
      </c>
      <c r="C75" s="322" t="s">
        <v>192</v>
      </c>
      <c r="D75" s="207" t="s">
        <v>47</v>
      </c>
      <c r="E75" s="395" t="s">
        <v>221</v>
      </c>
      <c r="F75" s="362"/>
      <c r="G75" s="360"/>
      <c r="H75" s="82">
        <f t="shared" si="35"/>
        <v>0</v>
      </c>
      <c r="I75" s="54"/>
      <c r="J75" s="325">
        <f t="shared" ref="J75:U75" si="55">IF($C39&gt;0,(J$16*$C39)*$G75,0)</f>
        <v>0</v>
      </c>
      <c r="K75" s="325">
        <f t="shared" si="55"/>
        <v>0</v>
      </c>
      <c r="L75" s="325">
        <f t="shared" si="55"/>
        <v>0</v>
      </c>
      <c r="M75" s="325">
        <f t="shared" si="55"/>
        <v>0</v>
      </c>
      <c r="N75" s="325">
        <f t="shared" si="55"/>
        <v>0</v>
      </c>
      <c r="O75" s="325">
        <f t="shared" si="55"/>
        <v>0</v>
      </c>
      <c r="P75" s="325">
        <f t="shared" si="55"/>
        <v>0</v>
      </c>
      <c r="Q75" s="325">
        <f t="shared" si="55"/>
        <v>0</v>
      </c>
      <c r="R75" s="325">
        <f t="shared" si="55"/>
        <v>0</v>
      </c>
      <c r="S75" s="325">
        <f t="shared" si="55"/>
        <v>0</v>
      </c>
      <c r="T75" s="325">
        <f t="shared" si="55"/>
        <v>0</v>
      </c>
      <c r="U75" s="326">
        <f t="shared" si="55"/>
        <v>0</v>
      </c>
    </row>
    <row r="76" spans="1:23" x14ac:dyDescent="0.25">
      <c r="A76" s="11"/>
      <c r="B76" s="212" t="s">
        <v>36</v>
      </c>
      <c r="C76" s="322" t="s">
        <v>192</v>
      </c>
      <c r="D76" s="207" t="s">
        <v>47</v>
      </c>
      <c r="E76" s="395" t="s">
        <v>221</v>
      </c>
      <c r="F76" s="361"/>
      <c r="G76" s="360"/>
      <c r="H76" s="82">
        <f t="shared" si="35"/>
        <v>0</v>
      </c>
      <c r="I76" s="54"/>
      <c r="J76" s="325">
        <f t="shared" ref="J76:U76" si="56">IF($C40&gt;0,(J$16*$C40)*$G76,0)</f>
        <v>0</v>
      </c>
      <c r="K76" s="325">
        <f t="shared" si="56"/>
        <v>0</v>
      </c>
      <c r="L76" s="325">
        <f t="shared" si="56"/>
        <v>0</v>
      </c>
      <c r="M76" s="325">
        <f t="shared" si="56"/>
        <v>0</v>
      </c>
      <c r="N76" s="325">
        <f t="shared" si="56"/>
        <v>0</v>
      </c>
      <c r="O76" s="325">
        <f t="shared" si="56"/>
        <v>0</v>
      </c>
      <c r="P76" s="325">
        <f t="shared" si="56"/>
        <v>0</v>
      </c>
      <c r="Q76" s="325">
        <f t="shared" si="56"/>
        <v>0</v>
      </c>
      <c r="R76" s="325">
        <f t="shared" si="56"/>
        <v>0</v>
      </c>
      <c r="S76" s="325">
        <f t="shared" si="56"/>
        <v>0</v>
      </c>
      <c r="T76" s="325">
        <f t="shared" si="56"/>
        <v>0</v>
      </c>
      <c r="U76" s="326">
        <f t="shared" si="56"/>
        <v>0</v>
      </c>
    </row>
    <row r="77" spans="1:23" ht="15.75" thickBot="1" x14ac:dyDescent="0.3">
      <c r="A77" s="84"/>
      <c r="B77" s="214" t="s">
        <v>38</v>
      </c>
      <c r="C77" s="323" t="s">
        <v>192</v>
      </c>
      <c r="D77" s="215" t="s">
        <v>47</v>
      </c>
      <c r="E77" s="397" t="s">
        <v>221</v>
      </c>
      <c r="F77" s="363"/>
      <c r="G77" s="360"/>
      <c r="H77" s="82">
        <f t="shared" si="35"/>
        <v>0</v>
      </c>
      <c r="I77" s="54"/>
      <c r="J77" s="325">
        <f t="shared" ref="J77:U77" si="57">IF($C41&gt;0,(J$16*$C41)*$G77,0)</f>
        <v>0</v>
      </c>
      <c r="K77" s="325">
        <f t="shared" si="57"/>
        <v>0</v>
      </c>
      <c r="L77" s="325">
        <f t="shared" si="57"/>
        <v>0</v>
      </c>
      <c r="M77" s="325">
        <f t="shared" si="57"/>
        <v>0</v>
      </c>
      <c r="N77" s="325">
        <f t="shared" si="57"/>
        <v>0</v>
      </c>
      <c r="O77" s="325">
        <f t="shared" si="57"/>
        <v>0</v>
      </c>
      <c r="P77" s="325">
        <f t="shared" si="57"/>
        <v>0</v>
      </c>
      <c r="Q77" s="325">
        <f t="shared" si="57"/>
        <v>0</v>
      </c>
      <c r="R77" s="325">
        <f t="shared" si="57"/>
        <v>0</v>
      </c>
      <c r="S77" s="325">
        <f t="shared" si="57"/>
        <v>0</v>
      </c>
      <c r="T77" s="325">
        <f t="shared" si="57"/>
        <v>0</v>
      </c>
      <c r="U77" s="326">
        <f t="shared" si="57"/>
        <v>0</v>
      </c>
    </row>
    <row r="78" spans="1:23" ht="16.5" thickTop="1" thickBot="1" x14ac:dyDescent="0.3">
      <c r="A78" s="11"/>
      <c r="B78" s="85"/>
      <c r="C78" s="86"/>
      <c r="D78" s="86"/>
      <c r="E78" s="87"/>
      <c r="F78" s="88"/>
      <c r="G78" s="89" t="e">
        <f>H78/W16</f>
        <v>#DIV/0!</v>
      </c>
      <c r="H78" s="75">
        <f>SUM(H56:H77)</f>
        <v>0</v>
      </c>
      <c r="I78" s="76"/>
      <c r="J78" s="327">
        <f t="shared" ref="J78:U78" si="58">SUM(J56:J77)</f>
        <v>0</v>
      </c>
      <c r="K78" s="327">
        <f t="shared" si="58"/>
        <v>0</v>
      </c>
      <c r="L78" s="327">
        <f t="shared" si="58"/>
        <v>0</v>
      </c>
      <c r="M78" s="327">
        <f t="shared" si="58"/>
        <v>0</v>
      </c>
      <c r="N78" s="327">
        <f t="shared" si="58"/>
        <v>0</v>
      </c>
      <c r="O78" s="327">
        <f t="shared" si="58"/>
        <v>0</v>
      </c>
      <c r="P78" s="327">
        <f t="shared" si="58"/>
        <v>0</v>
      </c>
      <c r="Q78" s="327">
        <f t="shared" si="58"/>
        <v>0</v>
      </c>
      <c r="R78" s="327">
        <f t="shared" si="58"/>
        <v>0</v>
      </c>
      <c r="S78" s="327">
        <f t="shared" si="58"/>
        <v>0</v>
      </c>
      <c r="T78" s="327">
        <f t="shared" si="58"/>
        <v>0</v>
      </c>
      <c r="U78" s="328">
        <f t="shared" si="58"/>
        <v>0</v>
      </c>
      <c r="W78" s="67">
        <f>SUM(J78:U78)</f>
        <v>0</v>
      </c>
    </row>
    <row r="79" spans="1:23" ht="15.75" thickBot="1" x14ac:dyDescent="0.3">
      <c r="A79" s="11"/>
      <c r="B79" s="84"/>
      <c r="C79" s="84"/>
      <c r="D79" s="84"/>
      <c r="E79" s="52"/>
      <c r="F79" s="90"/>
      <c r="G79" s="91"/>
      <c r="H79" s="92"/>
      <c r="I79" s="46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</row>
    <row r="80" spans="1:23" ht="15.75" thickBot="1" x14ac:dyDescent="0.3">
      <c r="A80" s="11"/>
      <c r="B80" s="93" t="s">
        <v>48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40"/>
    </row>
    <row r="81" spans="1:21" x14ac:dyDescent="0.25">
      <c r="A81" s="11"/>
      <c r="B81" s="94" t="s">
        <v>49</v>
      </c>
      <c r="C81" s="80" t="s">
        <v>44</v>
      </c>
      <c r="D81" s="42" t="s">
        <v>220</v>
      </c>
      <c r="E81" s="80" t="s">
        <v>50</v>
      </c>
      <c r="F81" s="80" t="s">
        <v>51</v>
      </c>
      <c r="G81" s="42" t="s">
        <v>239</v>
      </c>
      <c r="H81" s="42" t="s">
        <v>18</v>
      </c>
      <c r="I81" s="43"/>
      <c r="J81" s="178">
        <v>45658</v>
      </c>
      <c r="K81" s="178">
        <v>45689</v>
      </c>
      <c r="L81" s="178">
        <v>45717</v>
      </c>
      <c r="M81" s="178">
        <v>45748</v>
      </c>
      <c r="N81" s="178">
        <v>45778</v>
      </c>
      <c r="O81" s="178">
        <v>45809</v>
      </c>
      <c r="P81" s="178">
        <v>45839</v>
      </c>
      <c r="Q81" s="178">
        <v>45870</v>
      </c>
      <c r="R81" s="178">
        <v>45901</v>
      </c>
      <c r="S81" s="178">
        <v>45931</v>
      </c>
      <c r="T81" s="178">
        <v>45962</v>
      </c>
      <c r="U81" s="178">
        <v>45992</v>
      </c>
    </row>
    <row r="82" spans="1:21" x14ac:dyDescent="0.25">
      <c r="A82" s="11"/>
      <c r="B82" s="95" t="s">
        <v>52</v>
      </c>
      <c r="C82" s="330" t="s">
        <v>212</v>
      </c>
      <c r="D82" s="97" t="s">
        <v>53</v>
      </c>
      <c r="E82" s="98"/>
      <c r="F82" s="98"/>
      <c r="G82" s="96"/>
      <c r="H82" s="99">
        <f t="shared" ref="H82:H105" si="59">SUM(J82:U82)</f>
        <v>0</v>
      </c>
      <c r="J82" s="364"/>
      <c r="K82" s="364"/>
      <c r="L82" s="364"/>
      <c r="M82" s="364"/>
      <c r="N82" s="364"/>
      <c r="O82" s="364"/>
      <c r="P82" s="364"/>
      <c r="Q82" s="364"/>
      <c r="R82" s="364"/>
      <c r="S82" s="364"/>
      <c r="T82" s="364"/>
      <c r="U82" s="365"/>
    </row>
    <row r="83" spans="1:21" x14ac:dyDescent="0.25">
      <c r="A83" s="11"/>
      <c r="B83" s="102" t="s">
        <v>227</v>
      </c>
      <c r="C83" s="331" t="s">
        <v>213</v>
      </c>
      <c r="D83" s="104" t="s">
        <v>53</v>
      </c>
      <c r="E83" s="103">
        <v>699</v>
      </c>
      <c r="F83" s="103">
        <v>3675</v>
      </c>
      <c r="G83" s="103"/>
      <c r="H83" s="99">
        <f t="shared" si="59"/>
        <v>0</v>
      </c>
      <c r="I83" s="46"/>
      <c r="J83" s="364"/>
      <c r="K83" s="364"/>
      <c r="L83" s="364"/>
      <c r="M83" s="364"/>
      <c r="N83" s="364"/>
      <c r="O83" s="364"/>
      <c r="P83" s="364"/>
      <c r="Q83" s="364"/>
      <c r="R83" s="364"/>
      <c r="S83" s="364"/>
      <c r="T83" s="364"/>
      <c r="U83" s="365"/>
    </row>
    <row r="84" spans="1:21" x14ac:dyDescent="0.25">
      <c r="A84" s="11"/>
      <c r="B84" s="102" t="s">
        <v>54</v>
      </c>
      <c r="C84" s="331" t="s">
        <v>216</v>
      </c>
      <c r="D84" s="104" t="s">
        <v>53</v>
      </c>
      <c r="E84" s="103">
        <v>699</v>
      </c>
      <c r="F84" s="103">
        <v>3691</v>
      </c>
      <c r="G84" s="103"/>
      <c r="H84" s="99">
        <f t="shared" si="59"/>
        <v>0</v>
      </c>
      <c r="I84" s="46"/>
      <c r="J84" s="364"/>
      <c r="K84" s="364"/>
      <c r="L84" s="364"/>
      <c r="M84" s="364"/>
      <c r="N84" s="364"/>
      <c r="O84" s="364"/>
      <c r="P84" s="364"/>
      <c r="Q84" s="364"/>
      <c r="R84" s="364"/>
      <c r="S84" s="364"/>
      <c r="T84" s="364"/>
      <c r="U84" s="365"/>
    </row>
    <row r="85" spans="1:21" x14ac:dyDescent="0.25">
      <c r="A85" s="11"/>
      <c r="B85" s="102" t="s">
        <v>55</v>
      </c>
      <c r="C85" s="331" t="s">
        <v>217</v>
      </c>
      <c r="D85" s="104" t="s">
        <v>53</v>
      </c>
      <c r="E85" s="103">
        <v>699</v>
      </c>
      <c r="F85" s="103">
        <v>3677</v>
      </c>
      <c r="G85" s="103"/>
      <c r="H85" s="99">
        <f t="shared" si="59"/>
        <v>0</v>
      </c>
      <c r="I85" s="46"/>
      <c r="J85" s="364"/>
      <c r="K85" s="364"/>
      <c r="L85" s="364"/>
      <c r="M85" s="364"/>
      <c r="N85" s="364"/>
      <c r="O85" s="364"/>
      <c r="P85" s="364"/>
      <c r="Q85" s="364"/>
      <c r="R85" s="364"/>
      <c r="S85" s="364"/>
      <c r="T85" s="364"/>
      <c r="U85" s="365"/>
    </row>
    <row r="86" spans="1:21" x14ac:dyDescent="0.25">
      <c r="A86" s="11"/>
      <c r="B86" s="105" t="s">
        <v>228</v>
      </c>
      <c r="C86" s="103">
        <v>721</v>
      </c>
      <c r="D86" s="104" t="s">
        <v>53</v>
      </c>
      <c r="E86" s="103">
        <v>699</v>
      </c>
      <c r="F86" s="103">
        <v>3671</v>
      </c>
      <c r="G86" s="103"/>
      <c r="H86" s="99">
        <f t="shared" si="59"/>
        <v>0</v>
      </c>
      <c r="J86" s="364"/>
      <c r="K86" s="364"/>
      <c r="L86" s="364"/>
      <c r="M86" s="364"/>
      <c r="N86" s="364"/>
      <c r="O86" s="364"/>
      <c r="P86" s="364"/>
      <c r="Q86" s="364"/>
      <c r="R86" s="364"/>
      <c r="S86" s="364"/>
      <c r="T86" s="364"/>
      <c r="U86" s="365"/>
    </row>
    <row r="87" spans="1:21" x14ac:dyDescent="0.25">
      <c r="A87" s="11"/>
      <c r="B87" s="105" t="s">
        <v>56</v>
      </c>
      <c r="C87" s="331" t="s">
        <v>218</v>
      </c>
      <c r="D87" s="104" t="s">
        <v>53</v>
      </c>
      <c r="E87" s="103">
        <v>699</v>
      </c>
      <c r="F87" s="103">
        <v>3669</v>
      </c>
      <c r="G87" s="103"/>
      <c r="H87" s="99">
        <f t="shared" si="59"/>
        <v>0</v>
      </c>
      <c r="J87" s="364"/>
      <c r="K87" s="364"/>
      <c r="L87" s="364"/>
      <c r="M87" s="364"/>
      <c r="N87" s="364"/>
      <c r="O87" s="364"/>
      <c r="P87" s="364"/>
      <c r="Q87" s="364"/>
      <c r="R87" s="364"/>
      <c r="S87" s="364"/>
      <c r="T87" s="364"/>
      <c r="U87" s="365"/>
    </row>
    <row r="88" spans="1:21" x14ac:dyDescent="0.25">
      <c r="A88" s="11"/>
      <c r="B88" s="105" t="s">
        <v>57</v>
      </c>
      <c r="C88" s="331" t="s">
        <v>219</v>
      </c>
      <c r="D88" s="104" t="s">
        <v>53</v>
      </c>
      <c r="E88" s="103">
        <v>699</v>
      </c>
      <c r="F88" s="103">
        <v>3665</v>
      </c>
      <c r="G88" s="103"/>
      <c r="H88" s="99">
        <f t="shared" si="59"/>
        <v>0</v>
      </c>
      <c r="J88" s="364"/>
      <c r="K88" s="364"/>
      <c r="L88" s="364"/>
      <c r="M88" s="364"/>
      <c r="N88" s="364"/>
      <c r="O88" s="364"/>
      <c r="P88" s="364"/>
      <c r="Q88" s="364"/>
      <c r="R88" s="364"/>
      <c r="S88" s="364"/>
      <c r="T88" s="364"/>
      <c r="U88" s="365"/>
    </row>
    <row r="89" spans="1:21" x14ac:dyDescent="0.25">
      <c r="A89" s="11"/>
      <c r="B89" s="105" t="s">
        <v>229</v>
      </c>
      <c r="C89" s="331" t="s">
        <v>215</v>
      </c>
      <c r="D89" s="104" t="s">
        <v>53</v>
      </c>
      <c r="E89" s="103">
        <v>699</v>
      </c>
      <c r="F89" s="103">
        <v>3963</v>
      </c>
      <c r="G89" s="103"/>
      <c r="H89" s="99">
        <f t="shared" si="59"/>
        <v>0</v>
      </c>
      <c r="J89" s="364"/>
      <c r="K89" s="364"/>
      <c r="L89" s="364"/>
      <c r="M89" s="364"/>
      <c r="N89" s="364"/>
      <c r="O89" s="364"/>
      <c r="P89" s="364"/>
      <c r="Q89" s="364"/>
      <c r="R89" s="364"/>
      <c r="S89" s="364"/>
      <c r="T89" s="364"/>
      <c r="U89" s="365"/>
    </row>
    <row r="90" spans="1:21" x14ac:dyDescent="0.25">
      <c r="A90" s="11"/>
      <c r="B90" s="105" t="s">
        <v>238</v>
      </c>
      <c r="C90" s="331" t="s">
        <v>214</v>
      </c>
      <c r="D90" s="332" t="s">
        <v>59</v>
      </c>
      <c r="E90" s="103"/>
      <c r="F90" s="103"/>
      <c r="G90" s="103"/>
      <c r="H90" s="99">
        <f t="shared" si="59"/>
        <v>0</v>
      </c>
      <c r="J90" s="347"/>
      <c r="K90" s="347"/>
      <c r="L90" s="347"/>
      <c r="M90" s="347"/>
      <c r="N90" s="347"/>
      <c r="O90" s="347"/>
      <c r="P90" s="347"/>
      <c r="Q90" s="347"/>
      <c r="R90" s="347"/>
      <c r="S90" s="347"/>
      <c r="T90" s="347"/>
      <c r="U90" s="348"/>
    </row>
    <row r="91" spans="1:21" x14ac:dyDescent="0.25">
      <c r="A91" s="11"/>
      <c r="B91" s="105" t="s">
        <v>225</v>
      </c>
      <c r="C91" s="103">
        <v>720</v>
      </c>
      <c r="D91" s="332" t="s">
        <v>59</v>
      </c>
      <c r="E91" s="103"/>
      <c r="F91" s="103"/>
      <c r="G91" s="103"/>
      <c r="H91" s="99">
        <f t="shared" si="59"/>
        <v>0</v>
      </c>
      <c r="I91" s="46"/>
      <c r="J91" s="47">
        <f t="shared" ref="J91:U91" si="60">J115</f>
        <v>0</v>
      </c>
      <c r="K91" s="47">
        <f t="shared" si="60"/>
        <v>0</v>
      </c>
      <c r="L91" s="47">
        <f t="shared" si="60"/>
        <v>0</v>
      </c>
      <c r="M91" s="47">
        <f t="shared" si="60"/>
        <v>0</v>
      </c>
      <c r="N91" s="47">
        <f t="shared" si="60"/>
        <v>0</v>
      </c>
      <c r="O91" s="47">
        <f t="shared" si="60"/>
        <v>0</v>
      </c>
      <c r="P91" s="47">
        <f t="shared" si="60"/>
        <v>0</v>
      </c>
      <c r="Q91" s="47">
        <f t="shared" si="60"/>
        <v>0</v>
      </c>
      <c r="R91" s="47">
        <f t="shared" si="60"/>
        <v>0</v>
      </c>
      <c r="S91" s="47">
        <f t="shared" si="60"/>
        <v>0</v>
      </c>
      <c r="T91" s="47">
        <f t="shared" si="60"/>
        <v>0</v>
      </c>
      <c r="U91" s="48">
        <f t="shared" si="60"/>
        <v>0</v>
      </c>
    </row>
    <row r="92" spans="1:21" x14ac:dyDescent="0.25">
      <c r="A92" s="11"/>
      <c r="B92" s="105" t="s">
        <v>226</v>
      </c>
      <c r="C92" s="103">
        <v>720</v>
      </c>
      <c r="D92" s="332" t="s">
        <v>59</v>
      </c>
      <c r="E92" s="103"/>
      <c r="F92" s="103"/>
      <c r="G92" s="103"/>
      <c r="H92" s="99">
        <f t="shared" si="59"/>
        <v>0</v>
      </c>
      <c r="I92" s="46"/>
      <c r="J92" s="47">
        <f t="shared" ref="J92:U92" si="61">J114</f>
        <v>0</v>
      </c>
      <c r="K92" s="47">
        <f t="shared" si="61"/>
        <v>0</v>
      </c>
      <c r="L92" s="47">
        <f t="shared" si="61"/>
        <v>0</v>
      </c>
      <c r="M92" s="47">
        <f t="shared" si="61"/>
        <v>0</v>
      </c>
      <c r="N92" s="47">
        <f t="shared" si="61"/>
        <v>0</v>
      </c>
      <c r="O92" s="47">
        <f t="shared" si="61"/>
        <v>0</v>
      </c>
      <c r="P92" s="47">
        <f t="shared" si="61"/>
        <v>0</v>
      </c>
      <c r="Q92" s="47">
        <f t="shared" si="61"/>
        <v>0</v>
      </c>
      <c r="R92" s="47">
        <f t="shared" si="61"/>
        <v>0</v>
      </c>
      <c r="S92" s="47">
        <f t="shared" si="61"/>
        <v>0</v>
      </c>
      <c r="T92" s="47">
        <f t="shared" si="61"/>
        <v>0</v>
      </c>
      <c r="U92" s="48">
        <f t="shared" si="61"/>
        <v>0</v>
      </c>
    </row>
    <row r="93" spans="1:21" x14ac:dyDescent="0.25">
      <c r="A93" s="11"/>
      <c r="B93" s="105" t="s">
        <v>205</v>
      </c>
      <c r="C93" s="103">
        <v>720</v>
      </c>
      <c r="D93" s="332" t="s">
        <v>59</v>
      </c>
      <c r="E93" s="103"/>
      <c r="F93" s="103"/>
      <c r="G93" s="103"/>
      <c r="H93" s="99">
        <f t="shared" si="59"/>
        <v>0</v>
      </c>
      <c r="I93" s="46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8"/>
    </row>
    <row r="94" spans="1:21" x14ac:dyDescent="0.25">
      <c r="A94" s="11"/>
      <c r="B94" s="105" t="s">
        <v>60</v>
      </c>
      <c r="C94" s="331" t="s">
        <v>194</v>
      </c>
      <c r="D94" s="332" t="s">
        <v>59</v>
      </c>
      <c r="E94" s="103"/>
      <c r="F94" s="103"/>
      <c r="G94" s="103"/>
      <c r="H94" s="99">
        <f t="shared" si="59"/>
        <v>0</v>
      </c>
      <c r="J94" s="47">
        <f t="shared" ref="J94:U94" si="62">J119</f>
        <v>0</v>
      </c>
      <c r="K94" s="47">
        <f t="shared" si="62"/>
        <v>0</v>
      </c>
      <c r="L94" s="47">
        <f t="shared" si="62"/>
        <v>0</v>
      </c>
      <c r="M94" s="47">
        <f t="shared" si="62"/>
        <v>0</v>
      </c>
      <c r="N94" s="47">
        <f t="shared" si="62"/>
        <v>0</v>
      </c>
      <c r="O94" s="47">
        <f t="shared" si="62"/>
        <v>0</v>
      </c>
      <c r="P94" s="47">
        <f t="shared" si="62"/>
        <v>0</v>
      </c>
      <c r="Q94" s="47">
        <f t="shared" si="62"/>
        <v>0</v>
      </c>
      <c r="R94" s="47">
        <f t="shared" si="62"/>
        <v>0</v>
      </c>
      <c r="S94" s="47">
        <f t="shared" si="62"/>
        <v>0</v>
      </c>
      <c r="T94" s="47">
        <f t="shared" si="62"/>
        <v>0</v>
      </c>
      <c r="U94" s="48">
        <f t="shared" si="62"/>
        <v>0</v>
      </c>
    </row>
    <row r="95" spans="1:21" x14ac:dyDescent="0.25">
      <c r="A95" s="11"/>
      <c r="B95" s="105" t="s">
        <v>80</v>
      </c>
      <c r="C95" s="331" t="s">
        <v>194</v>
      </c>
      <c r="D95" s="332" t="s">
        <v>59</v>
      </c>
      <c r="E95" s="103"/>
      <c r="F95" s="103"/>
      <c r="G95" s="103"/>
      <c r="H95" s="99">
        <f t="shared" si="59"/>
        <v>0</v>
      </c>
      <c r="J95" s="47">
        <f t="shared" ref="J95:U95" si="63">J120</f>
        <v>0</v>
      </c>
      <c r="K95" s="47">
        <f t="shared" si="63"/>
        <v>0</v>
      </c>
      <c r="L95" s="47">
        <f t="shared" si="63"/>
        <v>0</v>
      </c>
      <c r="M95" s="47">
        <f t="shared" si="63"/>
        <v>0</v>
      </c>
      <c r="N95" s="47">
        <f t="shared" si="63"/>
        <v>0</v>
      </c>
      <c r="O95" s="47">
        <f t="shared" si="63"/>
        <v>0</v>
      </c>
      <c r="P95" s="47">
        <f t="shared" si="63"/>
        <v>0</v>
      </c>
      <c r="Q95" s="47">
        <f t="shared" si="63"/>
        <v>0</v>
      </c>
      <c r="R95" s="47">
        <f t="shared" si="63"/>
        <v>0</v>
      </c>
      <c r="S95" s="47">
        <f t="shared" si="63"/>
        <v>0</v>
      </c>
      <c r="T95" s="47">
        <f t="shared" si="63"/>
        <v>0</v>
      </c>
      <c r="U95" s="48">
        <f t="shared" si="63"/>
        <v>0</v>
      </c>
    </row>
    <row r="96" spans="1:21" x14ac:dyDescent="0.25">
      <c r="A96" s="11"/>
      <c r="B96" s="105" t="s">
        <v>230</v>
      </c>
      <c r="C96" s="104">
        <v>305</v>
      </c>
      <c r="D96" s="332" t="s">
        <v>61</v>
      </c>
      <c r="E96" s="103"/>
      <c r="F96" s="103"/>
      <c r="G96" s="103"/>
      <c r="H96" s="99">
        <f t="shared" si="59"/>
        <v>0</v>
      </c>
      <c r="J96" s="364"/>
      <c r="K96" s="364"/>
      <c r="L96" s="364"/>
      <c r="M96" s="364"/>
      <c r="N96" s="364"/>
      <c r="O96" s="364"/>
      <c r="P96" s="364"/>
      <c r="Q96" s="364"/>
      <c r="R96" s="364"/>
      <c r="S96" s="364"/>
      <c r="T96" s="364"/>
      <c r="U96" s="365"/>
    </row>
    <row r="97" spans="1:23" x14ac:dyDescent="0.25">
      <c r="A97" s="11"/>
      <c r="B97" s="105" t="s">
        <v>231</v>
      </c>
      <c r="C97" s="104">
        <v>306</v>
      </c>
      <c r="D97" s="332" t="s">
        <v>61</v>
      </c>
      <c r="E97" s="4"/>
      <c r="F97" s="103"/>
      <c r="G97" s="103"/>
      <c r="H97" s="99">
        <f t="shared" si="59"/>
        <v>0</v>
      </c>
      <c r="J97" s="364"/>
      <c r="K97" s="364"/>
      <c r="L97" s="364"/>
      <c r="M97" s="364"/>
      <c r="N97" s="364"/>
      <c r="O97" s="364"/>
      <c r="P97" s="364"/>
      <c r="Q97" s="364"/>
      <c r="R97" s="364"/>
      <c r="S97" s="364"/>
      <c r="T97" s="364"/>
      <c r="U97" s="365"/>
    </row>
    <row r="98" spans="1:23" x14ac:dyDescent="0.25">
      <c r="A98" s="11"/>
      <c r="B98" s="105" t="s">
        <v>232</v>
      </c>
      <c r="C98" s="334" t="s">
        <v>195</v>
      </c>
      <c r="D98" s="332" t="s">
        <v>62</v>
      </c>
      <c r="E98" s="103"/>
      <c r="F98" s="103"/>
      <c r="G98" s="103"/>
      <c r="H98" s="99">
        <f t="shared" si="59"/>
        <v>0</v>
      </c>
      <c r="J98" s="364"/>
      <c r="K98" s="364"/>
      <c r="L98" s="364"/>
      <c r="M98" s="364"/>
      <c r="N98" s="364"/>
      <c r="O98" s="364"/>
      <c r="P98" s="364"/>
      <c r="Q98" s="364"/>
      <c r="R98" s="364"/>
      <c r="S98" s="364"/>
      <c r="T98" s="364"/>
      <c r="U98" s="365"/>
    </row>
    <row r="99" spans="1:23" x14ac:dyDescent="0.25">
      <c r="A99" s="11"/>
      <c r="B99" s="105" t="s">
        <v>233</v>
      </c>
      <c r="C99" s="334" t="s">
        <v>196</v>
      </c>
      <c r="D99" s="332" t="s">
        <v>62</v>
      </c>
      <c r="E99" s="103"/>
      <c r="F99" s="103"/>
      <c r="G99" s="103"/>
      <c r="H99" s="99">
        <f t="shared" si="59"/>
        <v>0</v>
      </c>
      <c r="J99" s="364"/>
      <c r="K99" s="364"/>
      <c r="L99" s="364"/>
      <c r="M99" s="364"/>
      <c r="N99" s="364"/>
      <c r="O99" s="364"/>
      <c r="P99" s="364"/>
      <c r="Q99" s="364"/>
      <c r="R99" s="364"/>
      <c r="S99" s="364"/>
      <c r="T99" s="364"/>
      <c r="U99" s="365"/>
    </row>
    <row r="100" spans="1:23" x14ac:dyDescent="0.25">
      <c r="A100" s="11"/>
      <c r="B100" s="105" t="s">
        <v>235</v>
      </c>
      <c r="C100" s="334" t="s">
        <v>197</v>
      </c>
      <c r="D100" s="332" t="s">
        <v>63</v>
      </c>
      <c r="E100" s="103"/>
      <c r="F100" s="103"/>
      <c r="G100" s="103"/>
      <c r="H100" s="99">
        <f t="shared" si="59"/>
        <v>0</v>
      </c>
      <c r="J100" s="364"/>
      <c r="K100" s="364"/>
      <c r="L100" s="364"/>
      <c r="M100" s="364"/>
      <c r="N100" s="364"/>
      <c r="O100" s="364"/>
      <c r="P100" s="364"/>
      <c r="Q100" s="364"/>
      <c r="R100" s="364"/>
      <c r="S100" s="364"/>
      <c r="T100" s="364"/>
      <c r="U100" s="365"/>
    </row>
    <row r="101" spans="1:23" x14ac:dyDescent="0.25">
      <c r="A101" s="11"/>
      <c r="B101" s="105" t="s">
        <v>64</v>
      </c>
      <c r="C101" s="334" t="s">
        <v>198</v>
      </c>
      <c r="D101" s="332" t="s">
        <v>63</v>
      </c>
      <c r="E101" s="104"/>
      <c r="F101" s="103"/>
      <c r="G101" s="400">
        <f>IFERROR(H101/$W$16,0)</f>
        <v>0</v>
      </c>
      <c r="H101" s="99">
        <f t="shared" si="59"/>
        <v>0</v>
      </c>
      <c r="J101" s="364"/>
      <c r="K101" s="364"/>
      <c r="L101" s="364"/>
      <c r="M101" s="364"/>
      <c r="N101" s="364"/>
      <c r="O101" s="364"/>
      <c r="P101" s="364"/>
      <c r="Q101" s="364"/>
      <c r="R101" s="364"/>
      <c r="S101" s="364"/>
      <c r="T101" s="364"/>
      <c r="U101" s="365"/>
    </row>
    <row r="102" spans="1:23" x14ac:dyDescent="0.25">
      <c r="A102" s="11"/>
      <c r="B102" s="105" t="s">
        <v>65</v>
      </c>
      <c r="C102" s="334" t="s">
        <v>199</v>
      </c>
      <c r="D102" s="332" t="s">
        <v>63</v>
      </c>
      <c r="E102" s="104">
        <v>365</v>
      </c>
      <c r="F102" s="103"/>
      <c r="G102" s="103"/>
      <c r="H102" s="99">
        <f t="shared" si="59"/>
        <v>0</v>
      </c>
      <c r="J102" s="364"/>
      <c r="K102" s="364"/>
      <c r="L102" s="364"/>
      <c r="M102" s="364"/>
      <c r="N102" s="364"/>
      <c r="O102" s="364"/>
      <c r="P102" s="364"/>
      <c r="Q102" s="364"/>
      <c r="R102" s="364"/>
      <c r="S102" s="364"/>
      <c r="T102" s="364"/>
      <c r="U102" s="365"/>
    </row>
    <row r="103" spans="1:23" x14ac:dyDescent="0.25">
      <c r="A103" s="11"/>
      <c r="B103" s="105" t="s">
        <v>66</v>
      </c>
      <c r="C103" s="334" t="s">
        <v>200</v>
      </c>
      <c r="D103" s="332" t="s">
        <v>67</v>
      </c>
      <c r="E103" s="103">
        <v>338</v>
      </c>
      <c r="F103" s="103"/>
      <c r="G103" s="398">
        <v>0.33</v>
      </c>
      <c r="H103" s="99">
        <f t="shared" si="59"/>
        <v>0</v>
      </c>
      <c r="I103" s="46"/>
      <c r="J103" s="47">
        <f t="shared" ref="J103:U103" si="64">$G$103*J16</f>
        <v>0</v>
      </c>
      <c r="K103" s="47">
        <f t="shared" si="64"/>
        <v>0</v>
      </c>
      <c r="L103" s="47">
        <f t="shared" si="64"/>
        <v>0</v>
      </c>
      <c r="M103" s="47">
        <f t="shared" si="64"/>
        <v>0</v>
      </c>
      <c r="N103" s="47">
        <f t="shared" si="64"/>
        <v>0</v>
      </c>
      <c r="O103" s="47">
        <f t="shared" si="64"/>
        <v>0</v>
      </c>
      <c r="P103" s="47">
        <f t="shared" si="64"/>
        <v>0</v>
      </c>
      <c r="Q103" s="47">
        <f t="shared" si="64"/>
        <v>0</v>
      </c>
      <c r="R103" s="47">
        <f t="shared" si="64"/>
        <v>0</v>
      </c>
      <c r="S103" s="47">
        <f t="shared" si="64"/>
        <v>0</v>
      </c>
      <c r="T103" s="47">
        <f t="shared" si="64"/>
        <v>0</v>
      </c>
      <c r="U103" s="48">
        <f t="shared" si="64"/>
        <v>0</v>
      </c>
    </row>
    <row r="104" spans="1:23" x14ac:dyDescent="0.25">
      <c r="A104" s="11"/>
      <c r="B104" s="105" t="s">
        <v>234</v>
      </c>
      <c r="C104" s="104">
        <v>351</v>
      </c>
      <c r="D104" s="332" t="s">
        <v>67</v>
      </c>
      <c r="E104" s="103">
        <v>324</v>
      </c>
      <c r="F104" s="103"/>
      <c r="G104" s="399">
        <v>1.6000000000000001E-3</v>
      </c>
      <c r="H104" s="99">
        <f t="shared" si="59"/>
        <v>0</v>
      </c>
      <c r="J104" s="47">
        <f t="shared" ref="J104:U104" si="65">$G$104*J46/100</f>
        <v>0</v>
      </c>
      <c r="K104" s="47">
        <f t="shared" si="65"/>
        <v>0</v>
      </c>
      <c r="L104" s="47">
        <f t="shared" si="65"/>
        <v>0</v>
      </c>
      <c r="M104" s="47">
        <f t="shared" si="65"/>
        <v>0</v>
      </c>
      <c r="N104" s="47">
        <f t="shared" si="65"/>
        <v>0</v>
      </c>
      <c r="O104" s="47">
        <f t="shared" si="65"/>
        <v>0</v>
      </c>
      <c r="P104" s="47">
        <f t="shared" si="65"/>
        <v>0</v>
      </c>
      <c r="Q104" s="47">
        <f t="shared" si="65"/>
        <v>0</v>
      </c>
      <c r="R104" s="47">
        <f t="shared" si="65"/>
        <v>0</v>
      </c>
      <c r="S104" s="47">
        <f t="shared" si="65"/>
        <v>0</v>
      </c>
      <c r="T104" s="47">
        <f t="shared" si="65"/>
        <v>0</v>
      </c>
      <c r="U104" s="48">
        <f t="shared" si="65"/>
        <v>0</v>
      </c>
    </row>
    <row r="105" spans="1:23" ht="15.75" thickBot="1" x14ac:dyDescent="0.3">
      <c r="A105" s="11"/>
      <c r="B105" s="106" t="s">
        <v>68</v>
      </c>
      <c r="C105" s="333" t="s">
        <v>201</v>
      </c>
      <c r="D105" s="335" t="s">
        <v>67</v>
      </c>
      <c r="E105" s="108"/>
      <c r="F105" s="108"/>
      <c r="G105" s="398">
        <v>4.5</v>
      </c>
      <c r="H105" s="99">
        <f t="shared" si="59"/>
        <v>0</v>
      </c>
      <c r="J105" s="350">
        <f t="shared" ref="J105:U105" si="66">$G$105*J16</f>
        <v>0</v>
      </c>
      <c r="K105" s="350">
        <f t="shared" si="66"/>
        <v>0</v>
      </c>
      <c r="L105" s="350">
        <f t="shared" si="66"/>
        <v>0</v>
      </c>
      <c r="M105" s="350">
        <f t="shared" si="66"/>
        <v>0</v>
      </c>
      <c r="N105" s="350">
        <f t="shared" si="66"/>
        <v>0</v>
      </c>
      <c r="O105" s="350">
        <f t="shared" si="66"/>
        <v>0</v>
      </c>
      <c r="P105" s="350">
        <f t="shared" si="66"/>
        <v>0</v>
      </c>
      <c r="Q105" s="350">
        <f t="shared" si="66"/>
        <v>0</v>
      </c>
      <c r="R105" s="350">
        <f t="shared" si="66"/>
        <v>0</v>
      </c>
      <c r="S105" s="350">
        <f t="shared" si="66"/>
        <v>0</v>
      </c>
      <c r="T105" s="350">
        <f t="shared" si="66"/>
        <v>0</v>
      </c>
      <c r="U105" s="351">
        <f t="shared" si="66"/>
        <v>0</v>
      </c>
    </row>
    <row r="106" spans="1:23" x14ac:dyDescent="0.25">
      <c r="B106" s="11"/>
      <c r="U106" s="109"/>
    </row>
    <row r="107" spans="1:23" ht="15.75" thickBot="1" x14ac:dyDescent="0.3">
      <c r="A107" s="11"/>
      <c r="B107" s="110" t="s">
        <v>69</v>
      </c>
      <c r="C107" s="33"/>
      <c r="D107" s="33"/>
      <c r="E107" s="33"/>
      <c r="F107" s="33"/>
      <c r="G107" s="111">
        <f>IFERROR(H107/B127,0)</f>
        <v>0</v>
      </c>
      <c r="H107" s="64">
        <f>SUM(H82:H105)</f>
        <v>0</v>
      </c>
      <c r="I107" s="112"/>
      <c r="J107" s="64">
        <f t="shared" ref="J107:U107" si="67">SUM(J82:J105)</f>
        <v>0</v>
      </c>
      <c r="K107" s="64">
        <f t="shared" si="67"/>
        <v>0</v>
      </c>
      <c r="L107" s="64">
        <f t="shared" si="67"/>
        <v>0</v>
      </c>
      <c r="M107" s="64">
        <f t="shared" si="67"/>
        <v>0</v>
      </c>
      <c r="N107" s="64">
        <f t="shared" si="67"/>
        <v>0</v>
      </c>
      <c r="O107" s="64">
        <f t="shared" si="67"/>
        <v>0</v>
      </c>
      <c r="P107" s="64">
        <f t="shared" si="67"/>
        <v>0</v>
      </c>
      <c r="Q107" s="64">
        <f t="shared" si="67"/>
        <v>0</v>
      </c>
      <c r="R107" s="64">
        <f t="shared" si="67"/>
        <v>0</v>
      </c>
      <c r="S107" s="64">
        <f t="shared" si="67"/>
        <v>0</v>
      </c>
      <c r="T107" s="64">
        <f t="shared" si="67"/>
        <v>0</v>
      </c>
      <c r="U107" s="66">
        <f t="shared" si="67"/>
        <v>0</v>
      </c>
    </row>
    <row r="108" spans="1:23" ht="15.75" thickBot="1" x14ac:dyDescent="0.3"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</row>
    <row r="109" spans="1:23" ht="16.5" thickTop="1" thickBot="1" x14ac:dyDescent="0.3">
      <c r="B109" s="113" t="s">
        <v>70</v>
      </c>
      <c r="C109" s="114"/>
      <c r="D109" s="114"/>
      <c r="E109" s="114"/>
      <c r="F109" s="114"/>
      <c r="G109" s="115"/>
      <c r="H109" s="116">
        <f>H51+H78+H107</f>
        <v>0</v>
      </c>
      <c r="I109" s="115"/>
      <c r="J109" s="116">
        <f t="shared" ref="J109:U109" si="68">J51+J78+J107</f>
        <v>0</v>
      </c>
      <c r="K109" s="116">
        <f t="shared" si="68"/>
        <v>0</v>
      </c>
      <c r="L109" s="116">
        <f t="shared" si="68"/>
        <v>0</v>
      </c>
      <c r="M109" s="116">
        <f t="shared" si="68"/>
        <v>0</v>
      </c>
      <c r="N109" s="116">
        <f t="shared" si="68"/>
        <v>0</v>
      </c>
      <c r="O109" s="116">
        <f t="shared" si="68"/>
        <v>0</v>
      </c>
      <c r="P109" s="116">
        <f t="shared" si="68"/>
        <v>0</v>
      </c>
      <c r="Q109" s="116">
        <f t="shared" si="68"/>
        <v>0</v>
      </c>
      <c r="R109" s="116">
        <f t="shared" si="68"/>
        <v>0</v>
      </c>
      <c r="S109" s="116">
        <f t="shared" si="68"/>
        <v>0</v>
      </c>
      <c r="T109" s="116">
        <f t="shared" si="68"/>
        <v>0</v>
      </c>
      <c r="U109" s="117">
        <f t="shared" si="68"/>
        <v>0</v>
      </c>
      <c r="W109" s="67">
        <f>SUM(J109:U109)</f>
        <v>0</v>
      </c>
    </row>
    <row r="110" spans="1:23" ht="15.75" thickBot="1" x14ac:dyDescent="0.3"/>
    <row r="111" spans="1:23" ht="16.5" thickTop="1" thickBot="1" x14ac:dyDescent="0.3">
      <c r="B111" s="113" t="s">
        <v>71</v>
      </c>
      <c r="C111" s="114"/>
      <c r="D111" s="114"/>
      <c r="E111" s="114"/>
      <c r="F111" s="114"/>
      <c r="G111" s="114"/>
      <c r="H111" s="116">
        <f>H46-H109</f>
        <v>0</v>
      </c>
      <c r="I111" s="115"/>
      <c r="J111" s="116">
        <f t="shared" ref="J111:U111" si="69">J46-J109</f>
        <v>0</v>
      </c>
      <c r="K111" s="116">
        <f t="shared" si="69"/>
        <v>0</v>
      </c>
      <c r="L111" s="116">
        <f t="shared" si="69"/>
        <v>0</v>
      </c>
      <c r="M111" s="116">
        <f t="shared" si="69"/>
        <v>0</v>
      </c>
      <c r="N111" s="116">
        <f t="shared" si="69"/>
        <v>0</v>
      </c>
      <c r="O111" s="116">
        <f t="shared" si="69"/>
        <v>0</v>
      </c>
      <c r="P111" s="116">
        <f t="shared" si="69"/>
        <v>0</v>
      </c>
      <c r="Q111" s="116">
        <f t="shared" si="69"/>
        <v>0</v>
      </c>
      <c r="R111" s="116">
        <f t="shared" si="69"/>
        <v>0</v>
      </c>
      <c r="S111" s="116">
        <f t="shared" si="69"/>
        <v>0</v>
      </c>
      <c r="T111" s="116">
        <f t="shared" si="69"/>
        <v>0</v>
      </c>
      <c r="U111" s="117">
        <f t="shared" si="69"/>
        <v>0</v>
      </c>
      <c r="W111" s="67">
        <f>SUM(J111:U111)</f>
        <v>0</v>
      </c>
    </row>
    <row r="112" spans="1:23" ht="15.75" thickBot="1" x14ac:dyDescent="0.3"/>
    <row r="113" spans="2:21" x14ac:dyDescent="0.25">
      <c r="B113" s="71" t="s">
        <v>72</v>
      </c>
      <c r="C113" s="80" t="s">
        <v>44</v>
      </c>
      <c r="D113" s="42" t="s">
        <v>220</v>
      </c>
      <c r="E113" s="42" t="s">
        <v>203</v>
      </c>
      <c r="F113" s="42" t="s">
        <v>240</v>
      </c>
      <c r="G113" s="42" t="s">
        <v>239</v>
      </c>
      <c r="H113" s="9"/>
      <c r="I113" s="118"/>
      <c r="J113" s="448" t="s">
        <v>73</v>
      </c>
      <c r="K113" s="448"/>
      <c r="L113" s="448"/>
      <c r="M113" s="448"/>
      <c r="N113" s="448"/>
      <c r="O113" s="448"/>
      <c r="P113" s="448"/>
      <c r="Q113" s="448"/>
      <c r="R113" s="448"/>
      <c r="S113" s="448"/>
      <c r="T113" s="448"/>
      <c r="U113" s="449"/>
    </row>
    <row r="114" spans="2:21" x14ac:dyDescent="0.25">
      <c r="B114" s="119" t="s">
        <v>74</v>
      </c>
      <c r="C114" s="340">
        <v>720</v>
      </c>
      <c r="D114" s="120" t="s">
        <v>59</v>
      </c>
      <c r="E114" s="121" t="s">
        <v>75</v>
      </c>
      <c r="F114" s="401"/>
      <c r="G114" s="345">
        <f t="shared" ref="G114:G122" si="70">IFERROR(H114/F114,0)</f>
        <v>0</v>
      </c>
      <c r="H114" s="345">
        <f t="shared" ref="H114:H122" si="71">SUM(J114:U114)</f>
        <v>0</v>
      </c>
      <c r="J114" s="366"/>
      <c r="K114" s="366"/>
      <c r="L114" s="366"/>
      <c r="M114" s="366"/>
      <c r="N114" s="366"/>
      <c r="O114" s="366"/>
      <c r="P114" s="366"/>
      <c r="Q114" s="366"/>
      <c r="R114" s="366"/>
      <c r="S114" s="366"/>
      <c r="T114" s="366"/>
      <c r="U114" s="367"/>
    </row>
    <row r="115" spans="2:21" x14ac:dyDescent="0.25">
      <c r="B115" s="119" t="s">
        <v>76</v>
      </c>
      <c r="C115" s="340">
        <v>720</v>
      </c>
      <c r="D115" s="120" t="s">
        <v>59</v>
      </c>
      <c r="E115" s="121" t="s">
        <v>75</v>
      </c>
      <c r="F115" s="401"/>
      <c r="G115" s="345">
        <f t="shared" si="70"/>
        <v>0</v>
      </c>
      <c r="H115" s="345">
        <f t="shared" si="71"/>
        <v>0</v>
      </c>
      <c r="J115" s="366"/>
      <c r="K115" s="366"/>
      <c r="L115" s="366"/>
      <c r="M115" s="366"/>
      <c r="N115" s="366"/>
      <c r="O115" s="366"/>
      <c r="P115" s="366"/>
      <c r="Q115" s="366"/>
      <c r="R115" s="366"/>
      <c r="S115" s="366"/>
      <c r="T115" s="366"/>
      <c r="U115" s="368"/>
    </row>
    <row r="116" spans="2:21" x14ac:dyDescent="0.25">
      <c r="B116" s="119" t="s">
        <v>77</v>
      </c>
      <c r="C116" s="340">
        <v>720</v>
      </c>
      <c r="D116" s="120" t="s">
        <v>59</v>
      </c>
      <c r="E116" s="121" t="s">
        <v>75</v>
      </c>
      <c r="F116" s="401"/>
      <c r="G116" s="345">
        <f t="shared" si="70"/>
        <v>0</v>
      </c>
      <c r="H116" s="345">
        <f t="shared" si="71"/>
        <v>0</v>
      </c>
      <c r="J116" s="366"/>
      <c r="K116" s="366"/>
      <c r="L116" s="366"/>
      <c r="M116" s="366"/>
      <c r="N116" s="366"/>
      <c r="O116" s="366"/>
      <c r="P116" s="366"/>
      <c r="Q116" s="366"/>
      <c r="R116" s="366"/>
      <c r="S116" s="366"/>
      <c r="T116" s="366"/>
      <c r="U116" s="368"/>
    </row>
    <row r="117" spans="2:21" x14ac:dyDescent="0.25">
      <c r="B117" s="119" t="s">
        <v>78</v>
      </c>
      <c r="C117" s="340">
        <v>720</v>
      </c>
      <c r="D117" s="120" t="s">
        <v>59</v>
      </c>
      <c r="E117" s="121" t="s">
        <v>75</v>
      </c>
      <c r="F117" s="401"/>
      <c r="G117" s="345">
        <f t="shared" si="70"/>
        <v>0</v>
      </c>
      <c r="H117" s="345">
        <f t="shared" si="71"/>
        <v>0</v>
      </c>
      <c r="J117" s="366"/>
      <c r="K117" s="366"/>
      <c r="L117" s="366"/>
      <c r="M117" s="366"/>
      <c r="N117" s="366"/>
      <c r="O117" s="366"/>
      <c r="P117" s="366"/>
      <c r="Q117" s="366"/>
      <c r="R117" s="366"/>
      <c r="S117" s="366"/>
      <c r="T117" s="366"/>
      <c r="U117" s="368"/>
    </row>
    <row r="118" spans="2:21" x14ac:dyDescent="0.25">
      <c r="B118" s="119" t="s">
        <v>205</v>
      </c>
      <c r="C118" s="340">
        <v>720</v>
      </c>
      <c r="D118" s="120" t="s">
        <v>59</v>
      </c>
      <c r="E118" s="121" t="s">
        <v>206</v>
      </c>
      <c r="F118" s="401"/>
      <c r="G118" s="345">
        <f t="shared" si="70"/>
        <v>0</v>
      </c>
      <c r="H118" s="345">
        <f t="shared" si="71"/>
        <v>0</v>
      </c>
      <c r="J118" s="366"/>
      <c r="K118" s="366"/>
      <c r="L118" s="366"/>
      <c r="M118" s="366"/>
      <c r="N118" s="366"/>
      <c r="O118" s="366"/>
      <c r="P118" s="366"/>
      <c r="Q118" s="366"/>
      <c r="R118" s="366"/>
      <c r="S118" s="366"/>
      <c r="T118" s="366"/>
      <c r="U118" s="368"/>
    </row>
    <row r="119" spans="2:21" x14ac:dyDescent="0.25">
      <c r="B119" s="119" t="s">
        <v>60</v>
      </c>
      <c r="C119" s="341" t="s">
        <v>194</v>
      </c>
      <c r="D119" s="120" t="s">
        <v>59</v>
      </c>
      <c r="E119" s="121" t="s">
        <v>79</v>
      </c>
      <c r="F119" s="401"/>
      <c r="G119" s="345">
        <f t="shared" si="70"/>
        <v>0</v>
      </c>
      <c r="H119" s="345">
        <f t="shared" si="71"/>
        <v>0</v>
      </c>
      <c r="J119" s="366"/>
      <c r="K119" s="366"/>
      <c r="L119" s="366"/>
      <c r="M119" s="366"/>
      <c r="N119" s="366"/>
      <c r="O119" s="366"/>
      <c r="P119" s="366"/>
      <c r="Q119" s="366"/>
      <c r="R119" s="366"/>
      <c r="S119" s="366"/>
      <c r="T119" s="366"/>
      <c r="U119" s="368"/>
    </row>
    <row r="120" spans="2:21" x14ac:dyDescent="0.25">
      <c r="B120" s="119" t="s">
        <v>80</v>
      </c>
      <c r="C120" s="341" t="s">
        <v>194</v>
      </c>
      <c r="D120" s="120" t="s">
        <v>59</v>
      </c>
      <c r="E120" s="121" t="s">
        <v>81</v>
      </c>
      <c r="F120" s="401"/>
      <c r="G120" s="345">
        <f t="shared" si="70"/>
        <v>0</v>
      </c>
      <c r="H120" s="345">
        <f t="shared" si="71"/>
        <v>0</v>
      </c>
      <c r="J120" s="366"/>
      <c r="K120" s="366"/>
      <c r="L120" s="366"/>
      <c r="M120" s="366"/>
      <c r="N120" s="366"/>
      <c r="O120" s="366"/>
      <c r="P120" s="366"/>
      <c r="Q120" s="366"/>
      <c r="R120" s="366"/>
      <c r="S120" s="366"/>
      <c r="T120" s="366"/>
      <c r="U120" s="368"/>
    </row>
    <row r="121" spans="2:21" x14ac:dyDescent="0.25">
      <c r="B121" s="336" t="s">
        <v>237</v>
      </c>
      <c r="C121" s="342" t="s">
        <v>195</v>
      </c>
      <c r="D121" s="337" t="s">
        <v>62</v>
      </c>
      <c r="E121" s="338" t="s">
        <v>79</v>
      </c>
      <c r="F121" s="402"/>
      <c r="G121" s="345">
        <f t="shared" si="70"/>
        <v>0</v>
      </c>
      <c r="H121" s="345">
        <f t="shared" si="71"/>
        <v>0</v>
      </c>
      <c r="J121" s="366"/>
      <c r="K121" s="366"/>
      <c r="L121" s="366"/>
      <c r="M121" s="366"/>
      <c r="N121" s="366"/>
      <c r="O121" s="366"/>
      <c r="P121" s="366"/>
      <c r="Q121" s="366"/>
      <c r="R121" s="366"/>
      <c r="S121" s="366"/>
      <c r="T121" s="366"/>
      <c r="U121" s="369"/>
    </row>
    <row r="122" spans="2:21" ht="15.75" thickBot="1" x14ac:dyDescent="0.3">
      <c r="B122" s="125" t="s">
        <v>236</v>
      </c>
      <c r="C122" s="343" t="s">
        <v>195</v>
      </c>
      <c r="D122" s="126" t="s">
        <v>62</v>
      </c>
      <c r="E122" s="127" t="s">
        <v>81</v>
      </c>
      <c r="F122" s="403"/>
      <c r="G122" s="437">
        <f t="shared" si="70"/>
        <v>0</v>
      </c>
      <c r="H122" s="346">
        <f t="shared" si="71"/>
        <v>0</v>
      </c>
      <c r="I122" s="33"/>
      <c r="J122" s="370"/>
      <c r="K122" s="370"/>
      <c r="L122" s="370"/>
      <c r="M122" s="370"/>
      <c r="N122" s="370"/>
      <c r="O122" s="370"/>
      <c r="P122" s="370"/>
      <c r="Q122" s="370"/>
      <c r="R122" s="370"/>
      <c r="S122" s="370"/>
      <c r="T122" s="370"/>
      <c r="U122" s="371"/>
    </row>
    <row r="123" spans="2:21" x14ac:dyDescent="0.25">
      <c r="J123" s="131"/>
      <c r="K123" s="131"/>
      <c r="L123" s="131"/>
      <c r="M123" s="131"/>
      <c r="N123" s="131"/>
      <c r="O123" s="131"/>
      <c r="P123" s="131"/>
      <c r="Q123" s="131"/>
      <c r="R123" s="131"/>
      <c r="S123" s="131"/>
      <c r="T123" s="131"/>
      <c r="U123" s="131"/>
    </row>
    <row r="124" spans="2:21" ht="15.75" thickBot="1" x14ac:dyDescent="0.3">
      <c r="J124" s="131"/>
      <c r="K124" s="131"/>
      <c r="L124" s="131"/>
      <c r="M124" s="131"/>
      <c r="N124" s="131"/>
      <c r="O124" s="131"/>
      <c r="P124" s="131"/>
      <c r="Q124" s="131"/>
      <c r="R124" s="131"/>
      <c r="S124" s="131"/>
      <c r="T124" s="131"/>
      <c r="U124" s="131"/>
    </row>
    <row r="125" spans="2:21" x14ac:dyDescent="0.25">
      <c r="B125" s="71" t="s">
        <v>82</v>
      </c>
      <c r="C125" s="9"/>
      <c r="D125" s="9"/>
      <c r="E125" s="9"/>
      <c r="F125" s="9"/>
      <c r="G125" s="40"/>
      <c r="J125" s="131"/>
      <c r="K125" s="131"/>
      <c r="L125" s="131"/>
      <c r="M125" s="131"/>
      <c r="N125" s="131"/>
      <c r="O125" s="131"/>
      <c r="P125" s="131"/>
      <c r="Q125" s="131"/>
      <c r="R125" s="131"/>
      <c r="S125" s="131"/>
      <c r="T125" s="131"/>
      <c r="U125" s="131"/>
    </row>
    <row r="126" spans="2:21" x14ac:dyDescent="0.25">
      <c r="B126" s="132" t="s">
        <v>83</v>
      </c>
      <c r="C126" s="43" t="s">
        <v>84</v>
      </c>
      <c r="D126"/>
      <c r="E126"/>
      <c r="F126" s="450" t="s">
        <v>85</v>
      </c>
      <c r="G126" s="451"/>
      <c r="I126" s="131"/>
      <c r="J126" s="131"/>
      <c r="K126" s="131"/>
      <c r="L126" s="131"/>
      <c r="M126" s="131"/>
      <c r="N126" s="131"/>
      <c r="O126" s="131"/>
      <c r="P126" s="131"/>
      <c r="Q126" s="131"/>
      <c r="R126" s="131"/>
      <c r="S126" s="131"/>
      <c r="T126" s="131"/>
    </row>
    <row r="127" spans="2:21" ht="18.75" x14ac:dyDescent="0.3">
      <c r="B127" s="133">
        <f>W16</f>
        <v>0</v>
      </c>
      <c r="C127" s="134"/>
      <c r="D127" s="134"/>
      <c r="E127" s="134"/>
      <c r="F127" s="135"/>
      <c r="G127" s="136"/>
      <c r="I127" s="131"/>
      <c r="J127" s="131"/>
      <c r="K127" s="131"/>
      <c r="L127" s="131"/>
      <c r="M127" s="131"/>
      <c r="N127" s="131"/>
      <c r="O127" s="131"/>
      <c r="P127" s="131"/>
      <c r="Q127" s="131"/>
      <c r="R127" s="131"/>
      <c r="S127" s="131"/>
      <c r="T127" s="131"/>
    </row>
    <row r="128" spans="2:21" x14ac:dyDescent="0.25">
      <c r="B128" s="137" t="s">
        <v>86</v>
      </c>
      <c r="C128" s="134"/>
      <c r="D128" s="134"/>
      <c r="E128" s="138">
        <f>H46</f>
        <v>0</v>
      </c>
      <c r="F128" s="135"/>
      <c r="G128" s="139" t="e">
        <f>E128/$B$127</f>
        <v>#DIV/0!</v>
      </c>
      <c r="I128" s="131"/>
      <c r="J128" s="131"/>
      <c r="K128" s="131"/>
      <c r="L128" s="131"/>
      <c r="M128" s="131"/>
      <c r="N128" s="131"/>
      <c r="O128" s="131"/>
      <c r="P128" s="131"/>
      <c r="Q128" s="131"/>
      <c r="R128" s="131"/>
      <c r="S128" s="131"/>
      <c r="T128" s="131"/>
    </row>
    <row r="129" spans="2:21" ht="9" customHeight="1" x14ac:dyDescent="0.25">
      <c r="B129" s="11"/>
      <c r="C129" s="134"/>
      <c r="D129" s="134"/>
      <c r="E129" s="134"/>
      <c r="F129" s="135"/>
      <c r="G129" s="136"/>
      <c r="I129" s="131"/>
      <c r="J129" s="131"/>
      <c r="K129" s="131"/>
      <c r="L129" s="131"/>
      <c r="M129" s="131"/>
      <c r="N129" s="131"/>
      <c r="O129" s="131"/>
      <c r="P129" s="131"/>
      <c r="Q129" s="131"/>
      <c r="R129" s="131"/>
      <c r="S129" s="131"/>
      <c r="T129" s="131"/>
    </row>
    <row r="130" spans="2:21" x14ac:dyDescent="0.25">
      <c r="B130" s="137" t="s">
        <v>87</v>
      </c>
      <c r="C130" s="134"/>
      <c r="D130" s="134"/>
      <c r="E130" s="134"/>
      <c r="F130" s="135"/>
      <c r="G130" s="136"/>
      <c r="I130" s="131"/>
      <c r="J130" s="131"/>
      <c r="K130" s="131"/>
      <c r="L130" s="131"/>
      <c r="M130" s="131"/>
      <c r="N130" s="131"/>
      <c r="O130" s="131"/>
      <c r="P130" s="131"/>
      <c r="Q130" s="131"/>
      <c r="R130" s="131"/>
      <c r="S130" s="131"/>
      <c r="T130" s="131"/>
    </row>
    <row r="131" spans="2:21" x14ac:dyDescent="0.25">
      <c r="B131" s="24" t="s">
        <v>88</v>
      </c>
      <c r="C131" s="138">
        <f>H51+SUM(H82:H89)</f>
        <v>0</v>
      </c>
      <c r="D131" s="138"/>
      <c r="E131" s="134"/>
      <c r="F131" s="140" t="e">
        <f t="shared" ref="F131:F138" si="72">C131/$B$127</f>
        <v>#DIV/0!</v>
      </c>
      <c r="G131" s="136"/>
      <c r="I131" s="131"/>
      <c r="J131" s="131"/>
      <c r="K131" s="131"/>
      <c r="L131" s="131"/>
      <c r="M131" s="131"/>
      <c r="N131" s="131"/>
      <c r="O131" s="131"/>
      <c r="P131" s="131"/>
      <c r="Q131" s="131"/>
      <c r="R131" s="131"/>
      <c r="S131" s="131"/>
      <c r="T131" s="131"/>
    </row>
    <row r="132" spans="2:21" x14ac:dyDescent="0.25">
      <c r="B132" s="24" t="s">
        <v>89</v>
      </c>
      <c r="C132" s="138">
        <f>H78</f>
        <v>0</v>
      </c>
      <c r="D132" s="138"/>
      <c r="E132" s="134"/>
      <c r="F132" s="140" t="e">
        <f t="shared" si="72"/>
        <v>#DIV/0!</v>
      </c>
      <c r="G132" s="136"/>
      <c r="I132" s="131"/>
      <c r="J132" s="131"/>
      <c r="K132" s="131"/>
      <c r="L132" s="131"/>
      <c r="M132" s="131"/>
      <c r="N132" s="131"/>
      <c r="O132" s="131"/>
      <c r="P132" s="131"/>
      <c r="Q132" s="131"/>
      <c r="R132" s="131"/>
      <c r="S132" s="131"/>
      <c r="T132" s="131"/>
    </row>
    <row r="133" spans="2:21" x14ac:dyDescent="0.25">
      <c r="B133" s="24" t="s">
        <v>59</v>
      </c>
      <c r="C133" s="138">
        <f>SUM(H90:H95)</f>
        <v>0</v>
      </c>
      <c r="D133" s="138"/>
      <c r="E133" s="134"/>
      <c r="F133" s="140" t="e">
        <f t="shared" si="72"/>
        <v>#DIV/0!</v>
      </c>
      <c r="G133" s="136"/>
      <c r="I133" s="131"/>
      <c r="J133" s="131"/>
      <c r="K133" s="131"/>
      <c r="L133" s="131"/>
      <c r="M133" s="131"/>
      <c r="N133" s="131"/>
      <c r="O133" s="131"/>
      <c r="P133" s="131"/>
      <c r="Q133" s="148"/>
      <c r="R133" s="131"/>
      <c r="S133" s="131"/>
      <c r="T133" s="131"/>
    </row>
    <row r="134" spans="2:21" x14ac:dyDescent="0.25">
      <c r="B134" s="24" t="s">
        <v>90</v>
      </c>
      <c r="C134" s="138">
        <f>SUM(H96:H97)</f>
        <v>0</v>
      </c>
      <c r="D134" s="138"/>
      <c r="E134" s="134"/>
      <c r="F134" s="140" t="e">
        <f t="shared" si="72"/>
        <v>#DIV/0!</v>
      </c>
      <c r="G134" s="136"/>
      <c r="I134" s="131"/>
      <c r="J134" s="131"/>
      <c r="K134" s="131"/>
      <c r="L134" s="131"/>
      <c r="M134" s="131"/>
      <c r="N134" s="131"/>
      <c r="O134" s="131"/>
      <c r="P134" s="131"/>
      <c r="Q134" s="131"/>
      <c r="R134" s="131"/>
      <c r="S134" s="131"/>
      <c r="T134" s="131"/>
    </row>
    <row r="135" spans="2:21" x14ac:dyDescent="0.25">
      <c r="B135" s="24" t="s">
        <v>91</v>
      </c>
      <c r="C135" s="138">
        <f>SUM(H98:H99)</f>
        <v>0</v>
      </c>
      <c r="D135" s="138"/>
      <c r="E135" s="134"/>
      <c r="F135" s="140" t="e">
        <f t="shared" si="72"/>
        <v>#DIV/0!</v>
      </c>
      <c r="G135" s="136"/>
      <c r="I135" s="131"/>
      <c r="J135" s="131"/>
      <c r="K135" s="131"/>
      <c r="L135" s="131"/>
      <c r="M135" s="131"/>
      <c r="N135" s="131"/>
      <c r="O135" s="131"/>
      <c r="P135" s="131"/>
      <c r="Q135" s="131"/>
      <c r="R135" s="131"/>
      <c r="S135" s="131"/>
      <c r="T135" s="131"/>
    </row>
    <row r="136" spans="2:21" x14ac:dyDescent="0.25">
      <c r="B136" s="24" t="s">
        <v>63</v>
      </c>
      <c r="C136" s="138">
        <f>SUM(H100:H102)</f>
        <v>0</v>
      </c>
      <c r="D136" s="138"/>
      <c r="E136" s="134"/>
      <c r="F136" s="140" t="e">
        <f t="shared" si="72"/>
        <v>#DIV/0!</v>
      </c>
      <c r="G136" s="136"/>
      <c r="I136" s="131"/>
      <c r="J136" s="131"/>
      <c r="K136" s="131"/>
      <c r="L136" s="131"/>
      <c r="M136" s="131"/>
      <c r="N136" s="131"/>
      <c r="O136" s="131"/>
      <c r="P136" s="131"/>
      <c r="Q136" s="131"/>
      <c r="R136" s="131"/>
      <c r="S136" s="131"/>
      <c r="T136" s="131"/>
    </row>
    <row r="137" spans="2:21" x14ac:dyDescent="0.25">
      <c r="B137" s="24" t="s">
        <v>68</v>
      </c>
      <c r="C137" s="138">
        <f>H105</f>
        <v>0</v>
      </c>
      <c r="D137" s="138"/>
      <c r="E137" s="134"/>
      <c r="F137" s="140" t="e">
        <f t="shared" si="72"/>
        <v>#DIV/0!</v>
      </c>
      <c r="G137" s="136"/>
      <c r="I137" s="131"/>
      <c r="J137" s="131"/>
      <c r="K137" s="131"/>
      <c r="L137" s="131"/>
      <c r="M137" s="131"/>
      <c r="N137" s="131"/>
      <c r="O137" s="131"/>
      <c r="P137" s="131"/>
      <c r="Q137" s="131"/>
      <c r="R137" s="131"/>
      <c r="S137" s="131"/>
      <c r="T137" s="131"/>
    </row>
    <row r="138" spans="2:21" x14ac:dyDescent="0.25">
      <c r="B138" s="24" t="s">
        <v>92</v>
      </c>
      <c r="C138" s="141">
        <f>SUM(H103:H104)</f>
        <v>0</v>
      </c>
      <c r="D138" s="141"/>
      <c r="E138" s="141">
        <f>SUM(C131:C138)</f>
        <v>0</v>
      </c>
      <c r="F138" s="142" t="e">
        <f t="shared" si="72"/>
        <v>#DIV/0!</v>
      </c>
      <c r="G138" s="143" t="e">
        <f>SUM(F131:F138)</f>
        <v>#DIV/0!</v>
      </c>
      <c r="I138" s="131"/>
      <c r="J138" s="131"/>
      <c r="K138" s="131"/>
      <c r="L138" s="131"/>
      <c r="M138" s="131"/>
      <c r="N138" s="131"/>
      <c r="O138" s="131"/>
      <c r="P138" s="131"/>
      <c r="Q138" s="131"/>
      <c r="R138" s="131"/>
      <c r="S138" s="131"/>
      <c r="T138" s="131"/>
    </row>
    <row r="139" spans="2:21" ht="19.5" thickBot="1" x14ac:dyDescent="0.35">
      <c r="B139" s="32"/>
      <c r="C139" s="144"/>
      <c r="D139" s="144"/>
      <c r="E139" s="145">
        <f>E128-E138</f>
        <v>0</v>
      </c>
      <c r="F139" s="146"/>
      <c r="G139" s="147" t="e">
        <f>G128-G138</f>
        <v>#DIV/0!</v>
      </c>
      <c r="I139" s="131"/>
      <c r="J139" s="131"/>
      <c r="K139" s="131"/>
      <c r="L139" s="131"/>
      <c r="M139" s="131"/>
      <c r="N139" s="131"/>
      <c r="O139" s="131"/>
      <c r="P139" s="131"/>
      <c r="Q139" s="131"/>
      <c r="R139" s="131"/>
      <c r="S139" s="131"/>
      <c r="T139" s="131"/>
    </row>
    <row r="140" spans="2:21" x14ac:dyDescent="0.25">
      <c r="J140" s="131"/>
      <c r="K140" s="131"/>
      <c r="L140" s="131"/>
      <c r="M140" s="131"/>
      <c r="N140" s="131"/>
      <c r="O140" s="131"/>
      <c r="P140" s="131"/>
      <c r="Q140" s="131"/>
      <c r="R140" s="131"/>
      <c r="S140" s="131"/>
      <c r="T140" s="131"/>
      <c r="U140" s="131"/>
    </row>
    <row r="141" spans="2:21" x14ac:dyDescent="0.25">
      <c r="J141" s="131"/>
      <c r="K141" s="131"/>
      <c r="L141" s="131"/>
      <c r="M141" s="131"/>
      <c r="N141" s="131"/>
      <c r="O141" s="131"/>
      <c r="P141" s="131"/>
      <c r="Q141" s="131"/>
      <c r="R141" s="131"/>
      <c r="S141" s="131"/>
      <c r="T141" s="131"/>
      <c r="U141" s="131"/>
    </row>
    <row r="142" spans="2:21" x14ac:dyDescent="0.25">
      <c r="J142" s="131"/>
      <c r="K142" s="131"/>
      <c r="L142" s="131"/>
      <c r="M142" s="148"/>
      <c r="N142" s="131"/>
      <c r="O142" s="131"/>
      <c r="P142" s="131"/>
      <c r="Q142" s="131"/>
      <c r="R142" s="131"/>
      <c r="S142" s="131"/>
      <c r="T142" s="131"/>
      <c r="U142" s="131"/>
    </row>
  </sheetData>
  <sheetProtection algorithmName="SHA-512" hashValue="Bf9R5Okz4mcs7L+lIVFYjJY4JYJqXgX1NHkqrhpU+nYbEtfRM/IElC6S/oxJG5zC9BMqLwOXdUxD5f3/ITVm0A==" saltValue="k4NLdOBlX2RAgRFRt+PHQw==" spinCount="100000" sheet="1" selectLockedCells="1"/>
  <protectedRanges>
    <protectedRange sqref="J7:U13" name="Production_1"/>
    <protectedRange sqref="J4:U6" name="Production_1_1"/>
    <protectedRange sqref="F41:G41" name="JAS converions_1"/>
    <protectedRange sqref="G56:G77" name="Log transport costs_1"/>
    <protectedRange sqref="C20:C40" name="Grade mix_1"/>
    <protectedRange sqref="F20:G40" name="JAS converions_1_1"/>
  </protectedRanges>
  <mergeCells count="6">
    <mergeCell ref="J113:U113"/>
    <mergeCell ref="F126:G126"/>
    <mergeCell ref="I10:I12"/>
    <mergeCell ref="I13:I16"/>
    <mergeCell ref="I4:I6"/>
    <mergeCell ref="I7:I9"/>
  </mergeCells>
  <conditionalFormatting sqref="C42">
    <cfRule type="cellIs" dxfId="12" priority="1" operator="greaterThan">
      <formula>0.99</formula>
    </cfRule>
  </conditionalFormatting>
  <dataValidations count="1">
    <dataValidation type="whole" errorStyle="warning" allowBlank="1" showInputMessage="1" showErrorMessage="1" errorTitle="High number of skids" error="Are you sure you are going to build this many skids?" sqref="J119:U122" xr:uid="{760956B9-831B-487B-BA2A-87A522EC74DC}">
      <formula1>0</formula1>
      <formula2>10</formula2>
    </dataValidation>
  </dataValidations>
  <pageMargins left="0.70866141732283472" right="0.70866141732283472" top="0.74803149606299213" bottom="0.74803149606299213" header="0.31496062992125984" footer="0.31496062992125984"/>
  <pageSetup paperSize="8" scale="36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F81F6-36E1-4204-8170-A345B12F003A}">
  <sheetPr codeName="Sheet7">
    <tabColor rgb="FFFF0000"/>
    <pageSetUpPr fitToPage="1"/>
  </sheetPr>
  <dimension ref="A1:X173"/>
  <sheetViews>
    <sheetView zoomScale="80" zoomScaleNormal="80" workbookViewId="0">
      <pane xSplit="8" ySplit="19" topLeftCell="I20" activePane="bottomRight" state="frozen"/>
      <selection activeCell="I2" sqref="I2"/>
      <selection pane="topRight" activeCell="I2" sqref="I2"/>
      <selection pane="bottomLeft" activeCell="I2" sqref="I2"/>
      <selection pane="bottomRight" activeCell="I2" sqref="I2"/>
    </sheetView>
  </sheetViews>
  <sheetFormatPr defaultColWidth="9" defaultRowHeight="15" x14ac:dyDescent="0.25"/>
  <cols>
    <col min="1" max="1" width="2.28515625" style="1" customWidth="1"/>
    <col min="2" max="2" width="39.7109375" style="1" customWidth="1"/>
    <col min="3" max="3" width="13.85546875" style="1" customWidth="1"/>
    <col min="4" max="4" width="14.7109375" style="1" customWidth="1"/>
    <col min="5" max="5" width="19.7109375" style="1" customWidth="1"/>
    <col min="6" max="6" width="12.42578125" style="1" customWidth="1"/>
    <col min="7" max="7" width="13.28515625" style="1" bestFit="1" customWidth="1"/>
    <col min="8" max="8" width="20.42578125" style="1" customWidth="1"/>
    <col min="9" max="9" width="8.7109375" style="1" customWidth="1"/>
    <col min="10" max="21" width="15.7109375" style="1" bestFit="1" customWidth="1"/>
    <col min="22" max="22" width="5" style="1" customWidth="1"/>
    <col min="23" max="23" width="15.28515625" style="4" bestFit="1" customWidth="1"/>
    <col min="24" max="24" width="17.5703125" style="1" customWidth="1"/>
    <col min="25" max="16384" width="9" style="1"/>
  </cols>
  <sheetData>
    <row r="1" spans="2:24" ht="15.75" thickBot="1" x14ac:dyDescent="0.3">
      <c r="C1" s="2">
        <f>'Waipuna Budget'!C1</f>
        <v>2025</v>
      </c>
      <c r="D1" s="3" t="s">
        <v>0</v>
      </c>
    </row>
    <row r="2" spans="2:24" ht="27" thickBot="1" x14ac:dyDescent="0.45">
      <c r="B2" s="5" t="str">
        <f>'Waipuna Budget'!B2</f>
        <v>Waipuna</v>
      </c>
      <c r="H2" s="43" t="s">
        <v>209</v>
      </c>
      <c r="I2" s="404"/>
      <c r="W2" s="6"/>
      <c r="X2" s="7"/>
    </row>
    <row r="3" spans="2:24" ht="15.75" x14ac:dyDescent="0.25">
      <c r="B3" s="8" t="s">
        <v>1</v>
      </c>
      <c r="C3" s="9"/>
      <c r="D3" s="9"/>
      <c r="E3" s="9"/>
      <c r="F3" s="9"/>
      <c r="G3" s="9" t="s">
        <v>241</v>
      </c>
      <c r="H3" s="10"/>
      <c r="I3" s="304">
        <f>IF(NOT(ISBLANK(J5)), J5, IF(NOT(ISBLANK(J8)), J8, IF(NOT(ISBLANK(J11)), J11, 0)))+IF(NOT(ISBLANK(K5)), K5, IF(NOT(ISBLANK(K8)), K8, IF(NOT(ISBLANK(K11)), K11, 0)))+IF(NOT(ISBLANK(L5)), L5, IF(NOT(ISBLANK(L8)), L8, IF(NOT(ISBLANK(L11)), L11, 0)))+IF(NOT(ISBLANK(M5)), M5, IF(NOT(ISBLANK(M8)), M8, IF(NOT(ISBLANK(M11)), M11, 0)))+IF(NOT(ISBLANK(N5)), N5, IF(NOT(ISBLANK(N8)), N8, IF(NOT(ISBLANK(N11)), N11, 0)))+IF(NOT(ISBLANK(O5)), O5, IF(NOT(ISBLANK(O8)), O8, IF(NOT(ISBLANK(O11)), O11, 0)))+IF(NOT(ISBLANK(P5)), P5, IF(NOT(ISBLANK(P8)), P8, IF(NOT(ISBLANK(P11)), P11, 0)))+IF(NOT(ISBLANK(Q5)), Q5, IF(NOT(ISBLANK(Q8)), Q8, IF(NOT(ISBLANK(Q11)), Q11, 0)))+IF(NOT(ISBLANK(R5)), R5, IF(NOT(ISBLANK(R8)), R8, IF(NOT(ISBLANK(R11)), R11, 0)))+IF(NOT(ISBLANK(S5)), S5, IF(NOT(ISBLANK(S8)), S8, IF(NOT(ISBLANK(S11)), S11, 0)))+IF(NOT(ISBLANK(T5)), T5, IF(NOT(ISBLANK(T8)), T8, IF(NOT(ISBLANK(T11)), T11, 0)))+IF(NOT(ISBLANK(U5)), U5, IF(NOT(ISBLANK(U8)), U8, IF(NOT(ISBLANK(U11)), U11, 0)))</f>
        <v>0</v>
      </c>
      <c r="J3" s="178">
        <v>45658</v>
      </c>
      <c r="K3" s="178">
        <v>45689</v>
      </c>
      <c r="L3" s="178">
        <v>45717</v>
      </c>
      <c r="M3" s="178">
        <v>45748</v>
      </c>
      <c r="N3" s="178">
        <v>45778</v>
      </c>
      <c r="O3" s="178">
        <v>45809</v>
      </c>
      <c r="P3" s="178">
        <v>45839</v>
      </c>
      <c r="Q3" s="178">
        <v>45870</v>
      </c>
      <c r="R3" s="178">
        <v>45901</v>
      </c>
      <c r="S3" s="178">
        <v>45931</v>
      </c>
      <c r="T3" s="178">
        <v>45962</v>
      </c>
      <c r="U3" s="178">
        <v>45992</v>
      </c>
      <c r="W3" s="6"/>
      <c r="X3" s="7"/>
    </row>
    <row r="4" spans="2:24" x14ac:dyDescent="0.25">
      <c r="B4" s="11"/>
      <c r="G4" s="12" t="s">
        <v>3</v>
      </c>
      <c r="H4" s="301" t="s">
        <v>242</v>
      </c>
      <c r="I4" s="458">
        <f>IFERROR(SUM(J4:U4)/$W$16,0)</f>
        <v>0</v>
      </c>
      <c r="J4" s="13"/>
      <c r="K4" s="13"/>
      <c r="L4" s="13"/>
      <c r="M4" s="14"/>
      <c r="N4" s="14"/>
      <c r="O4" s="14"/>
      <c r="P4" s="14"/>
      <c r="Q4" s="14"/>
      <c r="R4" s="14"/>
      <c r="S4" s="14"/>
      <c r="T4" s="14"/>
      <c r="U4" s="15"/>
      <c r="W4" s="6"/>
      <c r="X4" s="7"/>
    </row>
    <row r="5" spans="2:24" x14ac:dyDescent="0.25">
      <c r="B5" s="11"/>
      <c r="G5" s="16"/>
      <c r="H5" s="1" t="s">
        <v>5</v>
      </c>
      <c r="I5" s="459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5"/>
      <c r="W5" s="6"/>
      <c r="X5" s="7"/>
    </row>
    <row r="6" spans="2:24" ht="15.75" thickBot="1" x14ac:dyDescent="0.3">
      <c r="B6" s="11"/>
      <c r="G6" s="17"/>
      <c r="H6" s="302" t="s">
        <v>6</v>
      </c>
      <c r="I6" s="460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380"/>
      <c r="W6" s="6"/>
      <c r="X6" s="7"/>
    </row>
    <row r="7" spans="2:24" x14ac:dyDescent="0.25">
      <c r="B7" s="11"/>
      <c r="G7" s="12" t="s">
        <v>7</v>
      </c>
      <c r="H7" s="301" t="s">
        <v>242</v>
      </c>
      <c r="I7" s="458">
        <f>IFERROR(SUM(J7:U7)/$W$16,0)</f>
        <v>0</v>
      </c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20"/>
      <c r="W7" s="6"/>
      <c r="X7" s="7"/>
    </row>
    <row r="8" spans="2:24" x14ac:dyDescent="0.25">
      <c r="B8" s="11"/>
      <c r="G8" s="16"/>
      <c r="H8" s="1" t="s">
        <v>5</v>
      </c>
      <c r="I8" s="459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5"/>
      <c r="W8" s="6"/>
      <c r="X8" s="7"/>
    </row>
    <row r="9" spans="2:24" ht="15.75" thickBot="1" x14ac:dyDescent="0.3">
      <c r="B9" s="11"/>
      <c r="G9" s="17"/>
      <c r="H9" s="302" t="s">
        <v>6</v>
      </c>
      <c r="I9" s="460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2"/>
      <c r="W9" s="6"/>
      <c r="X9" s="7"/>
    </row>
    <row r="10" spans="2:24" x14ac:dyDescent="0.25">
      <c r="B10" s="11"/>
      <c r="G10" s="12" t="s">
        <v>8</v>
      </c>
      <c r="H10" s="301" t="s">
        <v>242</v>
      </c>
      <c r="I10" s="458">
        <f>IFERROR(SUM(J10:U10)/$W$16,0)</f>
        <v>0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5"/>
      <c r="W10" s="6"/>
      <c r="X10" s="7"/>
    </row>
    <row r="11" spans="2:24" x14ac:dyDescent="0.25">
      <c r="B11" s="11"/>
      <c r="G11" s="16"/>
      <c r="H11" s="1" t="s">
        <v>5</v>
      </c>
      <c r="I11" s="459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5"/>
      <c r="W11" s="6"/>
      <c r="X11" s="7"/>
    </row>
    <row r="12" spans="2:24" ht="15.75" thickBot="1" x14ac:dyDescent="0.3">
      <c r="B12" s="11"/>
      <c r="G12" s="17"/>
      <c r="H12" s="302" t="s">
        <v>6</v>
      </c>
      <c r="I12" s="460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2"/>
      <c r="V12" s="7"/>
      <c r="W12" s="6"/>
      <c r="X12" s="7"/>
    </row>
    <row r="13" spans="2:24" x14ac:dyDescent="0.25">
      <c r="B13" s="11"/>
      <c r="G13" s="1" t="s">
        <v>2</v>
      </c>
      <c r="H13" s="1" t="s">
        <v>244</v>
      </c>
      <c r="I13" s="461">
        <f>SUM(I4:I12)</f>
        <v>0</v>
      </c>
      <c r="J13" s="412">
        <f t="shared" ref="J13:U13" si="0">J4+J7+J10</f>
        <v>0</v>
      </c>
      <c r="K13" s="412">
        <f t="shared" si="0"/>
        <v>0</v>
      </c>
      <c r="L13" s="412">
        <f t="shared" si="0"/>
        <v>0</v>
      </c>
      <c r="M13" s="412">
        <f t="shared" si="0"/>
        <v>0</v>
      </c>
      <c r="N13" s="412">
        <f t="shared" si="0"/>
        <v>0</v>
      </c>
      <c r="O13" s="412">
        <f t="shared" si="0"/>
        <v>0</v>
      </c>
      <c r="P13" s="412">
        <f t="shared" si="0"/>
        <v>0</v>
      </c>
      <c r="Q13" s="412">
        <f t="shared" si="0"/>
        <v>0</v>
      </c>
      <c r="R13" s="412">
        <f t="shared" si="0"/>
        <v>0</v>
      </c>
      <c r="S13" s="412">
        <f t="shared" si="0"/>
        <v>0</v>
      </c>
      <c r="T13" s="412">
        <f t="shared" si="0"/>
        <v>0</v>
      </c>
      <c r="U13" s="413">
        <f t="shared" si="0"/>
        <v>0</v>
      </c>
      <c r="V13" s="7"/>
      <c r="W13" s="28">
        <f>I3</f>
        <v>0</v>
      </c>
      <c r="X13" s="306" t="s">
        <v>208</v>
      </c>
    </row>
    <row r="14" spans="2:24" x14ac:dyDescent="0.25">
      <c r="B14" s="24"/>
      <c r="C14" s="25"/>
      <c r="D14" s="26"/>
      <c r="H14" t="s">
        <v>245</v>
      </c>
      <c r="I14" s="462"/>
      <c r="J14" s="414">
        <f t="shared" ref="J14:U14" si="1">J13-J16</f>
        <v>0</v>
      </c>
      <c r="K14" s="414">
        <f t="shared" si="1"/>
        <v>0</v>
      </c>
      <c r="L14" s="414">
        <f t="shared" si="1"/>
        <v>0</v>
      </c>
      <c r="M14" s="414">
        <f t="shared" si="1"/>
        <v>0</v>
      </c>
      <c r="N14" s="414">
        <f t="shared" si="1"/>
        <v>0</v>
      </c>
      <c r="O14" s="414">
        <f t="shared" si="1"/>
        <v>0</v>
      </c>
      <c r="P14" s="414">
        <f t="shared" si="1"/>
        <v>0</v>
      </c>
      <c r="Q14" s="414">
        <f t="shared" si="1"/>
        <v>0</v>
      </c>
      <c r="R14" s="414">
        <f t="shared" si="1"/>
        <v>0</v>
      </c>
      <c r="S14" s="414">
        <f t="shared" si="1"/>
        <v>0</v>
      </c>
      <c r="T14" s="414">
        <f t="shared" si="1"/>
        <v>0</v>
      </c>
      <c r="U14" s="415">
        <f t="shared" si="1"/>
        <v>0</v>
      </c>
      <c r="W14" s="28">
        <f>SUM(J14:U14)</f>
        <v>0</v>
      </c>
      <c r="X14" s="306" t="str">
        <f>H14</f>
        <v>Variance Tones</v>
      </c>
    </row>
    <row r="15" spans="2:24" x14ac:dyDescent="0.25">
      <c r="B15" s="24"/>
      <c r="C15" s="29"/>
      <c r="D15" s="30"/>
      <c r="G15" s="1" t="s">
        <v>2</v>
      </c>
      <c r="H15" s="1" t="s">
        <v>207</v>
      </c>
      <c r="I15" s="462"/>
      <c r="J15" s="412">
        <f t="shared" ref="J15:U15" si="2">IFERROR(J13/$I$2,0)</f>
        <v>0</v>
      </c>
      <c r="K15" s="412">
        <f t="shared" si="2"/>
        <v>0</v>
      </c>
      <c r="L15" s="412">
        <f t="shared" si="2"/>
        <v>0</v>
      </c>
      <c r="M15" s="412">
        <f t="shared" si="2"/>
        <v>0</v>
      </c>
      <c r="N15" s="412">
        <f t="shared" si="2"/>
        <v>0</v>
      </c>
      <c r="O15" s="412">
        <f t="shared" si="2"/>
        <v>0</v>
      </c>
      <c r="P15" s="412">
        <f t="shared" si="2"/>
        <v>0</v>
      </c>
      <c r="Q15" s="412">
        <f t="shared" si="2"/>
        <v>0</v>
      </c>
      <c r="R15" s="412">
        <f t="shared" si="2"/>
        <v>0</v>
      </c>
      <c r="S15" s="412">
        <f t="shared" si="2"/>
        <v>0</v>
      </c>
      <c r="T15" s="412">
        <f t="shared" si="2"/>
        <v>0</v>
      </c>
      <c r="U15" s="413">
        <f t="shared" si="2"/>
        <v>0</v>
      </c>
      <c r="V15" s="31"/>
      <c r="W15" s="28">
        <f>SUM(J15:U15)</f>
        <v>0</v>
      </c>
      <c r="X15" s="306" t="str">
        <f>H15</f>
        <v>Hectare (ha)</v>
      </c>
    </row>
    <row r="16" spans="2:24" ht="15.75" thickBot="1" x14ac:dyDescent="0.3">
      <c r="B16" s="32"/>
      <c r="C16" s="33"/>
      <c r="D16" s="33"/>
      <c r="E16" s="33"/>
      <c r="F16" s="33"/>
      <c r="G16" s="33" t="s">
        <v>2</v>
      </c>
      <c r="H16" s="33" t="s">
        <v>243</v>
      </c>
      <c r="I16" s="463"/>
      <c r="J16" s="416">
        <f>Volume_2!D27</f>
        <v>0</v>
      </c>
      <c r="K16" s="416">
        <f>Volume_2!H27</f>
        <v>0</v>
      </c>
      <c r="L16" s="416">
        <f>Volume_2!L27</f>
        <v>0</v>
      </c>
      <c r="M16" s="416">
        <f>Volume_2!P27</f>
        <v>0</v>
      </c>
      <c r="N16" s="416">
        <f>Volume_2!T27</f>
        <v>0</v>
      </c>
      <c r="O16" s="416">
        <f>Volume_2!X27</f>
        <v>0</v>
      </c>
      <c r="P16" s="416">
        <f>Volume_2!AB27</f>
        <v>0</v>
      </c>
      <c r="Q16" s="416">
        <f>Volume_2!AF27</f>
        <v>0</v>
      </c>
      <c r="R16" s="416">
        <f>Volume_2!AJ27</f>
        <v>0</v>
      </c>
      <c r="S16" s="416">
        <f>Volume_2!AN27</f>
        <v>0</v>
      </c>
      <c r="T16" s="416">
        <f>Volume_2!AR27</f>
        <v>0</v>
      </c>
      <c r="U16" s="417">
        <f>Volume_2!AV27</f>
        <v>0</v>
      </c>
      <c r="W16" s="28">
        <f>SUM(J16:U16)</f>
        <v>0</v>
      </c>
      <c r="X16" s="35" t="str">
        <f>H16</f>
        <v>Invoice Tonnes</v>
      </c>
    </row>
    <row r="17" spans="1:24" ht="25.5" customHeight="1" thickBot="1" x14ac:dyDescent="0.3">
      <c r="C17" s="7"/>
      <c r="D17" s="7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7"/>
      <c r="W17" s="38"/>
    </row>
    <row r="18" spans="1:24" ht="16.5" thickBot="1" x14ac:dyDescent="0.3">
      <c r="B18" s="8" t="s">
        <v>12</v>
      </c>
      <c r="C18" s="9"/>
      <c r="D18" s="9"/>
      <c r="E18" s="9"/>
      <c r="F18" s="9"/>
      <c r="G18" s="9"/>
      <c r="H18" s="9"/>
      <c r="I18" s="9"/>
      <c r="J18" s="39"/>
      <c r="K18" s="9"/>
      <c r="L18" s="9"/>
      <c r="M18" s="9"/>
      <c r="N18" s="9"/>
      <c r="O18" s="9"/>
      <c r="P18" s="9"/>
      <c r="Q18" s="9"/>
      <c r="R18" s="9"/>
      <c r="S18" s="9"/>
      <c r="T18" s="9"/>
      <c r="U18" s="40"/>
    </row>
    <row r="19" spans="1:24" x14ac:dyDescent="0.25">
      <c r="B19" s="41" t="s">
        <v>13</v>
      </c>
      <c r="C19" s="42" t="s">
        <v>14</v>
      </c>
      <c r="D19" s="42" t="s">
        <v>210</v>
      </c>
      <c r="E19" s="42" t="s">
        <v>15</v>
      </c>
      <c r="F19" s="42" t="s">
        <v>16</v>
      </c>
      <c r="G19" s="42" t="s">
        <v>17</v>
      </c>
      <c r="H19" s="42" t="s">
        <v>18</v>
      </c>
      <c r="I19" s="43"/>
      <c r="J19" s="178">
        <v>45658</v>
      </c>
      <c r="K19" s="178">
        <v>45689</v>
      </c>
      <c r="L19" s="178">
        <v>45717</v>
      </c>
      <c r="M19" s="178">
        <v>45748</v>
      </c>
      <c r="N19" s="178">
        <v>45778</v>
      </c>
      <c r="O19" s="178">
        <v>45809</v>
      </c>
      <c r="P19" s="178">
        <v>45839</v>
      </c>
      <c r="Q19" s="178">
        <v>45870</v>
      </c>
      <c r="R19" s="178">
        <v>45901</v>
      </c>
      <c r="S19" s="178">
        <v>45931</v>
      </c>
      <c r="T19" s="178">
        <v>45962</v>
      </c>
      <c r="U19" s="178">
        <v>45992</v>
      </c>
    </row>
    <row r="20" spans="1:24" x14ac:dyDescent="0.25">
      <c r="A20" s="11"/>
      <c r="B20" s="239" t="s">
        <v>20</v>
      </c>
      <c r="C20" s="240"/>
      <c r="D20" s="240"/>
      <c r="E20" s="409" t="s">
        <v>21</v>
      </c>
      <c r="F20" s="241"/>
      <c r="G20" s="241"/>
      <c r="H20" s="418">
        <f t="shared" ref="H20:H41" si="3">SUM(J20:U20)</f>
        <v>0</v>
      </c>
      <c r="I20" s="419"/>
      <c r="J20" s="420">
        <f>Volume_2!G4</f>
        <v>0</v>
      </c>
      <c r="K20" s="420">
        <f>Volume_2!K4</f>
        <v>0</v>
      </c>
      <c r="L20" s="420">
        <f>Volume_2!O4</f>
        <v>0</v>
      </c>
      <c r="M20" s="420">
        <f>Volume_2!S4</f>
        <v>0</v>
      </c>
      <c r="N20" s="420">
        <f>Volume_2!W4</f>
        <v>0</v>
      </c>
      <c r="O20" s="420">
        <f>Volume_2!AA4</f>
        <v>0</v>
      </c>
      <c r="P20" s="420">
        <f>Volume_2!AE4</f>
        <v>0</v>
      </c>
      <c r="Q20" s="420">
        <f>Volume_2!AI4</f>
        <v>0</v>
      </c>
      <c r="R20" s="420">
        <f>Volume_2!AM4</f>
        <v>0</v>
      </c>
      <c r="S20" s="420">
        <f>Volume_2!AQ4</f>
        <v>0</v>
      </c>
      <c r="T20" s="420">
        <f>Volume_2!AU4</f>
        <v>0</v>
      </c>
      <c r="U20" s="420">
        <f>Volume_2!AY4</f>
        <v>0</v>
      </c>
      <c r="W20" s="38"/>
    </row>
    <row r="21" spans="1:24" x14ac:dyDescent="0.25">
      <c r="A21" s="11"/>
      <c r="B21" s="239" t="s">
        <v>22</v>
      </c>
      <c r="C21" s="240"/>
      <c r="D21" s="240"/>
      <c r="E21" s="409" t="s">
        <v>21</v>
      </c>
      <c r="F21" s="241"/>
      <c r="G21" s="241"/>
      <c r="H21" s="418">
        <f t="shared" si="3"/>
        <v>0</v>
      </c>
      <c r="I21" s="419"/>
      <c r="J21" s="420">
        <f>Volume_2!G5</f>
        <v>0</v>
      </c>
      <c r="K21" s="420">
        <f>Volume_2!K5</f>
        <v>0</v>
      </c>
      <c r="L21" s="420">
        <f>Volume_2!O5</f>
        <v>0</v>
      </c>
      <c r="M21" s="420">
        <f>Volume_2!S5</f>
        <v>0</v>
      </c>
      <c r="N21" s="420">
        <f>Volume_2!W5</f>
        <v>0</v>
      </c>
      <c r="O21" s="420">
        <f>Volume_2!AA5</f>
        <v>0</v>
      </c>
      <c r="P21" s="420">
        <f>Volume_2!AE5</f>
        <v>0</v>
      </c>
      <c r="Q21" s="420">
        <f>Volume_2!AI5</f>
        <v>0</v>
      </c>
      <c r="R21" s="420">
        <f>Volume_2!AM5</f>
        <v>0</v>
      </c>
      <c r="S21" s="420">
        <f>Volume_2!AQ5</f>
        <v>0</v>
      </c>
      <c r="T21" s="420">
        <f>Volume_2!AU5</f>
        <v>0</v>
      </c>
      <c r="U21" s="420">
        <f>Volume_2!AY5</f>
        <v>0</v>
      </c>
      <c r="W21" s="38"/>
    </row>
    <row r="22" spans="1:24" x14ac:dyDescent="0.25">
      <c r="A22" s="11"/>
      <c r="B22" s="239" t="s">
        <v>25</v>
      </c>
      <c r="C22" s="240"/>
      <c r="D22" s="240"/>
      <c r="E22" s="409" t="s">
        <v>21</v>
      </c>
      <c r="F22" s="241"/>
      <c r="G22" s="241"/>
      <c r="H22" s="418">
        <f t="shared" si="3"/>
        <v>0</v>
      </c>
      <c r="I22" s="419"/>
      <c r="J22" s="420">
        <f>Volume_2!G6</f>
        <v>0</v>
      </c>
      <c r="K22" s="420">
        <f>Volume_2!K6</f>
        <v>0</v>
      </c>
      <c r="L22" s="420">
        <f>Volume_2!O6</f>
        <v>0</v>
      </c>
      <c r="M22" s="420">
        <f>Volume_2!S6</f>
        <v>0</v>
      </c>
      <c r="N22" s="420">
        <f>Volume_2!W6</f>
        <v>0</v>
      </c>
      <c r="O22" s="420">
        <f>Volume_2!AA6</f>
        <v>0</v>
      </c>
      <c r="P22" s="420">
        <f>Volume_2!AE6</f>
        <v>0</v>
      </c>
      <c r="Q22" s="420">
        <f>Volume_2!AI6</f>
        <v>0</v>
      </c>
      <c r="R22" s="420">
        <f>Volume_2!AM6</f>
        <v>0</v>
      </c>
      <c r="S22" s="420">
        <f>Volume_2!AQ6</f>
        <v>0</v>
      </c>
      <c r="T22" s="420">
        <f>Volume_2!AU6</f>
        <v>0</v>
      </c>
      <c r="U22" s="420">
        <f>Volume_2!AY6</f>
        <v>0</v>
      </c>
      <c r="W22" s="38"/>
      <c r="X22"/>
    </row>
    <row r="23" spans="1:24" x14ac:dyDescent="0.25">
      <c r="A23" s="11"/>
      <c r="B23" s="242" t="s">
        <v>30</v>
      </c>
      <c r="C23" s="240"/>
      <c r="D23" s="240"/>
      <c r="E23" s="409" t="s">
        <v>21</v>
      </c>
      <c r="F23" s="241"/>
      <c r="G23" s="241"/>
      <c r="H23" s="418">
        <f t="shared" si="3"/>
        <v>0</v>
      </c>
      <c r="I23" s="419"/>
      <c r="J23" s="420">
        <f>Volume_2!G7</f>
        <v>0</v>
      </c>
      <c r="K23" s="420">
        <f>Volume_2!K7</f>
        <v>0</v>
      </c>
      <c r="L23" s="420">
        <f>Volume_2!O7</f>
        <v>0</v>
      </c>
      <c r="M23" s="420">
        <f>Volume_2!S7</f>
        <v>0</v>
      </c>
      <c r="N23" s="420">
        <f>Volume_2!W7</f>
        <v>0</v>
      </c>
      <c r="O23" s="420">
        <f>Volume_2!AA7</f>
        <v>0</v>
      </c>
      <c r="P23" s="420">
        <f>Volume_2!AE7</f>
        <v>0</v>
      </c>
      <c r="Q23" s="420">
        <f>Volume_2!AI7</f>
        <v>0</v>
      </c>
      <c r="R23" s="420">
        <f>Volume_2!AM7</f>
        <v>0</v>
      </c>
      <c r="S23" s="420">
        <f>Volume_2!AQ7</f>
        <v>0</v>
      </c>
      <c r="T23" s="420">
        <f>Volume_2!AU7</f>
        <v>0</v>
      </c>
      <c r="U23" s="420">
        <f>Volume_2!AY7</f>
        <v>0</v>
      </c>
      <c r="W23" s="38"/>
    </row>
    <row r="24" spans="1:24" x14ac:dyDescent="0.25">
      <c r="A24" s="11"/>
      <c r="B24" s="242" t="s">
        <v>222</v>
      </c>
      <c r="C24" s="240"/>
      <c r="D24" s="240"/>
      <c r="E24" s="409" t="s">
        <v>21</v>
      </c>
      <c r="F24" s="241"/>
      <c r="G24" s="241"/>
      <c r="H24" s="418">
        <f t="shared" si="3"/>
        <v>0</v>
      </c>
      <c r="I24" s="419"/>
      <c r="J24" s="420">
        <f>Volume_2!G8</f>
        <v>0</v>
      </c>
      <c r="K24" s="420">
        <f>Volume_2!K8</f>
        <v>0</v>
      </c>
      <c r="L24" s="420">
        <f>Volume_2!O8</f>
        <v>0</v>
      </c>
      <c r="M24" s="420">
        <f>Volume_2!S8</f>
        <v>0</v>
      </c>
      <c r="N24" s="420">
        <f>Volume_2!W8</f>
        <v>0</v>
      </c>
      <c r="O24" s="420">
        <f>Volume_2!AA8</f>
        <v>0</v>
      </c>
      <c r="P24" s="420">
        <f>Volume_2!AE8</f>
        <v>0</v>
      </c>
      <c r="Q24" s="420">
        <f>Volume_2!AI8</f>
        <v>0</v>
      </c>
      <c r="R24" s="420">
        <f>Volume_2!AM8</f>
        <v>0</v>
      </c>
      <c r="S24" s="420">
        <f>Volume_2!AQ8</f>
        <v>0</v>
      </c>
      <c r="T24" s="420">
        <f>Volume_2!AU8</f>
        <v>0</v>
      </c>
      <c r="U24" s="420">
        <f>Volume_2!AY8</f>
        <v>0</v>
      </c>
      <c r="W24" s="38"/>
    </row>
    <row r="25" spans="1:24" x14ac:dyDescent="0.25">
      <c r="A25" s="11"/>
      <c r="B25" s="242" t="s">
        <v>34</v>
      </c>
      <c r="C25" s="240"/>
      <c r="D25" s="240"/>
      <c r="E25" s="409" t="s">
        <v>21</v>
      </c>
      <c r="F25" s="241"/>
      <c r="G25" s="241"/>
      <c r="H25" s="418">
        <f t="shared" si="3"/>
        <v>0</v>
      </c>
      <c r="I25" s="419"/>
      <c r="J25" s="420">
        <f>Volume_2!G9</f>
        <v>0</v>
      </c>
      <c r="K25" s="420">
        <f>Volume_2!K9</f>
        <v>0</v>
      </c>
      <c r="L25" s="420">
        <f>Volume_2!O9</f>
        <v>0</v>
      </c>
      <c r="M25" s="420">
        <f>Volume_2!S9</f>
        <v>0</v>
      </c>
      <c r="N25" s="420">
        <f>Volume_2!W9</f>
        <v>0</v>
      </c>
      <c r="O25" s="420">
        <f>Volume_2!AA9</f>
        <v>0</v>
      </c>
      <c r="P25" s="420">
        <f>Volume_2!AE9</f>
        <v>0</v>
      </c>
      <c r="Q25" s="420">
        <f>Volume_2!AI9</f>
        <v>0</v>
      </c>
      <c r="R25" s="420">
        <f>Volume_2!AM9</f>
        <v>0</v>
      </c>
      <c r="S25" s="420">
        <f>Volume_2!AQ9</f>
        <v>0</v>
      </c>
      <c r="T25" s="420">
        <f>Volume_2!AU9</f>
        <v>0</v>
      </c>
      <c r="U25" s="420">
        <f>Volume_2!AY9</f>
        <v>0</v>
      </c>
      <c r="W25" s="38"/>
    </row>
    <row r="26" spans="1:24" x14ac:dyDescent="0.25">
      <c r="A26" s="11"/>
      <c r="B26" s="242" t="s">
        <v>37</v>
      </c>
      <c r="C26" s="240"/>
      <c r="D26" s="240"/>
      <c r="E26" s="409" t="s">
        <v>21</v>
      </c>
      <c r="F26" s="241"/>
      <c r="G26" s="241"/>
      <c r="H26" s="418">
        <f t="shared" si="3"/>
        <v>0</v>
      </c>
      <c r="I26" s="419"/>
      <c r="J26" s="420">
        <f>Volume_2!G10</f>
        <v>0</v>
      </c>
      <c r="K26" s="420">
        <f>Volume_2!K10</f>
        <v>0</v>
      </c>
      <c r="L26" s="420">
        <f>Volume_2!O10</f>
        <v>0</v>
      </c>
      <c r="M26" s="420">
        <f>Volume_2!S10</f>
        <v>0</v>
      </c>
      <c r="N26" s="420">
        <f>Volume_2!W10</f>
        <v>0</v>
      </c>
      <c r="O26" s="420">
        <f>Volume_2!AA10</f>
        <v>0</v>
      </c>
      <c r="P26" s="420">
        <f>Volume_2!AE10</f>
        <v>0</v>
      </c>
      <c r="Q26" s="420">
        <f>Volume_2!AI10</f>
        <v>0</v>
      </c>
      <c r="R26" s="420">
        <f>Volume_2!AM10</f>
        <v>0</v>
      </c>
      <c r="S26" s="420">
        <f>Volume_2!AQ10</f>
        <v>0</v>
      </c>
      <c r="T26" s="420">
        <f>Volume_2!AU10</f>
        <v>0</v>
      </c>
      <c r="U26" s="420">
        <f>Volume_2!AY10</f>
        <v>0</v>
      </c>
      <c r="W26" s="38"/>
    </row>
    <row r="27" spans="1:24" x14ac:dyDescent="0.25">
      <c r="A27" s="11"/>
      <c r="B27" s="242" t="s">
        <v>174</v>
      </c>
      <c r="C27" s="240"/>
      <c r="D27" s="240"/>
      <c r="E27" s="409" t="s">
        <v>21</v>
      </c>
      <c r="F27" s="241"/>
      <c r="G27" s="241"/>
      <c r="H27" s="418">
        <f t="shared" si="3"/>
        <v>0</v>
      </c>
      <c r="I27" s="419"/>
      <c r="J27" s="420">
        <f>Volume_2!G11</f>
        <v>0</v>
      </c>
      <c r="K27" s="420">
        <f>Volume_2!K11</f>
        <v>0</v>
      </c>
      <c r="L27" s="420">
        <f>Volume_2!O11</f>
        <v>0</v>
      </c>
      <c r="M27" s="420">
        <f>Volume_2!S11</f>
        <v>0</v>
      </c>
      <c r="N27" s="420">
        <f>Volume_2!W11</f>
        <v>0</v>
      </c>
      <c r="O27" s="420">
        <f>Volume_2!AA11</f>
        <v>0</v>
      </c>
      <c r="P27" s="420">
        <f>Volume_2!AE11</f>
        <v>0</v>
      </c>
      <c r="Q27" s="420">
        <f>Volume_2!AI11</f>
        <v>0</v>
      </c>
      <c r="R27" s="420">
        <f>Volume_2!AM11</f>
        <v>0</v>
      </c>
      <c r="S27" s="420">
        <f>Volume_2!AQ11</f>
        <v>0</v>
      </c>
      <c r="T27" s="420">
        <f>Volume_2!AU11</f>
        <v>0</v>
      </c>
      <c r="U27" s="420">
        <f>Volume_2!AY11</f>
        <v>0</v>
      </c>
      <c r="W27" s="38"/>
    </row>
    <row r="28" spans="1:24" x14ac:dyDescent="0.25">
      <c r="A28" s="11"/>
      <c r="B28" s="376" t="s">
        <v>202</v>
      </c>
      <c r="C28" s="377"/>
      <c r="D28" s="377"/>
      <c r="E28" s="390" t="s">
        <v>21</v>
      </c>
      <c r="F28" s="44"/>
      <c r="G28" s="44"/>
      <c r="H28" s="418">
        <f t="shared" si="3"/>
        <v>0</v>
      </c>
      <c r="I28" s="419"/>
      <c r="J28" s="420">
        <f>Volume_2!G12</f>
        <v>0</v>
      </c>
      <c r="K28" s="420">
        <f>Volume_2!K12</f>
        <v>0</v>
      </c>
      <c r="L28" s="420">
        <f>Volume_2!O12</f>
        <v>0</v>
      </c>
      <c r="M28" s="420">
        <f>Volume_2!S12</f>
        <v>0</v>
      </c>
      <c r="N28" s="420">
        <f>Volume_2!W12</f>
        <v>0</v>
      </c>
      <c r="O28" s="420">
        <f>Volume_2!AA12</f>
        <v>0</v>
      </c>
      <c r="P28" s="420">
        <f>Volume_2!AE12</f>
        <v>0</v>
      </c>
      <c r="Q28" s="420">
        <f>Volume_2!AI12</f>
        <v>0</v>
      </c>
      <c r="R28" s="420">
        <f>Volume_2!AM12</f>
        <v>0</v>
      </c>
      <c r="S28" s="420">
        <f>Volume_2!AQ12</f>
        <v>0</v>
      </c>
      <c r="T28" s="420">
        <f>Volume_2!AU12</f>
        <v>0</v>
      </c>
      <c r="U28" s="420">
        <f>Volume_2!AY12</f>
        <v>0</v>
      </c>
      <c r="W28" s="38"/>
    </row>
    <row r="29" spans="1:24" x14ac:dyDescent="0.25">
      <c r="A29" s="11"/>
      <c r="B29" s="243" t="s">
        <v>175</v>
      </c>
      <c r="C29" s="244"/>
      <c r="D29" s="244"/>
      <c r="E29" s="410" t="s">
        <v>19</v>
      </c>
      <c r="F29" s="245"/>
      <c r="G29" s="245"/>
      <c r="H29" s="418">
        <f t="shared" si="3"/>
        <v>0</v>
      </c>
      <c r="I29" s="419"/>
      <c r="J29" s="420">
        <f>Volume_2!G13</f>
        <v>0</v>
      </c>
      <c r="K29" s="420">
        <f>Volume_2!K13</f>
        <v>0</v>
      </c>
      <c r="L29" s="420">
        <f>Volume_2!O13</f>
        <v>0</v>
      </c>
      <c r="M29" s="420">
        <f>Volume_2!S13</f>
        <v>0</v>
      </c>
      <c r="N29" s="420">
        <f>Volume_2!W13</f>
        <v>0</v>
      </c>
      <c r="O29" s="420">
        <f>Volume_2!AA13</f>
        <v>0</v>
      </c>
      <c r="P29" s="420">
        <f>Volume_2!AE13</f>
        <v>0</v>
      </c>
      <c r="Q29" s="420">
        <f>Volume_2!AI13</f>
        <v>0</v>
      </c>
      <c r="R29" s="420">
        <f>Volume_2!AM13</f>
        <v>0</v>
      </c>
      <c r="S29" s="420">
        <f>Volume_2!AQ13</f>
        <v>0</v>
      </c>
      <c r="T29" s="420">
        <f>Volume_2!AU13</f>
        <v>0</v>
      </c>
      <c r="U29" s="420">
        <f>Volume_2!AY13</f>
        <v>0</v>
      </c>
      <c r="W29" s="38"/>
    </row>
    <row r="30" spans="1:24" x14ac:dyDescent="0.25">
      <c r="A30" s="11"/>
      <c r="B30" s="243" t="s">
        <v>176</v>
      </c>
      <c r="C30" s="244"/>
      <c r="D30" s="244"/>
      <c r="E30" s="410" t="s">
        <v>19</v>
      </c>
      <c r="F30" s="245"/>
      <c r="G30" s="245"/>
      <c r="H30" s="418">
        <f t="shared" si="3"/>
        <v>0</v>
      </c>
      <c r="I30" s="419"/>
      <c r="J30" s="420">
        <f>Volume_2!G14</f>
        <v>0</v>
      </c>
      <c r="K30" s="420">
        <f>Volume_2!K14</f>
        <v>0</v>
      </c>
      <c r="L30" s="420">
        <f>Volume_2!O14</f>
        <v>0</v>
      </c>
      <c r="M30" s="420">
        <f>Volume_2!S14</f>
        <v>0</v>
      </c>
      <c r="N30" s="420">
        <f>Volume_2!W14</f>
        <v>0</v>
      </c>
      <c r="O30" s="420">
        <f>Volume_2!AA14</f>
        <v>0</v>
      </c>
      <c r="P30" s="420">
        <f>Volume_2!AE14</f>
        <v>0</v>
      </c>
      <c r="Q30" s="420">
        <f>Volume_2!AI14</f>
        <v>0</v>
      </c>
      <c r="R30" s="420">
        <f>Volume_2!AM14</f>
        <v>0</v>
      </c>
      <c r="S30" s="420">
        <f>Volume_2!AQ14</f>
        <v>0</v>
      </c>
      <c r="T30" s="420">
        <f>Volume_2!AU14</f>
        <v>0</v>
      </c>
      <c r="U30" s="420">
        <f>Volume_2!AY14</f>
        <v>0</v>
      </c>
      <c r="W30" s="38"/>
    </row>
    <row r="31" spans="1:24" x14ac:dyDescent="0.25">
      <c r="A31" s="11"/>
      <c r="B31" s="243" t="s">
        <v>23</v>
      </c>
      <c r="C31" s="244"/>
      <c r="D31" s="244"/>
      <c r="E31" s="411" t="s">
        <v>19</v>
      </c>
      <c r="F31" s="245"/>
      <c r="G31" s="245"/>
      <c r="H31" s="418">
        <f t="shared" si="3"/>
        <v>0</v>
      </c>
      <c r="I31" s="419"/>
      <c r="J31" s="420">
        <f>Volume_2!G15</f>
        <v>0</v>
      </c>
      <c r="K31" s="420">
        <f>Volume_2!K15</f>
        <v>0</v>
      </c>
      <c r="L31" s="420">
        <f>Volume_2!O15</f>
        <v>0</v>
      </c>
      <c r="M31" s="420">
        <f>Volume_2!S15</f>
        <v>0</v>
      </c>
      <c r="N31" s="420">
        <f>Volume_2!W15</f>
        <v>0</v>
      </c>
      <c r="O31" s="420">
        <f>Volume_2!AA15</f>
        <v>0</v>
      </c>
      <c r="P31" s="420">
        <f>Volume_2!AE15</f>
        <v>0</v>
      </c>
      <c r="Q31" s="420">
        <f>Volume_2!AI15</f>
        <v>0</v>
      </c>
      <c r="R31" s="420">
        <f>Volume_2!AM15</f>
        <v>0</v>
      </c>
      <c r="S31" s="420">
        <f>Volume_2!AQ15</f>
        <v>0</v>
      </c>
      <c r="T31" s="420">
        <f>Volume_2!AU15</f>
        <v>0</v>
      </c>
      <c r="U31" s="420">
        <f>Volume_2!AY15</f>
        <v>0</v>
      </c>
      <c r="W31" s="38"/>
    </row>
    <row r="32" spans="1:24" x14ac:dyDescent="0.25">
      <c r="A32" s="11"/>
      <c r="B32" s="246" t="s">
        <v>24</v>
      </c>
      <c r="C32" s="244"/>
      <c r="D32" s="244"/>
      <c r="E32" s="411" t="s">
        <v>19</v>
      </c>
      <c r="F32" s="245"/>
      <c r="G32" s="245"/>
      <c r="H32" s="418">
        <f t="shared" si="3"/>
        <v>0</v>
      </c>
      <c r="I32" s="419"/>
      <c r="J32" s="420">
        <f>Volume_2!G16</f>
        <v>0</v>
      </c>
      <c r="K32" s="420">
        <f>Volume_2!K16</f>
        <v>0</v>
      </c>
      <c r="L32" s="420">
        <f>Volume_2!O16</f>
        <v>0</v>
      </c>
      <c r="M32" s="420">
        <f>Volume_2!S16</f>
        <v>0</v>
      </c>
      <c r="N32" s="420">
        <f>Volume_2!W16</f>
        <v>0</v>
      </c>
      <c r="O32" s="420">
        <f>Volume_2!AA16</f>
        <v>0</v>
      </c>
      <c r="P32" s="420">
        <f>Volume_2!AE16</f>
        <v>0</v>
      </c>
      <c r="Q32" s="420">
        <f>Volume_2!AI16</f>
        <v>0</v>
      </c>
      <c r="R32" s="420">
        <f>Volume_2!AM16</f>
        <v>0</v>
      </c>
      <c r="S32" s="420">
        <f>Volume_2!AQ16</f>
        <v>0</v>
      </c>
      <c r="T32" s="420">
        <f>Volume_2!AU16</f>
        <v>0</v>
      </c>
      <c r="U32" s="420">
        <f>Volume_2!AY16</f>
        <v>0</v>
      </c>
      <c r="W32" s="38"/>
    </row>
    <row r="33" spans="1:23" x14ac:dyDescent="0.25">
      <c r="A33" s="11"/>
      <c r="B33" s="246" t="s">
        <v>26</v>
      </c>
      <c r="C33" s="244"/>
      <c r="D33" s="244"/>
      <c r="E33" s="411" t="s">
        <v>19</v>
      </c>
      <c r="F33" s="245"/>
      <c r="G33" s="245"/>
      <c r="H33" s="418">
        <f t="shared" si="3"/>
        <v>0</v>
      </c>
      <c r="I33" s="419"/>
      <c r="J33" s="420">
        <f>Volume_2!G17</f>
        <v>0</v>
      </c>
      <c r="K33" s="420">
        <f>Volume_2!K17</f>
        <v>0</v>
      </c>
      <c r="L33" s="420">
        <f>Volume_2!O17</f>
        <v>0</v>
      </c>
      <c r="M33" s="420">
        <f>Volume_2!S17</f>
        <v>0</v>
      </c>
      <c r="N33" s="420">
        <f>Volume_2!W17</f>
        <v>0</v>
      </c>
      <c r="O33" s="420">
        <f>Volume_2!AA17</f>
        <v>0</v>
      </c>
      <c r="P33" s="420">
        <f>Volume_2!AE17</f>
        <v>0</v>
      </c>
      <c r="Q33" s="420">
        <f>Volume_2!AI17</f>
        <v>0</v>
      </c>
      <c r="R33" s="420">
        <f>Volume_2!AM17</f>
        <v>0</v>
      </c>
      <c r="S33" s="420">
        <f>Volume_2!AQ17</f>
        <v>0</v>
      </c>
      <c r="T33" s="420">
        <f>Volume_2!AU17</f>
        <v>0</v>
      </c>
      <c r="U33" s="420">
        <f>Volume_2!AY17</f>
        <v>0</v>
      </c>
      <c r="W33" s="38"/>
    </row>
    <row r="34" spans="1:23" x14ac:dyDescent="0.25">
      <c r="A34" s="11"/>
      <c r="B34" s="246" t="s">
        <v>27</v>
      </c>
      <c r="C34" s="244"/>
      <c r="D34" s="244"/>
      <c r="E34" s="410" t="s">
        <v>19</v>
      </c>
      <c r="F34" s="245"/>
      <c r="G34" s="245"/>
      <c r="H34" s="418">
        <f t="shared" si="3"/>
        <v>0</v>
      </c>
      <c r="I34" s="419"/>
      <c r="J34" s="420">
        <f>Volume_2!G18</f>
        <v>0</v>
      </c>
      <c r="K34" s="420">
        <f>Volume_2!K18</f>
        <v>0</v>
      </c>
      <c r="L34" s="420">
        <f>Volume_2!O18</f>
        <v>0</v>
      </c>
      <c r="M34" s="420">
        <f>Volume_2!S18</f>
        <v>0</v>
      </c>
      <c r="N34" s="420">
        <f>Volume_2!W18</f>
        <v>0</v>
      </c>
      <c r="O34" s="420">
        <f>Volume_2!AA18</f>
        <v>0</v>
      </c>
      <c r="P34" s="420">
        <f>Volume_2!AE18</f>
        <v>0</v>
      </c>
      <c r="Q34" s="420">
        <f>Volume_2!AI18</f>
        <v>0</v>
      </c>
      <c r="R34" s="420">
        <f>Volume_2!AM18</f>
        <v>0</v>
      </c>
      <c r="S34" s="420">
        <f>Volume_2!AQ18</f>
        <v>0</v>
      </c>
      <c r="T34" s="420">
        <f>Volume_2!AU18</f>
        <v>0</v>
      </c>
      <c r="U34" s="420">
        <f>Volume_2!AY18</f>
        <v>0</v>
      </c>
      <c r="W34" s="38"/>
    </row>
    <row r="35" spans="1:23" x14ac:dyDescent="0.25">
      <c r="A35" s="11"/>
      <c r="B35" s="243" t="s">
        <v>29</v>
      </c>
      <c r="C35" s="244"/>
      <c r="D35" s="244"/>
      <c r="E35" s="411" t="s">
        <v>19</v>
      </c>
      <c r="F35" s="245"/>
      <c r="G35" s="245"/>
      <c r="H35" s="418">
        <f t="shared" si="3"/>
        <v>0</v>
      </c>
      <c r="I35" s="419"/>
      <c r="J35" s="420">
        <f>Volume_2!G19</f>
        <v>0</v>
      </c>
      <c r="K35" s="420">
        <f>Volume_2!K19</f>
        <v>0</v>
      </c>
      <c r="L35" s="420">
        <f>Volume_2!O19</f>
        <v>0</v>
      </c>
      <c r="M35" s="420">
        <f>Volume_2!S19</f>
        <v>0</v>
      </c>
      <c r="N35" s="420">
        <f>Volume_2!W19</f>
        <v>0</v>
      </c>
      <c r="O35" s="420">
        <f>Volume_2!AA19</f>
        <v>0</v>
      </c>
      <c r="P35" s="420">
        <f>Volume_2!AE19</f>
        <v>0</v>
      </c>
      <c r="Q35" s="420">
        <f>Volume_2!AI19</f>
        <v>0</v>
      </c>
      <c r="R35" s="420">
        <f>Volume_2!AM19</f>
        <v>0</v>
      </c>
      <c r="S35" s="420">
        <f>Volume_2!AQ19</f>
        <v>0</v>
      </c>
      <c r="T35" s="420">
        <f>Volume_2!AU19</f>
        <v>0</v>
      </c>
      <c r="U35" s="420">
        <f>Volume_2!AY19</f>
        <v>0</v>
      </c>
      <c r="W35" s="38"/>
    </row>
    <row r="36" spans="1:23" x14ac:dyDescent="0.25">
      <c r="A36" s="11"/>
      <c r="B36" s="243" t="s">
        <v>28</v>
      </c>
      <c r="C36" s="244"/>
      <c r="D36" s="244"/>
      <c r="E36" s="411" t="s">
        <v>19</v>
      </c>
      <c r="F36" s="245"/>
      <c r="G36" s="245"/>
      <c r="H36" s="418">
        <f t="shared" si="3"/>
        <v>0</v>
      </c>
      <c r="I36" s="419"/>
      <c r="J36" s="420">
        <f>Volume_2!G20</f>
        <v>0</v>
      </c>
      <c r="K36" s="420">
        <f>Volume_2!K20</f>
        <v>0</v>
      </c>
      <c r="L36" s="420">
        <f>Volume_2!O20</f>
        <v>0</v>
      </c>
      <c r="M36" s="420">
        <f>Volume_2!S20</f>
        <v>0</v>
      </c>
      <c r="N36" s="420">
        <f>Volume_2!W20</f>
        <v>0</v>
      </c>
      <c r="O36" s="420">
        <f>Volume_2!AA20</f>
        <v>0</v>
      </c>
      <c r="P36" s="420">
        <f>Volume_2!AE20</f>
        <v>0</v>
      </c>
      <c r="Q36" s="420">
        <f>Volume_2!AI20</f>
        <v>0</v>
      </c>
      <c r="R36" s="420">
        <f>Volume_2!AM20</f>
        <v>0</v>
      </c>
      <c r="S36" s="420">
        <f>Volume_2!AQ20</f>
        <v>0</v>
      </c>
      <c r="T36" s="420">
        <f>Volume_2!AU20</f>
        <v>0</v>
      </c>
      <c r="U36" s="420">
        <f>Volume_2!AY20</f>
        <v>0</v>
      </c>
      <c r="W36" s="38"/>
    </row>
    <row r="37" spans="1:23" x14ac:dyDescent="0.25">
      <c r="A37" s="11"/>
      <c r="B37" s="246" t="s">
        <v>31</v>
      </c>
      <c r="C37" s="244"/>
      <c r="D37" s="244"/>
      <c r="E37" s="411" t="s">
        <v>19</v>
      </c>
      <c r="F37" s="245"/>
      <c r="G37" s="245"/>
      <c r="H37" s="418">
        <f t="shared" si="3"/>
        <v>0</v>
      </c>
      <c r="I37" s="419"/>
      <c r="J37" s="420">
        <f>Volume_2!G21</f>
        <v>0</v>
      </c>
      <c r="K37" s="420">
        <f>Volume_2!K21</f>
        <v>0</v>
      </c>
      <c r="L37" s="420">
        <f>Volume_2!O21</f>
        <v>0</v>
      </c>
      <c r="M37" s="420">
        <f>Volume_2!S21</f>
        <v>0</v>
      </c>
      <c r="N37" s="420">
        <f>Volume_2!W21</f>
        <v>0</v>
      </c>
      <c r="O37" s="420">
        <f>Volume_2!AA21</f>
        <v>0</v>
      </c>
      <c r="P37" s="420">
        <f>Volume_2!AE21</f>
        <v>0</v>
      </c>
      <c r="Q37" s="420">
        <f>Volume_2!AI21</f>
        <v>0</v>
      </c>
      <c r="R37" s="420">
        <f>Volume_2!AM21</f>
        <v>0</v>
      </c>
      <c r="S37" s="420">
        <f>Volume_2!AQ21</f>
        <v>0</v>
      </c>
      <c r="T37" s="420">
        <f>Volume_2!AU21</f>
        <v>0</v>
      </c>
      <c r="U37" s="420">
        <f>Volume_2!AY21</f>
        <v>0</v>
      </c>
      <c r="W37" s="38"/>
    </row>
    <row r="38" spans="1:23" x14ac:dyDescent="0.25">
      <c r="A38" s="11"/>
      <c r="B38" s="246" t="s">
        <v>32</v>
      </c>
      <c r="C38" s="244"/>
      <c r="D38" s="244"/>
      <c r="E38" s="411" t="s">
        <v>19</v>
      </c>
      <c r="F38" s="245"/>
      <c r="G38" s="245"/>
      <c r="H38" s="418">
        <f t="shared" si="3"/>
        <v>0</v>
      </c>
      <c r="I38" s="419"/>
      <c r="J38" s="420">
        <f>Volume_2!G22</f>
        <v>0</v>
      </c>
      <c r="K38" s="420">
        <f>Volume_2!K22</f>
        <v>0</v>
      </c>
      <c r="L38" s="420">
        <f>Volume_2!O22</f>
        <v>0</v>
      </c>
      <c r="M38" s="420">
        <f>Volume_2!S22</f>
        <v>0</v>
      </c>
      <c r="N38" s="420">
        <f>Volume_2!W22</f>
        <v>0</v>
      </c>
      <c r="O38" s="420">
        <f>Volume_2!AA22</f>
        <v>0</v>
      </c>
      <c r="P38" s="420">
        <f>Volume_2!AE22</f>
        <v>0</v>
      </c>
      <c r="Q38" s="420">
        <f>Volume_2!AI22</f>
        <v>0</v>
      </c>
      <c r="R38" s="420">
        <f>Volume_2!AM22</f>
        <v>0</v>
      </c>
      <c r="S38" s="420">
        <f>Volume_2!AQ22</f>
        <v>0</v>
      </c>
      <c r="T38" s="420">
        <f>Volume_2!AU22</f>
        <v>0</v>
      </c>
      <c r="U38" s="420">
        <f>Volume_2!AY22</f>
        <v>0</v>
      </c>
      <c r="W38" s="38"/>
    </row>
    <row r="39" spans="1:23" x14ac:dyDescent="0.25">
      <c r="A39" s="11"/>
      <c r="B39" s="246" t="s">
        <v>33</v>
      </c>
      <c r="C39" s="244"/>
      <c r="D39" s="244"/>
      <c r="E39" s="411" t="s">
        <v>19</v>
      </c>
      <c r="F39" s="245"/>
      <c r="G39" s="245"/>
      <c r="H39" s="418">
        <f t="shared" si="3"/>
        <v>0</v>
      </c>
      <c r="I39" s="419"/>
      <c r="J39" s="420">
        <f>Volume_2!G23</f>
        <v>0</v>
      </c>
      <c r="K39" s="420">
        <f>Volume_2!K23</f>
        <v>0</v>
      </c>
      <c r="L39" s="420">
        <f>Volume_2!O23</f>
        <v>0</v>
      </c>
      <c r="M39" s="420">
        <f>Volume_2!S23</f>
        <v>0</v>
      </c>
      <c r="N39" s="420">
        <f>Volume_2!W23</f>
        <v>0</v>
      </c>
      <c r="O39" s="420">
        <f>Volume_2!AA23</f>
        <v>0</v>
      </c>
      <c r="P39" s="420">
        <f>Volume_2!AE23</f>
        <v>0</v>
      </c>
      <c r="Q39" s="420">
        <f>Volume_2!AI23</f>
        <v>0</v>
      </c>
      <c r="R39" s="420">
        <f>Volume_2!AM23</f>
        <v>0</v>
      </c>
      <c r="S39" s="420">
        <f>Volume_2!AQ23</f>
        <v>0</v>
      </c>
      <c r="T39" s="420">
        <f>Volume_2!AU23</f>
        <v>0</v>
      </c>
      <c r="U39" s="420">
        <f>Volume_2!AY23</f>
        <v>0</v>
      </c>
      <c r="W39" s="38"/>
    </row>
    <row r="40" spans="1:23" x14ac:dyDescent="0.25">
      <c r="A40" s="11"/>
      <c r="B40" s="246" t="s">
        <v>35</v>
      </c>
      <c r="C40" s="244"/>
      <c r="D40" s="244"/>
      <c r="E40" s="411" t="s">
        <v>19</v>
      </c>
      <c r="F40" s="245"/>
      <c r="G40" s="245"/>
      <c r="H40" s="418">
        <f t="shared" si="3"/>
        <v>0</v>
      </c>
      <c r="I40" s="419"/>
      <c r="J40" s="420">
        <f>Volume_2!G24</f>
        <v>0</v>
      </c>
      <c r="K40" s="420">
        <f>Volume_2!K24</f>
        <v>0</v>
      </c>
      <c r="L40" s="420">
        <f>Volume_2!O24</f>
        <v>0</v>
      </c>
      <c r="M40" s="420">
        <f>Volume_2!S24</f>
        <v>0</v>
      </c>
      <c r="N40" s="420">
        <f>Volume_2!W24</f>
        <v>0</v>
      </c>
      <c r="O40" s="420">
        <f>Volume_2!AA24</f>
        <v>0</v>
      </c>
      <c r="P40" s="420">
        <f>Volume_2!AE24</f>
        <v>0</v>
      </c>
      <c r="Q40" s="420">
        <f>Volume_2!AI24</f>
        <v>0</v>
      </c>
      <c r="R40" s="420">
        <f>Volume_2!AM24</f>
        <v>0</v>
      </c>
      <c r="S40" s="420">
        <f>Volume_2!AQ24</f>
        <v>0</v>
      </c>
      <c r="T40" s="420">
        <f>Volume_2!AU24</f>
        <v>0</v>
      </c>
      <c r="U40" s="420">
        <f>Volume_2!AY24</f>
        <v>0</v>
      </c>
      <c r="W40" s="38"/>
    </row>
    <row r="41" spans="1:23" x14ac:dyDescent="0.25">
      <c r="A41" s="11"/>
      <c r="B41" s="243" t="s">
        <v>36</v>
      </c>
      <c r="C41" s="244"/>
      <c r="D41" s="244"/>
      <c r="E41" s="411" t="s">
        <v>19</v>
      </c>
      <c r="F41" s="245"/>
      <c r="G41" s="245"/>
      <c r="H41" s="418">
        <f t="shared" si="3"/>
        <v>0</v>
      </c>
      <c r="I41" s="419"/>
      <c r="J41" s="420">
        <f>Volume_2!G25</f>
        <v>0</v>
      </c>
      <c r="K41" s="420">
        <f>Volume_2!K25</f>
        <v>0</v>
      </c>
      <c r="L41" s="420">
        <f>Volume_2!O25</f>
        <v>0</v>
      </c>
      <c r="M41" s="420">
        <f>Volume_2!S25</f>
        <v>0</v>
      </c>
      <c r="N41" s="420">
        <f>Volume_2!W25</f>
        <v>0</v>
      </c>
      <c r="O41" s="420">
        <f>Volume_2!AA25</f>
        <v>0</v>
      </c>
      <c r="P41" s="420">
        <f>Volume_2!AE25</f>
        <v>0</v>
      </c>
      <c r="Q41" s="420">
        <f>Volume_2!AI25</f>
        <v>0</v>
      </c>
      <c r="R41" s="420">
        <f>Volume_2!AM25</f>
        <v>0</v>
      </c>
      <c r="S41" s="420">
        <f>Volume_2!AQ25</f>
        <v>0</v>
      </c>
      <c r="T41" s="420">
        <f>Volume_2!AU25</f>
        <v>0</v>
      </c>
      <c r="U41" s="420">
        <f>Volume_2!AY25</f>
        <v>0</v>
      </c>
      <c r="W41" s="38"/>
    </row>
    <row r="42" spans="1:23" ht="15.75" thickBot="1" x14ac:dyDescent="0.3">
      <c r="A42" s="11"/>
      <c r="B42" s="49"/>
      <c r="C42" s="50">
        <f>SUM(C20:C41)</f>
        <v>0</v>
      </c>
      <c r="D42" s="51"/>
      <c r="E42" s="52"/>
      <c r="F42" s="53"/>
      <c r="G42" s="54"/>
      <c r="H42" s="421"/>
      <c r="I42" s="419"/>
      <c r="J42" s="419"/>
      <c r="K42" s="419"/>
      <c r="L42" s="419"/>
      <c r="M42" s="419"/>
      <c r="N42" s="419"/>
      <c r="O42" s="419"/>
      <c r="P42" s="419"/>
      <c r="Q42" s="419"/>
      <c r="R42" s="419"/>
      <c r="S42" s="419"/>
      <c r="T42" s="419"/>
      <c r="U42" s="422"/>
    </row>
    <row r="43" spans="1:23" ht="15.75" thickTop="1" x14ac:dyDescent="0.25">
      <c r="A43" s="11"/>
      <c r="B43" s="55" t="s">
        <v>39</v>
      </c>
      <c r="C43" s="51">
        <f>SUMIF(E20:E41,"JAS",C20:C41)</f>
        <v>0</v>
      </c>
      <c r="D43" s="51"/>
      <c r="E43" s="52"/>
      <c r="F43" s="53"/>
      <c r="G43" s="421"/>
      <c r="H43" s="418">
        <f>SUM(J43:U43)</f>
        <v>0</v>
      </c>
      <c r="I43" s="419"/>
      <c r="J43" s="423">
        <f t="shared" ref="J43:U43" si="4">SUM(J28:J41)</f>
        <v>0</v>
      </c>
      <c r="K43" s="423">
        <f t="shared" si="4"/>
        <v>0</v>
      </c>
      <c r="L43" s="423">
        <f t="shared" si="4"/>
        <v>0</v>
      </c>
      <c r="M43" s="423">
        <f t="shared" si="4"/>
        <v>0</v>
      </c>
      <c r="N43" s="423">
        <f t="shared" si="4"/>
        <v>0</v>
      </c>
      <c r="O43" s="423">
        <f t="shared" si="4"/>
        <v>0</v>
      </c>
      <c r="P43" s="423">
        <f t="shared" si="4"/>
        <v>0</v>
      </c>
      <c r="Q43" s="423">
        <f t="shared" si="4"/>
        <v>0</v>
      </c>
      <c r="R43" s="423">
        <f t="shared" si="4"/>
        <v>0</v>
      </c>
      <c r="S43" s="423">
        <f t="shared" si="4"/>
        <v>0</v>
      </c>
      <c r="T43" s="423">
        <f t="shared" si="4"/>
        <v>0</v>
      </c>
      <c r="U43" s="423">
        <f t="shared" si="4"/>
        <v>0</v>
      </c>
      <c r="W43" s="38"/>
    </row>
    <row r="44" spans="1:23" x14ac:dyDescent="0.25">
      <c r="A44" s="11"/>
      <c r="B44" s="55" t="s">
        <v>40</v>
      </c>
      <c r="C44" s="51">
        <f>SUMIF(E20:E41,"Tonnes",C20:C41)</f>
        <v>0</v>
      </c>
      <c r="D44" s="51"/>
      <c r="E44" s="52"/>
      <c r="F44" s="53"/>
      <c r="G44" s="421"/>
      <c r="H44" s="418">
        <f>SUM(J44:U44)</f>
        <v>0</v>
      </c>
      <c r="I44" s="419"/>
      <c r="J44" s="423">
        <f t="shared" ref="J44:U44" si="5">SUM(J20:J27)</f>
        <v>0</v>
      </c>
      <c r="K44" s="423">
        <f t="shared" si="5"/>
        <v>0</v>
      </c>
      <c r="L44" s="423">
        <f t="shared" si="5"/>
        <v>0</v>
      </c>
      <c r="M44" s="423">
        <f t="shared" si="5"/>
        <v>0</v>
      </c>
      <c r="N44" s="423">
        <f t="shared" si="5"/>
        <v>0</v>
      </c>
      <c r="O44" s="423">
        <f t="shared" si="5"/>
        <v>0</v>
      </c>
      <c r="P44" s="423">
        <f t="shared" si="5"/>
        <v>0</v>
      </c>
      <c r="Q44" s="423">
        <f t="shared" si="5"/>
        <v>0</v>
      </c>
      <c r="R44" s="423">
        <f t="shared" si="5"/>
        <v>0</v>
      </c>
      <c r="S44" s="423">
        <f t="shared" si="5"/>
        <v>0</v>
      </c>
      <c r="T44" s="423">
        <f t="shared" si="5"/>
        <v>0</v>
      </c>
      <c r="U44" s="423">
        <f t="shared" si="5"/>
        <v>0</v>
      </c>
    </row>
    <row r="45" spans="1:23" ht="15.75" thickBot="1" x14ac:dyDescent="0.3">
      <c r="A45" s="11"/>
      <c r="B45" s="49"/>
      <c r="C45" s="51"/>
      <c r="D45" s="51"/>
      <c r="E45" s="52"/>
      <c r="F45" s="53"/>
      <c r="G45" s="421"/>
      <c r="H45" s="421"/>
      <c r="I45" s="419"/>
      <c r="J45" s="421"/>
      <c r="K45" s="421"/>
      <c r="L45" s="421"/>
      <c r="M45" s="421"/>
      <c r="N45" s="421"/>
      <c r="O45" s="421"/>
      <c r="P45" s="421"/>
      <c r="Q45" s="421"/>
      <c r="R45" s="421"/>
      <c r="S45" s="421"/>
      <c r="T45" s="421"/>
      <c r="U45" s="424"/>
    </row>
    <row r="46" spans="1:23" ht="16.5" thickTop="1" thickBot="1" x14ac:dyDescent="0.3">
      <c r="A46" s="11"/>
      <c r="B46" s="59" t="s">
        <v>18</v>
      </c>
      <c r="C46" s="60"/>
      <c r="D46" s="60"/>
      <c r="E46" s="61"/>
      <c r="F46" s="62"/>
      <c r="G46" s="427">
        <f>IFERROR(H46/W16,0)</f>
        <v>0</v>
      </c>
      <c r="H46" s="425">
        <f>SUM(H20:H41)</f>
        <v>0</v>
      </c>
      <c r="I46" s="65"/>
      <c r="J46" s="425">
        <f t="shared" ref="J46:U46" si="6">SUM(J20:J41)</f>
        <v>0</v>
      </c>
      <c r="K46" s="425">
        <f t="shared" si="6"/>
        <v>0</v>
      </c>
      <c r="L46" s="425">
        <f t="shared" si="6"/>
        <v>0</v>
      </c>
      <c r="M46" s="425">
        <f t="shared" si="6"/>
        <v>0</v>
      </c>
      <c r="N46" s="425">
        <f t="shared" si="6"/>
        <v>0</v>
      </c>
      <c r="O46" s="425">
        <f t="shared" si="6"/>
        <v>0</v>
      </c>
      <c r="P46" s="425">
        <f t="shared" si="6"/>
        <v>0</v>
      </c>
      <c r="Q46" s="425">
        <f t="shared" si="6"/>
        <v>0</v>
      </c>
      <c r="R46" s="425">
        <f t="shared" si="6"/>
        <v>0</v>
      </c>
      <c r="S46" s="425">
        <f t="shared" si="6"/>
        <v>0</v>
      </c>
      <c r="T46" s="425">
        <f t="shared" si="6"/>
        <v>0</v>
      </c>
      <c r="U46" s="426">
        <f t="shared" si="6"/>
        <v>0</v>
      </c>
      <c r="W46" s="67">
        <f>SUM(J46:U46)</f>
        <v>0</v>
      </c>
    </row>
    <row r="47" spans="1:23" x14ac:dyDescent="0.25">
      <c r="A47" s="11"/>
      <c r="B47" s="68"/>
      <c r="G47" s="52"/>
      <c r="H47" s="69"/>
      <c r="I47" s="69"/>
    </row>
    <row r="48" spans="1:23" ht="16.5" thickBot="1" x14ac:dyDescent="0.3">
      <c r="A48" s="11"/>
      <c r="B48" s="70" t="s">
        <v>41</v>
      </c>
      <c r="C48" s="80" t="s">
        <v>44</v>
      </c>
      <c r="D48" s="42" t="s">
        <v>220</v>
      </c>
    </row>
    <row r="49" spans="1:23" ht="15.75" thickBot="1" x14ac:dyDescent="0.3">
      <c r="A49" s="11"/>
      <c r="B49" s="71" t="s">
        <v>42</v>
      </c>
      <c r="C49" s="321" t="s">
        <v>193</v>
      </c>
      <c r="D49" s="324" t="s">
        <v>53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40"/>
    </row>
    <row r="50" spans="1:23" ht="15.75" thickBot="1" x14ac:dyDescent="0.3">
      <c r="A50" s="11"/>
      <c r="B50" s="72"/>
      <c r="C50" s="43"/>
      <c r="D50" s="43"/>
      <c r="E50" s="43"/>
      <c r="F50" s="43"/>
      <c r="G50" s="43"/>
      <c r="H50" s="42" t="s">
        <v>18</v>
      </c>
      <c r="I50" s="43"/>
      <c r="J50" s="178">
        <v>45658</v>
      </c>
      <c r="K50" s="178">
        <v>45689</v>
      </c>
      <c r="L50" s="178">
        <v>45717</v>
      </c>
      <c r="M50" s="178">
        <v>45748</v>
      </c>
      <c r="N50" s="178">
        <v>45778</v>
      </c>
      <c r="O50" s="178">
        <v>45809</v>
      </c>
      <c r="P50" s="178">
        <v>45839</v>
      </c>
      <c r="Q50" s="178">
        <v>45870</v>
      </c>
      <c r="R50" s="178">
        <v>45901</v>
      </c>
      <c r="S50" s="178">
        <v>45931</v>
      </c>
      <c r="T50" s="178">
        <v>45962</v>
      </c>
      <c r="U50" s="178">
        <v>45992</v>
      </c>
    </row>
    <row r="51" spans="1:23" ht="16.5" thickTop="1" thickBot="1" x14ac:dyDescent="0.3">
      <c r="A51" s="11"/>
      <c r="B51" s="73"/>
      <c r="C51" s="74"/>
      <c r="D51" s="74"/>
      <c r="E51" s="74"/>
      <c r="F51" s="74"/>
      <c r="G51" s="433">
        <f>IFERROR(H51/W16,0)</f>
        <v>0</v>
      </c>
      <c r="H51" s="434">
        <f>SUM(J51:U51)</f>
        <v>0</v>
      </c>
      <c r="I51" s="76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2"/>
      <c r="W51" s="67">
        <f>SUM(J51:U51)</f>
        <v>0</v>
      </c>
    </row>
    <row r="52" spans="1:23" x14ac:dyDescent="0.25">
      <c r="A52" s="11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</row>
    <row r="53" spans="1:23" ht="15.75" thickBot="1" x14ac:dyDescent="0.3">
      <c r="A53" s="11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</row>
    <row r="54" spans="1:23" ht="15.75" thickBot="1" x14ac:dyDescent="0.3">
      <c r="A54" s="11"/>
      <c r="B54" s="71" t="s">
        <v>43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40"/>
    </row>
    <row r="55" spans="1:23" x14ac:dyDescent="0.25">
      <c r="A55" s="11"/>
      <c r="B55" s="41" t="s">
        <v>13</v>
      </c>
      <c r="C55" s="80" t="s">
        <v>44</v>
      </c>
      <c r="D55" s="42" t="s">
        <v>220</v>
      </c>
      <c r="E55" s="80" t="s">
        <v>45</v>
      </c>
      <c r="F55" s="80" t="s">
        <v>45</v>
      </c>
      <c r="G55" s="80" t="s">
        <v>46</v>
      </c>
      <c r="H55" s="81" t="s">
        <v>18</v>
      </c>
      <c r="I55" s="43"/>
      <c r="J55" s="178">
        <v>45658</v>
      </c>
      <c r="K55" s="178">
        <v>45689</v>
      </c>
      <c r="L55" s="178">
        <v>45717</v>
      </c>
      <c r="M55" s="178">
        <v>45748</v>
      </c>
      <c r="N55" s="178">
        <v>45778</v>
      </c>
      <c r="O55" s="178">
        <v>45809</v>
      </c>
      <c r="P55" s="178">
        <v>45839</v>
      </c>
      <c r="Q55" s="178">
        <v>45870</v>
      </c>
      <c r="R55" s="178">
        <v>45901</v>
      </c>
      <c r="S55" s="178">
        <v>45931</v>
      </c>
      <c r="T55" s="178">
        <v>45962</v>
      </c>
      <c r="U55" s="178">
        <v>45992</v>
      </c>
    </row>
    <row r="56" spans="1:23" x14ac:dyDescent="0.25">
      <c r="A56" s="11"/>
      <c r="B56" s="203" t="s">
        <v>20</v>
      </c>
      <c r="C56" s="83" t="s">
        <v>192</v>
      </c>
      <c r="D56" s="83" t="s">
        <v>47</v>
      </c>
      <c r="E56" s="204" t="s">
        <v>172</v>
      </c>
      <c r="F56" s="205" t="s">
        <v>248</v>
      </c>
      <c r="G56" s="206">
        <v>37.044000000000004</v>
      </c>
      <c r="H56" s="435">
        <f>SUM(J56:U56)</f>
        <v>0</v>
      </c>
      <c r="I56" s="54"/>
      <c r="J56" s="428"/>
      <c r="K56" s="428"/>
      <c r="L56" s="428"/>
      <c r="M56" s="428"/>
      <c r="N56" s="428"/>
      <c r="O56" s="428"/>
      <c r="P56" s="428"/>
      <c r="Q56" s="428"/>
      <c r="R56" s="428"/>
      <c r="S56" s="428"/>
      <c r="T56" s="428"/>
      <c r="U56" s="428"/>
    </row>
    <row r="57" spans="1:23" x14ac:dyDescent="0.25">
      <c r="A57" s="11"/>
      <c r="B57" s="102" t="s">
        <v>22</v>
      </c>
      <c r="C57" s="207" t="s">
        <v>192</v>
      </c>
      <c r="D57" s="207" t="s">
        <v>47</v>
      </c>
      <c r="E57" s="208" t="s">
        <v>172</v>
      </c>
      <c r="F57" s="209" t="s">
        <v>247</v>
      </c>
      <c r="G57" s="206">
        <v>37.044000000000004</v>
      </c>
      <c r="H57" s="435">
        <v>0</v>
      </c>
      <c r="I57" s="54"/>
      <c r="J57" s="428"/>
      <c r="K57" s="428"/>
      <c r="L57" s="428"/>
      <c r="M57" s="428"/>
      <c r="N57" s="428"/>
      <c r="O57" s="428"/>
      <c r="P57" s="428"/>
      <c r="Q57" s="428"/>
      <c r="R57" s="428"/>
      <c r="S57" s="428"/>
      <c r="T57" s="428"/>
      <c r="U57" s="428"/>
    </row>
    <row r="58" spans="1:23" x14ac:dyDescent="0.25">
      <c r="A58" s="11"/>
      <c r="B58" s="102" t="s">
        <v>25</v>
      </c>
      <c r="C58" s="207" t="s">
        <v>192</v>
      </c>
      <c r="D58" s="207" t="s">
        <v>47</v>
      </c>
      <c r="E58" s="210" t="s">
        <v>172</v>
      </c>
      <c r="F58" s="211"/>
      <c r="G58" s="206"/>
      <c r="H58" s="435">
        <f t="shared" ref="H58:H77" si="7">SUM(J58:U58)</f>
        <v>0</v>
      </c>
      <c r="I58" s="54"/>
      <c r="J58" s="428"/>
      <c r="K58" s="428"/>
      <c r="L58" s="428"/>
      <c r="M58" s="428"/>
      <c r="N58" s="428"/>
      <c r="O58" s="428"/>
      <c r="P58" s="428"/>
      <c r="Q58" s="428"/>
      <c r="R58" s="428"/>
      <c r="S58" s="428"/>
      <c r="T58" s="428"/>
      <c r="U58" s="428"/>
    </row>
    <row r="59" spans="1:23" x14ac:dyDescent="0.25">
      <c r="A59" s="11"/>
      <c r="B59" s="102" t="s">
        <v>30</v>
      </c>
      <c r="C59" s="207" t="s">
        <v>192</v>
      </c>
      <c r="D59" s="207" t="s">
        <v>47</v>
      </c>
      <c r="E59" s="210" t="s">
        <v>172</v>
      </c>
      <c r="F59" s="211" t="s">
        <v>246</v>
      </c>
      <c r="G59" s="206">
        <v>35.700000000000003</v>
      </c>
      <c r="H59" s="435">
        <f t="shared" si="7"/>
        <v>0</v>
      </c>
      <c r="I59" s="54"/>
      <c r="J59" s="428"/>
      <c r="K59" s="428"/>
      <c r="L59" s="428"/>
      <c r="M59" s="428"/>
      <c r="N59" s="428"/>
      <c r="O59" s="428"/>
      <c r="P59" s="428"/>
      <c r="Q59" s="428"/>
      <c r="R59" s="428"/>
      <c r="S59" s="428"/>
      <c r="T59" s="428"/>
      <c r="U59" s="428"/>
    </row>
    <row r="60" spans="1:23" x14ac:dyDescent="0.25">
      <c r="A60" s="11"/>
      <c r="B60" s="102" t="s">
        <v>222</v>
      </c>
      <c r="C60" s="207" t="s">
        <v>192</v>
      </c>
      <c r="D60" s="207" t="s">
        <v>47</v>
      </c>
      <c r="E60" s="210" t="s">
        <v>172</v>
      </c>
      <c r="F60" s="211"/>
      <c r="G60" s="206"/>
      <c r="H60" s="435">
        <f t="shared" si="7"/>
        <v>0</v>
      </c>
      <c r="I60" s="54"/>
      <c r="J60" s="428"/>
      <c r="K60" s="428"/>
      <c r="L60" s="428"/>
      <c r="M60" s="428"/>
      <c r="N60" s="428"/>
      <c r="O60" s="428"/>
      <c r="P60" s="428"/>
      <c r="Q60" s="428"/>
      <c r="R60" s="428"/>
      <c r="S60" s="428"/>
      <c r="T60" s="428"/>
      <c r="U60" s="428"/>
    </row>
    <row r="61" spans="1:23" x14ac:dyDescent="0.25">
      <c r="A61" s="11"/>
      <c r="B61" s="102" t="s">
        <v>34</v>
      </c>
      <c r="C61" s="207" t="s">
        <v>192</v>
      </c>
      <c r="D61" s="207" t="s">
        <v>47</v>
      </c>
      <c r="E61" s="210" t="s">
        <v>172</v>
      </c>
      <c r="F61" s="211"/>
      <c r="G61" s="206"/>
      <c r="H61" s="435">
        <f t="shared" si="7"/>
        <v>0</v>
      </c>
      <c r="I61" s="54"/>
      <c r="J61" s="428"/>
      <c r="K61" s="428"/>
      <c r="L61" s="428"/>
      <c r="M61" s="428"/>
      <c r="N61" s="428"/>
      <c r="O61" s="428"/>
      <c r="P61" s="428"/>
      <c r="Q61" s="428"/>
      <c r="R61" s="428"/>
      <c r="S61" s="428"/>
      <c r="T61" s="428"/>
      <c r="U61" s="428"/>
    </row>
    <row r="62" spans="1:23" x14ac:dyDescent="0.25">
      <c r="A62" s="11"/>
      <c r="B62" s="102" t="s">
        <v>37</v>
      </c>
      <c r="C62" s="207" t="s">
        <v>192</v>
      </c>
      <c r="D62" s="207" t="s">
        <v>47</v>
      </c>
      <c r="E62" s="210" t="s">
        <v>172</v>
      </c>
      <c r="F62" s="211"/>
      <c r="G62" s="206"/>
      <c r="H62" s="435">
        <f t="shared" si="7"/>
        <v>0</v>
      </c>
      <c r="I62" s="54"/>
      <c r="J62" s="428"/>
      <c r="K62" s="428"/>
      <c r="L62" s="428"/>
      <c r="M62" s="428"/>
      <c r="N62" s="428"/>
      <c r="O62" s="428"/>
      <c r="P62" s="428"/>
      <c r="Q62" s="428"/>
      <c r="R62" s="428"/>
      <c r="S62" s="428"/>
      <c r="T62" s="428"/>
      <c r="U62" s="428"/>
    </row>
    <row r="63" spans="1:23" x14ac:dyDescent="0.25">
      <c r="A63" s="11"/>
      <c r="B63" s="102" t="s">
        <v>174</v>
      </c>
      <c r="C63" s="207" t="s">
        <v>192</v>
      </c>
      <c r="D63" s="207" t="s">
        <v>47</v>
      </c>
      <c r="E63" s="210" t="s">
        <v>172</v>
      </c>
      <c r="F63" s="211"/>
      <c r="G63" s="206"/>
      <c r="H63" s="435">
        <f t="shared" si="7"/>
        <v>0</v>
      </c>
      <c r="I63" s="54"/>
      <c r="J63" s="428"/>
      <c r="K63" s="428"/>
      <c r="L63" s="428"/>
      <c r="M63" s="428"/>
      <c r="N63" s="428"/>
      <c r="O63" s="428"/>
      <c r="P63" s="428"/>
      <c r="Q63" s="428"/>
      <c r="R63" s="428"/>
      <c r="S63" s="428"/>
      <c r="T63" s="428"/>
      <c r="U63" s="428"/>
    </row>
    <row r="64" spans="1:23" x14ac:dyDescent="0.25">
      <c r="A64" s="11"/>
      <c r="B64" s="102" t="s">
        <v>175</v>
      </c>
      <c r="C64" s="207" t="s">
        <v>192</v>
      </c>
      <c r="D64" s="207" t="s">
        <v>47</v>
      </c>
      <c r="E64" s="210" t="s">
        <v>221</v>
      </c>
      <c r="F64" s="211" t="s">
        <v>224</v>
      </c>
      <c r="G64" s="206">
        <v>41.747999999999998</v>
      </c>
      <c r="H64" s="435">
        <f t="shared" si="7"/>
        <v>0</v>
      </c>
      <c r="I64" s="54"/>
      <c r="J64" s="428"/>
      <c r="K64" s="428"/>
      <c r="L64" s="428"/>
      <c r="M64" s="428"/>
      <c r="N64" s="428"/>
      <c r="O64" s="428"/>
      <c r="P64" s="428"/>
      <c r="Q64" s="428"/>
      <c r="R64" s="428"/>
      <c r="S64" s="428"/>
      <c r="T64" s="428"/>
      <c r="U64" s="428"/>
    </row>
    <row r="65" spans="1:23" x14ac:dyDescent="0.25">
      <c r="A65" s="11"/>
      <c r="B65" s="102" t="s">
        <v>176</v>
      </c>
      <c r="C65" s="207" t="s">
        <v>192</v>
      </c>
      <c r="D65" s="207" t="s">
        <v>47</v>
      </c>
      <c r="E65" s="210" t="s">
        <v>221</v>
      </c>
      <c r="F65" s="211" t="s">
        <v>224</v>
      </c>
      <c r="G65" s="206">
        <v>41.747999999999998</v>
      </c>
      <c r="H65" s="435">
        <f t="shared" si="7"/>
        <v>0</v>
      </c>
      <c r="I65" s="54"/>
      <c r="J65" s="428"/>
      <c r="K65" s="428"/>
      <c r="L65" s="428"/>
      <c r="M65" s="428"/>
      <c r="N65" s="428"/>
      <c r="O65" s="428"/>
      <c r="P65" s="428"/>
      <c r="Q65" s="428"/>
      <c r="R65" s="428"/>
      <c r="S65" s="428"/>
      <c r="T65" s="428"/>
      <c r="U65" s="428"/>
    </row>
    <row r="66" spans="1:23" x14ac:dyDescent="0.25">
      <c r="A66" s="11"/>
      <c r="B66" s="102" t="s">
        <v>23</v>
      </c>
      <c r="C66" s="207" t="s">
        <v>192</v>
      </c>
      <c r="D66" s="207" t="s">
        <v>47</v>
      </c>
      <c r="E66" s="210" t="s">
        <v>221</v>
      </c>
      <c r="F66" s="211" t="s">
        <v>224</v>
      </c>
      <c r="G66" s="206">
        <v>41.747999999999998</v>
      </c>
      <c r="H66" s="435">
        <f t="shared" si="7"/>
        <v>0</v>
      </c>
      <c r="I66" s="54"/>
      <c r="J66" s="428"/>
      <c r="K66" s="428"/>
      <c r="L66" s="428"/>
      <c r="M66" s="428"/>
      <c r="N66" s="428"/>
      <c r="O66" s="428"/>
      <c r="P66" s="428"/>
      <c r="Q66" s="428"/>
      <c r="R66" s="428"/>
      <c r="S66" s="428"/>
      <c r="T66" s="428"/>
      <c r="U66" s="428"/>
    </row>
    <row r="67" spans="1:23" x14ac:dyDescent="0.25">
      <c r="A67" s="11"/>
      <c r="B67" s="102" t="s">
        <v>24</v>
      </c>
      <c r="C67" s="207" t="s">
        <v>192</v>
      </c>
      <c r="D67" s="207" t="s">
        <v>47</v>
      </c>
      <c r="E67" s="208" t="s">
        <v>221</v>
      </c>
      <c r="F67" s="211" t="s">
        <v>224</v>
      </c>
      <c r="G67" s="206">
        <v>41.747999999999998</v>
      </c>
      <c r="H67" s="435">
        <f t="shared" si="7"/>
        <v>0</v>
      </c>
      <c r="I67" s="54"/>
      <c r="J67" s="428"/>
      <c r="K67" s="428"/>
      <c r="L67" s="428"/>
      <c r="M67" s="428"/>
      <c r="N67" s="428"/>
      <c r="O67" s="428"/>
      <c r="P67" s="428"/>
      <c r="Q67" s="428"/>
      <c r="R67" s="428"/>
      <c r="S67" s="428"/>
      <c r="T67" s="428"/>
      <c r="U67" s="428"/>
    </row>
    <row r="68" spans="1:23" x14ac:dyDescent="0.25">
      <c r="A68" s="11"/>
      <c r="B68" s="212" t="s">
        <v>26</v>
      </c>
      <c r="C68" s="207" t="s">
        <v>192</v>
      </c>
      <c r="D68" s="207" t="s">
        <v>47</v>
      </c>
      <c r="E68" s="210" t="s">
        <v>221</v>
      </c>
      <c r="F68" s="211" t="s">
        <v>224</v>
      </c>
      <c r="G68" s="206">
        <v>41.747999999999998</v>
      </c>
      <c r="H68" s="435">
        <f t="shared" si="7"/>
        <v>0</v>
      </c>
      <c r="I68" s="54"/>
      <c r="J68" s="428"/>
      <c r="K68" s="428"/>
      <c r="L68" s="428"/>
      <c r="M68" s="428"/>
      <c r="N68" s="428"/>
      <c r="O68" s="428"/>
      <c r="P68" s="428"/>
      <c r="Q68" s="428"/>
      <c r="R68" s="428"/>
      <c r="S68" s="428"/>
      <c r="T68" s="428"/>
      <c r="U68" s="428"/>
    </row>
    <row r="69" spans="1:23" x14ac:dyDescent="0.25">
      <c r="A69" s="11"/>
      <c r="B69" s="102" t="s">
        <v>27</v>
      </c>
      <c r="C69" s="207" t="s">
        <v>192</v>
      </c>
      <c r="D69" s="207" t="s">
        <v>47</v>
      </c>
      <c r="E69" s="210" t="s">
        <v>221</v>
      </c>
      <c r="F69" s="211" t="s">
        <v>224</v>
      </c>
      <c r="G69" s="206">
        <v>41.747999999999998</v>
      </c>
      <c r="H69" s="435">
        <f t="shared" si="7"/>
        <v>0</v>
      </c>
      <c r="I69" s="54"/>
      <c r="J69" s="428"/>
      <c r="K69" s="428"/>
      <c r="L69" s="428"/>
      <c r="M69" s="428"/>
      <c r="N69" s="428"/>
      <c r="O69" s="428"/>
      <c r="P69" s="428"/>
      <c r="Q69" s="428"/>
      <c r="R69" s="428"/>
      <c r="S69" s="428"/>
      <c r="T69" s="428"/>
      <c r="U69" s="428"/>
    </row>
    <row r="70" spans="1:23" x14ac:dyDescent="0.25">
      <c r="A70" s="11"/>
      <c r="B70" s="102" t="s">
        <v>28</v>
      </c>
      <c r="C70" s="207" t="s">
        <v>192</v>
      </c>
      <c r="D70" s="207" t="s">
        <v>47</v>
      </c>
      <c r="E70" s="210" t="s">
        <v>221</v>
      </c>
      <c r="F70" s="211" t="s">
        <v>224</v>
      </c>
      <c r="G70" s="206">
        <v>41.747999999999998</v>
      </c>
      <c r="H70" s="435">
        <f t="shared" si="7"/>
        <v>0</v>
      </c>
      <c r="I70" s="54"/>
      <c r="J70" s="428"/>
      <c r="K70" s="428"/>
      <c r="L70" s="428"/>
      <c r="M70" s="428"/>
      <c r="N70" s="428"/>
      <c r="O70" s="428"/>
      <c r="P70" s="428"/>
      <c r="Q70" s="428"/>
      <c r="R70" s="428"/>
      <c r="S70" s="428"/>
      <c r="T70" s="428"/>
      <c r="U70" s="428"/>
    </row>
    <row r="71" spans="1:23" x14ac:dyDescent="0.25">
      <c r="A71" s="11"/>
      <c r="B71" s="212" t="s">
        <v>29</v>
      </c>
      <c r="C71" s="207" t="s">
        <v>192</v>
      </c>
      <c r="D71" s="207" t="s">
        <v>47</v>
      </c>
      <c r="E71" s="208" t="s">
        <v>221</v>
      </c>
      <c r="F71" s="211" t="s">
        <v>224</v>
      </c>
      <c r="G71" s="206">
        <v>41.747999999999998</v>
      </c>
      <c r="H71" s="435">
        <f t="shared" si="7"/>
        <v>0</v>
      </c>
      <c r="I71" s="54"/>
      <c r="J71" s="428"/>
      <c r="K71" s="428"/>
      <c r="L71" s="428"/>
      <c r="M71" s="428"/>
      <c r="N71" s="428"/>
      <c r="O71" s="428"/>
      <c r="P71" s="428"/>
      <c r="Q71" s="428"/>
      <c r="R71" s="428"/>
      <c r="S71" s="428"/>
      <c r="T71" s="428"/>
      <c r="U71" s="428"/>
    </row>
    <row r="72" spans="1:23" x14ac:dyDescent="0.25">
      <c r="A72" s="11"/>
      <c r="B72" s="212" t="s">
        <v>31</v>
      </c>
      <c r="C72" s="207" t="s">
        <v>192</v>
      </c>
      <c r="D72" s="207" t="s">
        <v>47</v>
      </c>
      <c r="E72" s="208" t="s">
        <v>221</v>
      </c>
      <c r="F72" s="211" t="s">
        <v>224</v>
      </c>
      <c r="G72" s="206">
        <v>41.747999999999998</v>
      </c>
      <c r="H72" s="435">
        <f t="shared" si="7"/>
        <v>0</v>
      </c>
      <c r="I72" s="54"/>
      <c r="J72" s="428"/>
      <c r="K72" s="428"/>
      <c r="L72" s="428"/>
      <c r="M72" s="428"/>
      <c r="N72" s="428"/>
      <c r="O72" s="428"/>
      <c r="P72" s="428"/>
      <c r="Q72" s="428"/>
      <c r="R72" s="428"/>
      <c r="S72" s="428"/>
      <c r="T72" s="428"/>
      <c r="U72" s="428"/>
    </row>
    <row r="73" spans="1:23" x14ac:dyDescent="0.25">
      <c r="A73" s="11"/>
      <c r="B73" s="212" t="s">
        <v>32</v>
      </c>
      <c r="C73" s="207" t="s">
        <v>192</v>
      </c>
      <c r="D73" s="207" t="s">
        <v>47</v>
      </c>
      <c r="E73" s="210" t="s">
        <v>221</v>
      </c>
      <c r="F73" s="211" t="s">
        <v>224</v>
      </c>
      <c r="G73" s="206">
        <v>41.747999999999998</v>
      </c>
      <c r="H73" s="435">
        <f t="shared" si="7"/>
        <v>0</v>
      </c>
      <c r="I73" s="54"/>
      <c r="J73" s="428"/>
      <c r="K73" s="428"/>
      <c r="L73" s="428"/>
      <c r="M73" s="428"/>
      <c r="N73" s="428"/>
      <c r="O73" s="428"/>
      <c r="P73" s="428"/>
      <c r="Q73" s="428"/>
      <c r="R73" s="428"/>
      <c r="S73" s="428"/>
      <c r="T73" s="428"/>
      <c r="U73" s="428"/>
    </row>
    <row r="74" spans="1:23" x14ac:dyDescent="0.25">
      <c r="A74" s="11"/>
      <c r="B74" s="102" t="s">
        <v>33</v>
      </c>
      <c r="C74" s="207" t="s">
        <v>192</v>
      </c>
      <c r="D74" s="207" t="s">
        <v>47</v>
      </c>
      <c r="E74" s="210" t="s">
        <v>221</v>
      </c>
      <c r="F74" s="211" t="s">
        <v>224</v>
      </c>
      <c r="G74" s="206">
        <v>41.747999999999998</v>
      </c>
      <c r="H74" s="435">
        <f t="shared" si="7"/>
        <v>0</v>
      </c>
      <c r="I74" s="54"/>
      <c r="J74" s="428"/>
      <c r="K74" s="428"/>
      <c r="L74" s="428"/>
      <c r="M74" s="428"/>
      <c r="N74" s="428"/>
      <c r="O74" s="428"/>
      <c r="P74" s="428"/>
      <c r="Q74" s="428"/>
      <c r="R74" s="428"/>
      <c r="S74" s="428"/>
      <c r="T74" s="428"/>
      <c r="U74" s="428"/>
    </row>
    <row r="75" spans="1:23" x14ac:dyDescent="0.25">
      <c r="A75" s="11"/>
      <c r="B75" s="212" t="s">
        <v>35</v>
      </c>
      <c r="C75" s="207" t="s">
        <v>192</v>
      </c>
      <c r="D75" s="207" t="s">
        <v>47</v>
      </c>
      <c r="E75" s="208" t="s">
        <v>221</v>
      </c>
      <c r="F75" s="213"/>
      <c r="G75" s="206"/>
      <c r="H75" s="435">
        <f t="shared" si="7"/>
        <v>0</v>
      </c>
      <c r="I75" s="54"/>
      <c r="J75" s="428"/>
      <c r="K75" s="428"/>
      <c r="L75" s="428"/>
      <c r="M75" s="428"/>
      <c r="N75" s="428"/>
      <c r="O75" s="428"/>
      <c r="P75" s="428"/>
      <c r="Q75" s="428"/>
      <c r="R75" s="428"/>
      <c r="S75" s="428"/>
      <c r="T75" s="428"/>
      <c r="U75" s="428"/>
    </row>
    <row r="76" spans="1:23" x14ac:dyDescent="0.25">
      <c r="A76" s="11"/>
      <c r="B76" s="212" t="s">
        <v>36</v>
      </c>
      <c r="C76" s="207" t="s">
        <v>192</v>
      </c>
      <c r="D76" s="207" t="s">
        <v>47</v>
      </c>
      <c r="E76" s="208"/>
      <c r="F76" s="209"/>
      <c r="G76" s="206"/>
      <c r="H76" s="435">
        <f t="shared" si="7"/>
        <v>0</v>
      </c>
      <c r="I76" s="54"/>
      <c r="J76" s="428"/>
      <c r="K76" s="428"/>
      <c r="L76" s="428"/>
      <c r="M76" s="428"/>
      <c r="N76" s="428"/>
      <c r="O76" s="428"/>
      <c r="P76" s="428"/>
      <c r="Q76" s="428"/>
      <c r="R76" s="428"/>
      <c r="S76" s="428"/>
      <c r="T76" s="428"/>
      <c r="U76" s="428"/>
    </row>
    <row r="77" spans="1:23" ht="15.75" thickBot="1" x14ac:dyDescent="0.3">
      <c r="A77" s="84"/>
      <c r="B77" s="214" t="s">
        <v>38</v>
      </c>
      <c r="C77" s="215" t="s">
        <v>192</v>
      </c>
      <c r="D77" s="215" t="s">
        <v>47</v>
      </c>
      <c r="E77" s="216"/>
      <c r="F77" s="217"/>
      <c r="G77" s="206"/>
      <c r="H77" s="435">
        <f t="shared" si="7"/>
        <v>0</v>
      </c>
      <c r="I77" s="54"/>
      <c r="J77" s="428"/>
      <c r="K77" s="428"/>
      <c r="L77" s="428"/>
      <c r="M77" s="428"/>
      <c r="N77" s="428"/>
      <c r="O77" s="428"/>
      <c r="P77" s="428"/>
      <c r="Q77" s="428"/>
      <c r="R77" s="428"/>
      <c r="S77" s="428"/>
      <c r="T77" s="428"/>
      <c r="U77" s="428"/>
    </row>
    <row r="78" spans="1:23" ht="16.5" thickTop="1" thickBot="1" x14ac:dyDescent="0.3">
      <c r="A78" s="11"/>
      <c r="B78" s="85"/>
      <c r="C78" s="86"/>
      <c r="D78" s="86"/>
      <c r="E78" s="87"/>
      <c r="F78" s="88"/>
      <c r="G78" s="89" t="e">
        <f>H78/W16</f>
        <v>#DIV/0!</v>
      </c>
      <c r="H78" s="434">
        <f>SUM(H56:H77)</f>
        <v>0</v>
      </c>
      <c r="I78" s="76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2"/>
      <c r="W78" s="67">
        <f>SUM(J78:U78)</f>
        <v>0</v>
      </c>
    </row>
    <row r="79" spans="1:23" ht="15.75" thickBot="1" x14ac:dyDescent="0.3">
      <c r="A79" s="11"/>
      <c r="B79" s="84"/>
      <c r="C79" s="84"/>
      <c r="D79" s="84"/>
      <c r="E79" s="52"/>
      <c r="F79" s="90"/>
      <c r="G79" s="91"/>
      <c r="H79" s="92"/>
      <c r="I79" s="46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</row>
    <row r="80" spans="1:23" ht="15.75" thickBot="1" x14ac:dyDescent="0.3">
      <c r="A80" s="11"/>
      <c r="B80" s="93" t="s">
        <v>48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40"/>
    </row>
    <row r="81" spans="1:21" x14ac:dyDescent="0.25">
      <c r="A81" s="11"/>
      <c r="B81" s="94" t="s">
        <v>49</v>
      </c>
      <c r="C81" s="80" t="s">
        <v>44</v>
      </c>
      <c r="D81" s="42" t="s">
        <v>220</v>
      </c>
      <c r="E81" s="80" t="s">
        <v>50</v>
      </c>
      <c r="F81" s="80" t="s">
        <v>51</v>
      </c>
      <c r="G81" s="80" t="s">
        <v>45</v>
      </c>
      <c r="H81" s="42" t="s">
        <v>18</v>
      </c>
      <c r="I81" s="43"/>
      <c r="J81" s="178">
        <v>45658</v>
      </c>
      <c r="K81" s="178">
        <v>45689</v>
      </c>
      <c r="L81" s="178">
        <v>45717</v>
      </c>
      <c r="M81" s="178">
        <v>45748</v>
      </c>
      <c r="N81" s="178">
        <v>45778</v>
      </c>
      <c r="O81" s="178">
        <v>45809</v>
      </c>
      <c r="P81" s="178">
        <v>45839</v>
      </c>
      <c r="Q81" s="178">
        <v>45870</v>
      </c>
      <c r="R81" s="178">
        <v>45901</v>
      </c>
      <c r="S81" s="178">
        <v>45931</v>
      </c>
      <c r="T81" s="178">
        <v>45962</v>
      </c>
      <c r="U81" s="178">
        <v>45992</v>
      </c>
    </row>
    <row r="82" spans="1:21" x14ac:dyDescent="0.25">
      <c r="A82" s="11"/>
      <c r="B82" s="95" t="s">
        <v>52</v>
      </c>
      <c r="C82" s="330" t="s">
        <v>212</v>
      </c>
      <c r="D82" s="97" t="s">
        <v>53</v>
      </c>
      <c r="E82" s="98"/>
      <c r="F82" s="98"/>
      <c r="G82" s="96"/>
      <c r="H82" s="430">
        <f t="shared" ref="H82:H105" si="8">SUM(J82:U82)</f>
        <v>0</v>
      </c>
      <c r="J82" s="100"/>
      <c r="K82" s="100"/>
      <c r="L82" s="100"/>
      <c r="M82" s="100"/>
      <c r="N82" s="100"/>
      <c r="O82" s="100"/>
      <c r="P82" s="100"/>
      <c r="Q82" s="100"/>
      <c r="R82" s="100"/>
      <c r="S82" s="100"/>
      <c r="T82" s="100"/>
      <c r="U82" s="101"/>
    </row>
    <row r="83" spans="1:21" x14ac:dyDescent="0.25">
      <c r="A83" s="11"/>
      <c r="B83" s="102" t="s">
        <v>227</v>
      </c>
      <c r="C83" s="331" t="s">
        <v>213</v>
      </c>
      <c r="D83" s="104" t="s">
        <v>53</v>
      </c>
      <c r="E83" s="103">
        <v>699</v>
      </c>
      <c r="F83" s="103">
        <v>3675</v>
      </c>
      <c r="G83" s="103"/>
      <c r="H83" s="430">
        <f t="shared" si="8"/>
        <v>0</v>
      </c>
      <c r="I83" s="46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1"/>
    </row>
    <row r="84" spans="1:21" x14ac:dyDescent="0.25">
      <c r="A84" s="11"/>
      <c r="B84" s="102" t="s">
        <v>54</v>
      </c>
      <c r="C84" s="331" t="s">
        <v>216</v>
      </c>
      <c r="D84" s="104" t="s">
        <v>53</v>
      </c>
      <c r="E84" s="103">
        <v>699</v>
      </c>
      <c r="F84" s="103">
        <v>3691</v>
      </c>
      <c r="G84" s="103"/>
      <c r="H84" s="430">
        <f t="shared" si="8"/>
        <v>0</v>
      </c>
      <c r="I84" s="46"/>
      <c r="J84" s="100"/>
      <c r="K84" s="100"/>
      <c r="L84" s="100"/>
      <c r="M84" s="100"/>
      <c r="N84" s="100"/>
      <c r="O84" s="100"/>
      <c r="P84" s="100"/>
      <c r="Q84" s="100"/>
      <c r="R84" s="100"/>
      <c r="S84" s="100"/>
      <c r="T84" s="100"/>
      <c r="U84" s="101"/>
    </row>
    <row r="85" spans="1:21" x14ac:dyDescent="0.25">
      <c r="A85" s="11"/>
      <c r="B85" s="102" t="s">
        <v>55</v>
      </c>
      <c r="C85" s="331" t="s">
        <v>217</v>
      </c>
      <c r="D85" s="104" t="s">
        <v>53</v>
      </c>
      <c r="E85" s="103">
        <v>699</v>
      </c>
      <c r="F85" s="103">
        <v>3677</v>
      </c>
      <c r="G85" s="103"/>
      <c r="H85" s="430">
        <f t="shared" si="8"/>
        <v>0</v>
      </c>
      <c r="J85" s="100"/>
      <c r="K85" s="100"/>
      <c r="L85" s="100"/>
      <c r="M85" s="100"/>
      <c r="N85" s="100"/>
      <c r="O85" s="100"/>
      <c r="P85" s="100"/>
      <c r="Q85" s="100"/>
      <c r="R85" s="100"/>
      <c r="S85" s="100"/>
      <c r="T85" s="100"/>
      <c r="U85" s="101"/>
    </row>
    <row r="86" spans="1:21" x14ac:dyDescent="0.25">
      <c r="A86" s="11"/>
      <c r="B86" s="105" t="s">
        <v>228</v>
      </c>
      <c r="C86" s="103">
        <v>721</v>
      </c>
      <c r="D86" s="104" t="s">
        <v>53</v>
      </c>
      <c r="E86" s="103">
        <v>699</v>
      </c>
      <c r="F86" s="103">
        <v>3671</v>
      </c>
      <c r="G86" s="103"/>
      <c r="H86" s="430">
        <f t="shared" si="8"/>
        <v>0</v>
      </c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1"/>
    </row>
    <row r="87" spans="1:21" x14ac:dyDescent="0.25">
      <c r="A87" s="11"/>
      <c r="B87" s="105" t="s">
        <v>56</v>
      </c>
      <c r="C87" s="331" t="s">
        <v>218</v>
      </c>
      <c r="D87" s="104" t="s">
        <v>53</v>
      </c>
      <c r="E87" s="103">
        <v>699</v>
      </c>
      <c r="F87" s="103">
        <v>3669</v>
      </c>
      <c r="G87" s="103"/>
      <c r="H87" s="430">
        <f t="shared" si="8"/>
        <v>0</v>
      </c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1"/>
    </row>
    <row r="88" spans="1:21" x14ac:dyDescent="0.25">
      <c r="A88" s="11"/>
      <c r="B88" s="105" t="s">
        <v>57</v>
      </c>
      <c r="C88" s="331" t="s">
        <v>219</v>
      </c>
      <c r="D88" s="104" t="s">
        <v>53</v>
      </c>
      <c r="E88" s="103">
        <v>699</v>
      </c>
      <c r="F88" s="103">
        <v>3665</v>
      </c>
      <c r="G88" s="103"/>
      <c r="H88" s="430">
        <f t="shared" si="8"/>
        <v>0</v>
      </c>
      <c r="J88" s="100"/>
      <c r="K88" s="100"/>
      <c r="L88" s="100"/>
      <c r="M88" s="100"/>
      <c r="N88" s="100"/>
      <c r="O88" s="100"/>
      <c r="P88" s="100"/>
      <c r="Q88" s="100"/>
      <c r="R88" s="100"/>
      <c r="S88" s="100"/>
      <c r="T88" s="100"/>
      <c r="U88" s="101"/>
    </row>
    <row r="89" spans="1:21" x14ac:dyDescent="0.25">
      <c r="A89" s="11"/>
      <c r="B89" s="105" t="s">
        <v>229</v>
      </c>
      <c r="C89" s="331" t="s">
        <v>215</v>
      </c>
      <c r="D89" s="104" t="s">
        <v>53</v>
      </c>
      <c r="E89" s="103">
        <v>699</v>
      </c>
      <c r="F89" s="103">
        <v>3963</v>
      </c>
      <c r="G89" s="103"/>
      <c r="H89" s="430">
        <f t="shared" si="8"/>
        <v>0</v>
      </c>
      <c r="I89" s="46"/>
      <c r="J89" s="100"/>
      <c r="K89" s="100"/>
      <c r="L89" s="100"/>
      <c r="M89" s="100"/>
      <c r="N89" s="100"/>
      <c r="O89" s="100"/>
      <c r="P89" s="100"/>
      <c r="Q89" s="100"/>
      <c r="R89" s="100"/>
      <c r="S89" s="100"/>
      <c r="T89" s="100"/>
      <c r="U89" s="101"/>
    </row>
    <row r="90" spans="1:21" x14ac:dyDescent="0.25">
      <c r="A90" s="11"/>
      <c r="B90" s="105" t="s">
        <v>238</v>
      </c>
      <c r="C90" s="331" t="s">
        <v>214</v>
      </c>
      <c r="D90" s="104" t="s">
        <v>59</v>
      </c>
      <c r="E90" s="103"/>
      <c r="F90" s="103"/>
      <c r="G90" s="103"/>
      <c r="H90" s="430">
        <f t="shared" si="8"/>
        <v>0</v>
      </c>
      <c r="I90" s="46"/>
      <c r="J90" s="420"/>
      <c r="K90" s="420"/>
      <c r="L90" s="420"/>
      <c r="M90" s="420"/>
      <c r="N90" s="420"/>
      <c r="O90" s="420"/>
      <c r="P90" s="420"/>
      <c r="Q90" s="420"/>
      <c r="R90" s="420"/>
      <c r="S90" s="420"/>
      <c r="T90" s="420"/>
      <c r="U90" s="429"/>
    </row>
    <row r="91" spans="1:21" x14ac:dyDescent="0.25">
      <c r="A91" s="11"/>
      <c r="B91" s="105" t="s">
        <v>225</v>
      </c>
      <c r="C91" s="103">
        <v>720</v>
      </c>
      <c r="D91" s="104" t="s">
        <v>59</v>
      </c>
      <c r="E91" s="103"/>
      <c r="F91" s="103"/>
      <c r="G91" s="103"/>
      <c r="H91" s="430">
        <f t="shared" si="8"/>
        <v>0</v>
      </c>
      <c r="I91" s="46"/>
      <c r="J91" s="420">
        <f t="shared" ref="J91:U91" si="9">J115</f>
        <v>0</v>
      </c>
      <c r="K91" s="420">
        <f t="shared" si="9"/>
        <v>0</v>
      </c>
      <c r="L91" s="420">
        <f t="shared" si="9"/>
        <v>0</v>
      </c>
      <c r="M91" s="420">
        <f t="shared" si="9"/>
        <v>0</v>
      </c>
      <c r="N91" s="420">
        <f t="shared" si="9"/>
        <v>0</v>
      </c>
      <c r="O91" s="420">
        <f t="shared" si="9"/>
        <v>0</v>
      </c>
      <c r="P91" s="420">
        <f t="shared" si="9"/>
        <v>0</v>
      </c>
      <c r="Q91" s="420">
        <f t="shared" si="9"/>
        <v>0</v>
      </c>
      <c r="R91" s="420">
        <f t="shared" si="9"/>
        <v>0</v>
      </c>
      <c r="S91" s="420">
        <f t="shared" si="9"/>
        <v>0</v>
      </c>
      <c r="T91" s="420">
        <f t="shared" si="9"/>
        <v>0</v>
      </c>
      <c r="U91" s="429">
        <f t="shared" si="9"/>
        <v>0</v>
      </c>
    </row>
    <row r="92" spans="1:21" x14ac:dyDescent="0.25">
      <c r="A92" s="11"/>
      <c r="B92" s="105" t="s">
        <v>226</v>
      </c>
      <c r="C92" s="103">
        <v>720</v>
      </c>
      <c r="D92" s="104" t="s">
        <v>59</v>
      </c>
      <c r="E92" s="103"/>
      <c r="F92" s="103"/>
      <c r="G92" s="103"/>
      <c r="H92" s="430">
        <f t="shared" si="8"/>
        <v>0</v>
      </c>
      <c r="J92" s="420"/>
      <c r="K92" s="420"/>
      <c r="L92" s="420"/>
      <c r="M92" s="420"/>
      <c r="N92" s="420"/>
      <c r="O92" s="420"/>
      <c r="P92" s="420"/>
      <c r="Q92" s="420"/>
      <c r="R92" s="420"/>
      <c r="S92" s="420"/>
      <c r="T92" s="420"/>
      <c r="U92" s="429"/>
    </row>
    <row r="93" spans="1:21" x14ac:dyDescent="0.25">
      <c r="A93" s="11"/>
      <c r="B93" s="105" t="s">
        <v>205</v>
      </c>
      <c r="C93" s="103">
        <v>720</v>
      </c>
      <c r="D93" s="104" t="s">
        <v>59</v>
      </c>
      <c r="E93" s="103"/>
      <c r="F93" s="103"/>
      <c r="G93" s="103"/>
      <c r="H93" s="430">
        <f t="shared" si="8"/>
        <v>0</v>
      </c>
      <c r="J93" s="420"/>
      <c r="K93" s="420"/>
      <c r="L93" s="420"/>
      <c r="M93" s="420"/>
      <c r="N93" s="420"/>
      <c r="O93" s="420"/>
      <c r="P93" s="420"/>
      <c r="Q93" s="420"/>
      <c r="R93" s="420"/>
      <c r="S93" s="420"/>
      <c r="T93" s="420"/>
      <c r="U93" s="429"/>
    </row>
    <row r="94" spans="1:21" x14ac:dyDescent="0.25">
      <c r="A94" s="11"/>
      <c r="B94" s="105" t="s">
        <v>60</v>
      </c>
      <c r="C94" s="331" t="s">
        <v>194</v>
      </c>
      <c r="D94" s="104" t="s">
        <v>59</v>
      </c>
      <c r="E94" s="103"/>
      <c r="F94" s="103"/>
      <c r="G94" s="103"/>
      <c r="H94" s="430">
        <f t="shared" si="8"/>
        <v>0</v>
      </c>
      <c r="J94" s="420">
        <f t="shared" ref="J94:U94" si="10">J119</f>
        <v>0</v>
      </c>
      <c r="K94" s="420">
        <f t="shared" si="10"/>
        <v>0</v>
      </c>
      <c r="L94" s="420">
        <f t="shared" si="10"/>
        <v>0</v>
      </c>
      <c r="M94" s="420">
        <f t="shared" si="10"/>
        <v>0</v>
      </c>
      <c r="N94" s="420">
        <f t="shared" si="10"/>
        <v>0</v>
      </c>
      <c r="O94" s="420">
        <f t="shared" si="10"/>
        <v>0</v>
      </c>
      <c r="P94" s="420">
        <f t="shared" si="10"/>
        <v>0</v>
      </c>
      <c r="Q94" s="420">
        <f t="shared" si="10"/>
        <v>0</v>
      </c>
      <c r="R94" s="420">
        <f t="shared" si="10"/>
        <v>0</v>
      </c>
      <c r="S94" s="420">
        <f t="shared" si="10"/>
        <v>0</v>
      </c>
      <c r="T94" s="420">
        <f t="shared" si="10"/>
        <v>0</v>
      </c>
      <c r="U94" s="429">
        <f t="shared" si="10"/>
        <v>0</v>
      </c>
    </row>
    <row r="95" spans="1:21" x14ac:dyDescent="0.25">
      <c r="A95" s="11"/>
      <c r="B95" s="105" t="s">
        <v>80</v>
      </c>
      <c r="C95" s="331" t="s">
        <v>194</v>
      </c>
      <c r="D95" s="104" t="s">
        <v>59</v>
      </c>
      <c r="E95" s="103"/>
      <c r="F95" s="103"/>
      <c r="G95" s="103"/>
      <c r="H95" s="430">
        <f t="shared" si="8"/>
        <v>0</v>
      </c>
      <c r="J95" s="420">
        <f t="shared" ref="J95:U95" si="11">J120</f>
        <v>0</v>
      </c>
      <c r="K95" s="420">
        <f t="shared" si="11"/>
        <v>0</v>
      </c>
      <c r="L95" s="420">
        <f t="shared" si="11"/>
        <v>0</v>
      </c>
      <c r="M95" s="420">
        <f t="shared" si="11"/>
        <v>0</v>
      </c>
      <c r="N95" s="420">
        <f t="shared" si="11"/>
        <v>0</v>
      </c>
      <c r="O95" s="420">
        <f t="shared" si="11"/>
        <v>0</v>
      </c>
      <c r="P95" s="420">
        <f t="shared" si="11"/>
        <v>0</v>
      </c>
      <c r="Q95" s="420">
        <f t="shared" si="11"/>
        <v>0</v>
      </c>
      <c r="R95" s="420">
        <f t="shared" si="11"/>
        <v>0</v>
      </c>
      <c r="S95" s="420">
        <f t="shared" si="11"/>
        <v>0</v>
      </c>
      <c r="T95" s="420">
        <f t="shared" si="11"/>
        <v>0</v>
      </c>
      <c r="U95" s="429">
        <f t="shared" si="11"/>
        <v>0</v>
      </c>
    </row>
    <row r="96" spans="1:21" x14ac:dyDescent="0.25">
      <c r="A96" s="11"/>
      <c r="B96" s="105" t="s">
        <v>230</v>
      </c>
      <c r="C96" s="104">
        <v>305</v>
      </c>
      <c r="D96" s="332" t="s">
        <v>61</v>
      </c>
      <c r="E96" s="103"/>
      <c r="F96" s="103"/>
      <c r="G96" s="103"/>
      <c r="H96" s="430">
        <f t="shared" si="8"/>
        <v>0</v>
      </c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1"/>
    </row>
    <row r="97" spans="1:23" x14ac:dyDescent="0.25">
      <c r="A97" s="11"/>
      <c r="B97" s="105" t="s">
        <v>231</v>
      </c>
      <c r="C97" s="104">
        <v>306</v>
      </c>
      <c r="D97" s="332" t="s">
        <v>61</v>
      </c>
      <c r="E97" s="103"/>
      <c r="F97" s="103"/>
      <c r="G97" s="103"/>
      <c r="H97" s="430">
        <f t="shared" si="8"/>
        <v>0</v>
      </c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1"/>
    </row>
    <row r="98" spans="1:23" x14ac:dyDescent="0.25">
      <c r="A98" s="11"/>
      <c r="B98" s="105" t="s">
        <v>232</v>
      </c>
      <c r="C98" s="334" t="s">
        <v>195</v>
      </c>
      <c r="D98" s="332" t="s">
        <v>62</v>
      </c>
      <c r="E98" s="103"/>
      <c r="F98" s="103"/>
      <c r="G98" s="103"/>
      <c r="H98" s="430">
        <f t="shared" si="8"/>
        <v>0</v>
      </c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1"/>
    </row>
    <row r="99" spans="1:23" x14ac:dyDescent="0.25">
      <c r="A99" s="11"/>
      <c r="B99" s="105" t="s">
        <v>233</v>
      </c>
      <c r="C99" s="334" t="s">
        <v>196</v>
      </c>
      <c r="D99" s="332" t="s">
        <v>62</v>
      </c>
      <c r="E99" s="103"/>
      <c r="F99" s="103"/>
      <c r="G99" s="103"/>
      <c r="H99" s="430">
        <f t="shared" si="8"/>
        <v>0</v>
      </c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1"/>
    </row>
    <row r="100" spans="1:23" x14ac:dyDescent="0.25">
      <c r="A100" s="11"/>
      <c r="B100" s="105" t="s">
        <v>235</v>
      </c>
      <c r="C100" s="334" t="s">
        <v>197</v>
      </c>
      <c r="D100" s="104" t="s">
        <v>63</v>
      </c>
      <c r="E100" s="103"/>
      <c r="F100" s="103"/>
      <c r="G100" s="103"/>
      <c r="H100" s="430">
        <f t="shared" si="8"/>
        <v>0</v>
      </c>
      <c r="J100" s="100"/>
      <c r="K100" s="100"/>
      <c r="L100" s="100"/>
      <c r="M100" s="100"/>
      <c r="N100" s="100"/>
      <c r="O100" s="100"/>
      <c r="P100" s="100"/>
      <c r="Q100" s="100"/>
      <c r="R100" s="100"/>
      <c r="S100" s="100"/>
      <c r="T100" s="100"/>
      <c r="U100" s="101"/>
    </row>
    <row r="101" spans="1:23" x14ac:dyDescent="0.25">
      <c r="A101" s="11"/>
      <c r="B101" s="105" t="s">
        <v>64</v>
      </c>
      <c r="C101" s="334" t="s">
        <v>198</v>
      </c>
      <c r="D101" s="104" t="s">
        <v>63</v>
      </c>
      <c r="E101" s="104"/>
      <c r="F101" s="103"/>
      <c r="G101" s="344">
        <f>IFERROR(H101/$W$16,0)</f>
        <v>0</v>
      </c>
      <c r="H101" s="430">
        <f t="shared" si="8"/>
        <v>0</v>
      </c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1"/>
    </row>
    <row r="102" spans="1:23" x14ac:dyDescent="0.25">
      <c r="A102" s="11"/>
      <c r="B102" s="105" t="s">
        <v>65</v>
      </c>
      <c r="C102" s="334" t="s">
        <v>199</v>
      </c>
      <c r="D102" s="104" t="s">
        <v>63</v>
      </c>
      <c r="E102" s="104">
        <v>365</v>
      </c>
      <c r="F102" s="103"/>
      <c r="G102" s="103"/>
      <c r="H102" s="430">
        <f t="shared" si="8"/>
        <v>0</v>
      </c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1"/>
    </row>
    <row r="103" spans="1:23" x14ac:dyDescent="0.25">
      <c r="A103" s="11"/>
      <c r="B103" s="105" t="s">
        <v>66</v>
      </c>
      <c r="C103" s="334" t="s">
        <v>200</v>
      </c>
      <c r="D103" s="104" t="s">
        <v>67</v>
      </c>
      <c r="E103" s="103">
        <v>338</v>
      </c>
      <c r="F103" s="103"/>
      <c r="G103" s="344">
        <v>0.33</v>
      </c>
      <c r="H103" s="430">
        <f t="shared" si="8"/>
        <v>0</v>
      </c>
      <c r="I103" s="46"/>
      <c r="J103" s="420">
        <f t="shared" ref="J103:U103" si="12">$G$103*J16</f>
        <v>0</v>
      </c>
      <c r="K103" s="420">
        <f t="shared" si="12"/>
        <v>0</v>
      </c>
      <c r="L103" s="420">
        <f t="shared" si="12"/>
        <v>0</v>
      </c>
      <c r="M103" s="420">
        <f t="shared" si="12"/>
        <v>0</v>
      </c>
      <c r="N103" s="420">
        <f t="shared" si="12"/>
        <v>0</v>
      </c>
      <c r="O103" s="420">
        <f t="shared" si="12"/>
        <v>0</v>
      </c>
      <c r="P103" s="420">
        <f t="shared" si="12"/>
        <v>0</v>
      </c>
      <c r="Q103" s="420">
        <f t="shared" si="12"/>
        <v>0</v>
      </c>
      <c r="R103" s="420">
        <f t="shared" si="12"/>
        <v>0</v>
      </c>
      <c r="S103" s="420">
        <f t="shared" si="12"/>
        <v>0</v>
      </c>
      <c r="T103" s="420">
        <f t="shared" si="12"/>
        <v>0</v>
      </c>
      <c r="U103" s="420">
        <f t="shared" si="12"/>
        <v>0</v>
      </c>
    </row>
    <row r="104" spans="1:23" x14ac:dyDescent="0.25">
      <c r="A104" s="11"/>
      <c r="B104" s="105" t="s">
        <v>234</v>
      </c>
      <c r="C104" s="104">
        <v>351</v>
      </c>
      <c r="D104" s="104" t="s">
        <v>67</v>
      </c>
      <c r="E104" s="103">
        <v>324</v>
      </c>
      <c r="F104" s="103"/>
      <c r="G104" s="349">
        <v>1.6000000000000001E-3</v>
      </c>
      <c r="H104" s="430">
        <f t="shared" si="8"/>
        <v>0</v>
      </c>
      <c r="J104" s="420">
        <f t="shared" ref="J104:U104" si="13">$G$104*J46/100</f>
        <v>0</v>
      </c>
      <c r="K104" s="420">
        <f t="shared" si="13"/>
        <v>0</v>
      </c>
      <c r="L104" s="420">
        <f t="shared" si="13"/>
        <v>0</v>
      </c>
      <c r="M104" s="420">
        <f t="shared" si="13"/>
        <v>0</v>
      </c>
      <c r="N104" s="420">
        <f t="shared" si="13"/>
        <v>0</v>
      </c>
      <c r="O104" s="420">
        <f t="shared" si="13"/>
        <v>0</v>
      </c>
      <c r="P104" s="420">
        <f t="shared" si="13"/>
        <v>0</v>
      </c>
      <c r="Q104" s="420">
        <f t="shared" si="13"/>
        <v>0</v>
      </c>
      <c r="R104" s="420">
        <f t="shared" si="13"/>
        <v>0</v>
      </c>
      <c r="S104" s="420">
        <f t="shared" si="13"/>
        <v>0</v>
      </c>
      <c r="T104" s="420">
        <f t="shared" si="13"/>
        <v>0</v>
      </c>
      <c r="U104" s="420">
        <f t="shared" si="13"/>
        <v>0</v>
      </c>
    </row>
    <row r="105" spans="1:23" x14ac:dyDescent="0.25">
      <c r="A105" s="11"/>
      <c r="B105" s="106" t="s">
        <v>68</v>
      </c>
      <c r="C105" s="333" t="s">
        <v>201</v>
      </c>
      <c r="D105" s="107" t="s">
        <v>67</v>
      </c>
      <c r="E105" s="107"/>
      <c r="F105" s="108"/>
      <c r="G105" s="344">
        <v>3.75</v>
      </c>
      <c r="H105" s="430">
        <f t="shared" si="8"/>
        <v>0</v>
      </c>
      <c r="J105" s="420">
        <f t="shared" ref="J105:U105" si="14">$G$105*J16</f>
        <v>0</v>
      </c>
      <c r="K105" s="420">
        <f t="shared" si="14"/>
        <v>0</v>
      </c>
      <c r="L105" s="420">
        <f t="shared" si="14"/>
        <v>0</v>
      </c>
      <c r="M105" s="420">
        <f t="shared" si="14"/>
        <v>0</v>
      </c>
      <c r="N105" s="420">
        <f t="shared" si="14"/>
        <v>0</v>
      </c>
      <c r="O105" s="420">
        <f t="shared" si="14"/>
        <v>0</v>
      </c>
      <c r="P105" s="420">
        <f t="shared" si="14"/>
        <v>0</v>
      </c>
      <c r="Q105" s="420">
        <f t="shared" si="14"/>
        <v>0</v>
      </c>
      <c r="R105" s="420">
        <f t="shared" si="14"/>
        <v>0</v>
      </c>
      <c r="S105" s="420">
        <f t="shared" si="14"/>
        <v>0</v>
      </c>
      <c r="T105" s="420">
        <f t="shared" si="14"/>
        <v>0</v>
      </c>
      <c r="U105" s="420">
        <f t="shared" si="14"/>
        <v>0</v>
      </c>
    </row>
    <row r="106" spans="1:23" x14ac:dyDescent="0.25">
      <c r="B106" s="11"/>
      <c r="U106" s="109"/>
    </row>
    <row r="107" spans="1:23" ht="15.75" thickBot="1" x14ac:dyDescent="0.3">
      <c r="A107" s="11"/>
      <c r="B107" s="110" t="s">
        <v>69</v>
      </c>
      <c r="C107" s="33"/>
      <c r="D107" s="33"/>
      <c r="E107" s="33"/>
      <c r="F107" s="33"/>
      <c r="G107" s="436">
        <f>IFERROR(H107/B127,0)</f>
        <v>0</v>
      </c>
      <c r="H107" s="425">
        <f>SUM(H82:H105)</f>
        <v>0</v>
      </c>
      <c r="I107" s="112"/>
      <c r="J107" s="425">
        <f t="shared" ref="J107:U107" si="15">SUM(J82:J105)</f>
        <v>0</v>
      </c>
      <c r="K107" s="425">
        <f t="shared" si="15"/>
        <v>0</v>
      </c>
      <c r="L107" s="425">
        <f t="shared" si="15"/>
        <v>0</v>
      </c>
      <c r="M107" s="425">
        <f t="shared" si="15"/>
        <v>0</v>
      </c>
      <c r="N107" s="425">
        <f t="shared" si="15"/>
        <v>0</v>
      </c>
      <c r="O107" s="425">
        <f t="shared" si="15"/>
        <v>0</v>
      </c>
      <c r="P107" s="425">
        <f t="shared" si="15"/>
        <v>0</v>
      </c>
      <c r="Q107" s="425">
        <f t="shared" si="15"/>
        <v>0</v>
      </c>
      <c r="R107" s="425">
        <f t="shared" si="15"/>
        <v>0</v>
      </c>
      <c r="S107" s="425">
        <f t="shared" si="15"/>
        <v>0</v>
      </c>
      <c r="T107" s="425">
        <f t="shared" si="15"/>
        <v>0</v>
      </c>
      <c r="U107" s="426">
        <f t="shared" si="15"/>
        <v>0</v>
      </c>
    </row>
    <row r="108" spans="1:23" ht="15.75" thickBot="1" x14ac:dyDescent="0.3"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</row>
    <row r="109" spans="1:23" ht="16.5" thickTop="1" thickBot="1" x14ac:dyDescent="0.3">
      <c r="B109" s="113" t="s">
        <v>70</v>
      </c>
      <c r="C109" s="114"/>
      <c r="D109" s="114"/>
      <c r="E109" s="114"/>
      <c r="F109" s="114"/>
      <c r="G109" s="115"/>
      <c r="H109" s="431">
        <f>H51+H78+H107</f>
        <v>0</v>
      </c>
      <c r="I109" s="115"/>
      <c r="J109" s="431">
        <f t="shared" ref="J109:U109" si="16">J51+J78+J107</f>
        <v>0</v>
      </c>
      <c r="K109" s="431">
        <f t="shared" si="16"/>
        <v>0</v>
      </c>
      <c r="L109" s="431">
        <f t="shared" si="16"/>
        <v>0</v>
      </c>
      <c r="M109" s="431">
        <f t="shared" si="16"/>
        <v>0</v>
      </c>
      <c r="N109" s="431">
        <f t="shared" si="16"/>
        <v>0</v>
      </c>
      <c r="O109" s="431">
        <f t="shared" si="16"/>
        <v>0</v>
      </c>
      <c r="P109" s="431">
        <f t="shared" si="16"/>
        <v>0</v>
      </c>
      <c r="Q109" s="431">
        <f t="shared" si="16"/>
        <v>0</v>
      </c>
      <c r="R109" s="431">
        <f t="shared" si="16"/>
        <v>0</v>
      </c>
      <c r="S109" s="431">
        <f t="shared" si="16"/>
        <v>0</v>
      </c>
      <c r="T109" s="431">
        <f t="shared" si="16"/>
        <v>0</v>
      </c>
      <c r="U109" s="432">
        <f t="shared" si="16"/>
        <v>0</v>
      </c>
      <c r="W109" s="67">
        <f>SUM(J109:U109)</f>
        <v>0</v>
      </c>
    </row>
    <row r="110" spans="1:23" ht="15.75" thickBot="1" x14ac:dyDescent="0.3">
      <c r="J110" s="222"/>
      <c r="K110" s="222"/>
      <c r="L110" s="222"/>
    </row>
    <row r="111" spans="1:23" ht="16.5" thickTop="1" thickBot="1" x14ac:dyDescent="0.3">
      <c r="B111" s="113" t="s">
        <v>71</v>
      </c>
      <c r="C111" s="114"/>
      <c r="D111" s="114"/>
      <c r="E111" s="114"/>
      <c r="F111" s="114"/>
      <c r="G111" s="114"/>
      <c r="H111" s="431">
        <f>H46-H109</f>
        <v>0</v>
      </c>
      <c r="I111" s="115"/>
      <c r="J111" s="431">
        <f t="shared" ref="J111:U111" si="17">J46-J109</f>
        <v>0</v>
      </c>
      <c r="K111" s="431">
        <f t="shared" si="17"/>
        <v>0</v>
      </c>
      <c r="L111" s="431">
        <f t="shared" si="17"/>
        <v>0</v>
      </c>
      <c r="M111" s="431">
        <f t="shared" si="17"/>
        <v>0</v>
      </c>
      <c r="N111" s="431">
        <f t="shared" si="17"/>
        <v>0</v>
      </c>
      <c r="O111" s="431">
        <f t="shared" si="17"/>
        <v>0</v>
      </c>
      <c r="P111" s="431">
        <f t="shared" si="17"/>
        <v>0</v>
      </c>
      <c r="Q111" s="431">
        <f t="shared" si="17"/>
        <v>0</v>
      </c>
      <c r="R111" s="431">
        <f t="shared" si="17"/>
        <v>0</v>
      </c>
      <c r="S111" s="431">
        <f t="shared" si="17"/>
        <v>0</v>
      </c>
      <c r="T111" s="431">
        <f t="shared" si="17"/>
        <v>0</v>
      </c>
      <c r="U111" s="432">
        <f t="shared" si="17"/>
        <v>0</v>
      </c>
      <c r="W111" s="67">
        <f>SUM(J111:U111)</f>
        <v>0</v>
      </c>
    </row>
    <row r="112" spans="1:23" ht="15.75" thickBot="1" x14ac:dyDescent="0.3">
      <c r="K112" s="131"/>
    </row>
    <row r="113" spans="2:21" x14ac:dyDescent="0.25">
      <c r="B113" s="71" t="s">
        <v>72</v>
      </c>
      <c r="C113" s="80" t="s">
        <v>44</v>
      </c>
      <c r="D113" s="42" t="s">
        <v>220</v>
      </c>
      <c r="E113" s="42" t="s">
        <v>203</v>
      </c>
      <c r="F113" s="42" t="s">
        <v>240</v>
      </c>
      <c r="G113" s="42" t="s">
        <v>239</v>
      </c>
      <c r="H113" s="9"/>
      <c r="I113" s="118"/>
      <c r="J113" s="448" t="s">
        <v>73</v>
      </c>
      <c r="K113" s="448"/>
      <c r="L113" s="448"/>
      <c r="M113" s="448"/>
      <c r="N113" s="448"/>
      <c r="O113" s="448"/>
      <c r="P113" s="448"/>
      <c r="Q113" s="448"/>
      <c r="R113" s="448"/>
      <c r="S113" s="448"/>
      <c r="T113" s="448"/>
      <c r="U113" s="449"/>
    </row>
    <row r="114" spans="2:21" x14ac:dyDescent="0.25">
      <c r="B114" s="119" t="s">
        <v>74</v>
      </c>
      <c r="C114" s="340">
        <v>720</v>
      </c>
      <c r="D114" s="120" t="s">
        <v>59</v>
      </c>
      <c r="E114" s="121" t="s">
        <v>75</v>
      </c>
      <c r="F114" s="123"/>
      <c r="G114" s="345"/>
      <c r="H114" s="122"/>
      <c r="J114" s="123"/>
      <c r="K114" s="123"/>
      <c r="L114" s="123"/>
      <c r="M114" s="123"/>
      <c r="N114" s="123"/>
      <c r="O114" s="123"/>
      <c r="P114" s="123"/>
      <c r="Q114" s="123"/>
      <c r="R114" s="123"/>
      <c r="S114" s="123"/>
      <c r="T114" s="123"/>
      <c r="U114" s="124"/>
    </row>
    <row r="115" spans="2:21" x14ac:dyDescent="0.25">
      <c r="B115" s="119" t="s">
        <v>76</v>
      </c>
      <c r="C115" s="340">
        <v>720</v>
      </c>
      <c r="D115" s="120" t="s">
        <v>59</v>
      </c>
      <c r="E115" s="121" t="s">
        <v>75</v>
      </c>
      <c r="F115" s="123"/>
      <c r="G115" s="345">
        <f>IFERROR(H115/F115,0)</f>
        <v>0</v>
      </c>
      <c r="H115" s="122"/>
      <c r="J115" s="123"/>
      <c r="K115" s="123"/>
      <c r="L115" s="123"/>
      <c r="M115" s="123"/>
      <c r="N115" s="123"/>
      <c r="O115" s="123"/>
      <c r="P115" s="123"/>
      <c r="Q115" s="123"/>
      <c r="R115" s="123"/>
      <c r="S115" s="123"/>
      <c r="T115" s="123"/>
      <c r="U115" s="124"/>
    </row>
    <row r="116" spans="2:21" x14ac:dyDescent="0.25">
      <c r="B116" s="119" t="s">
        <v>77</v>
      </c>
      <c r="C116" s="340">
        <v>720</v>
      </c>
      <c r="D116" s="120" t="s">
        <v>59</v>
      </c>
      <c r="E116" s="121" t="s">
        <v>75</v>
      </c>
      <c r="F116" s="123"/>
      <c r="G116" s="345"/>
      <c r="H116" s="122"/>
      <c r="J116" s="123"/>
      <c r="K116" s="123"/>
      <c r="L116" s="123"/>
      <c r="M116" s="123"/>
      <c r="N116" s="123"/>
      <c r="O116" s="123"/>
      <c r="P116" s="123"/>
      <c r="Q116" s="123"/>
      <c r="R116" s="123"/>
      <c r="S116" s="123"/>
      <c r="T116" s="123"/>
      <c r="U116" s="124"/>
    </row>
    <row r="117" spans="2:21" x14ac:dyDescent="0.25">
      <c r="B117" s="119" t="s">
        <v>78</v>
      </c>
      <c r="C117" s="340">
        <v>720</v>
      </c>
      <c r="D117" s="120" t="s">
        <v>59</v>
      </c>
      <c r="E117" s="121" t="s">
        <v>75</v>
      </c>
      <c r="F117" s="123"/>
      <c r="G117" s="345"/>
      <c r="H117" s="122"/>
      <c r="J117" s="123"/>
      <c r="K117" s="123"/>
      <c r="L117" s="123"/>
      <c r="M117" s="123"/>
      <c r="N117" s="123"/>
      <c r="O117" s="123"/>
      <c r="P117" s="123"/>
      <c r="Q117" s="123"/>
      <c r="R117" s="123"/>
      <c r="S117" s="123"/>
      <c r="T117" s="123"/>
      <c r="U117" s="124"/>
    </row>
    <row r="118" spans="2:21" x14ac:dyDescent="0.25">
      <c r="B118" s="119" t="s">
        <v>205</v>
      </c>
      <c r="C118" s="340">
        <v>720</v>
      </c>
      <c r="D118" s="120" t="s">
        <v>59</v>
      </c>
      <c r="E118" s="121" t="s">
        <v>206</v>
      </c>
      <c r="F118" s="123"/>
      <c r="G118" s="345"/>
      <c r="H118" s="122"/>
      <c r="J118" s="123"/>
      <c r="K118" s="123"/>
      <c r="L118" s="123"/>
      <c r="M118" s="123"/>
      <c r="N118" s="123"/>
      <c r="O118" s="123"/>
      <c r="P118" s="123"/>
      <c r="Q118" s="123"/>
      <c r="R118" s="123"/>
      <c r="S118" s="123"/>
      <c r="T118" s="123"/>
      <c r="U118" s="124"/>
    </row>
    <row r="119" spans="2:21" x14ac:dyDescent="0.25">
      <c r="B119" s="119" t="s">
        <v>60</v>
      </c>
      <c r="C119" s="341" t="s">
        <v>194</v>
      </c>
      <c r="D119" s="120" t="s">
        <v>59</v>
      </c>
      <c r="E119" s="121" t="s">
        <v>79</v>
      </c>
      <c r="F119" s="123"/>
      <c r="G119" s="345">
        <f>IFERROR(H119/F119,0)</f>
        <v>0</v>
      </c>
      <c r="H119" s="122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4"/>
    </row>
    <row r="120" spans="2:21" x14ac:dyDescent="0.25">
      <c r="B120" s="119" t="s">
        <v>80</v>
      </c>
      <c r="C120" s="341" t="s">
        <v>194</v>
      </c>
      <c r="D120" s="120" t="s">
        <v>59</v>
      </c>
      <c r="E120" s="121" t="s">
        <v>81</v>
      </c>
      <c r="F120" s="123"/>
      <c r="G120" s="345">
        <f>IFERROR(H120/F120,0)</f>
        <v>0</v>
      </c>
      <c r="H120" s="122"/>
      <c r="J120" s="123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339"/>
    </row>
    <row r="121" spans="2:21" x14ac:dyDescent="0.25">
      <c r="B121" s="336" t="s">
        <v>237</v>
      </c>
      <c r="C121" s="342" t="s">
        <v>195</v>
      </c>
      <c r="D121" s="337" t="s">
        <v>62</v>
      </c>
      <c r="E121" s="338" t="s">
        <v>79</v>
      </c>
      <c r="F121" s="123"/>
      <c r="G121" s="345"/>
      <c r="H121" s="122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339"/>
    </row>
    <row r="122" spans="2:21" ht="15.75" thickBot="1" x14ac:dyDescent="0.3">
      <c r="B122" s="125" t="s">
        <v>236</v>
      </c>
      <c r="C122" s="343" t="s">
        <v>195</v>
      </c>
      <c r="D122" s="126" t="s">
        <v>62</v>
      </c>
      <c r="E122" s="127" t="s">
        <v>81</v>
      </c>
      <c r="F122" s="381"/>
      <c r="G122" s="346"/>
      <c r="H122" s="128">
        <v>0</v>
      </c>
      <c r="I122" s="33"/>
      <c r="J122" s="129"/>
      <c r="K122" s="129"/>
      <c r="L122" s="129"/>
      <c r="M122" s="129"/>
      <c r="N122" s="129"/>
      <c r="O122" s="129"/>
      <c r="P122" s="129"/>
      <c r="Q122" s="129"/>
      <c r="R122" s="129"/>
      <c r="S122" s="129"/>
      <c r="T122" s="129"/>
      <c r="U122" s="130"/>
    </row>
    <row r="123" spans="2:21" x14ac:dyDescent="0.25">
      <c r="J123" s="131"/>
      <c r="K123" s="131"/>
      <c r="L123" s="131"/>
      <c r="M123" s="131"/>
      <c r="N123" s="131"/>
      <c r="O123" s="131"/>
      <c r="P123" s="131"/>
      <c r="Q123" s="131"/>
      <c r="R123" s="131"/>
      <c r="S123" s="131"/>
      <c r="T123" s="131"/>
      <c r="U123" s="131"/>
    </row>
    <row r="124" spans="2:21" ht="15.75" thickBot="1" x14ac:dyDescent="0.3">
      <c r="J124" s="131"/>
      <c r="K124" s="131"/>
      <c r="L124" s="131"/>
      <c r="M124" s="131"/>
      <c r="N124" s="131"/>
      <c r="O124" s="131"/>
      <c r="P124" s="131"/>
      <c r="Q124" s="131"/>
      <c r="R124" s="131"/>
      <c r="S124" s="131"/>
      <c r="T124" s="131"/>
      <c r="U124" s="131"/>
    </row>
    <row r="125" spans="2:21" x14ac:dyDescent="0.25">
      <c r="B125" s="71" t="s">
        <v>82</v>
      </c>
      <c r="C125" s="9"/>
      <c r="D125" s="9"/>
      <c r="E125" s="9"/>
      <c r="F125" s="9"/>
      <c r="G125" s="40"/>
      <c r="J125" s="131"/>
      <c r="K125" s="131"/>
      <c r="L125" s="131"/>
      <c r="M125" s="131"/>
      <c r="N125" s="131"/>
      <c r="O125" s="131"/>
      <c r="P125" s="131"/>
      <c r="Q125" s="131"/>
      <c r="R125" s="131"/>
      <c r="S125" s="131"/>
      <c r="T125" s="131"/>
      <c r="U125" s="131"/>
    </row>
    <row r="126" spans="2:21" x14ac:dyDescent="0.25">
      <c r="B126" s="132" t="s">
        <v>83</v>
      </c>
      <c r="C126" s="43" t="s">
        <v>84</v>
      </c>
      <c r="D126"/>
      <c r="E126"/>
      <c r="F126" s="450" t="s">
        <v>85</v>
      </c>
      <c r="G126" s="451"/>
      <c r="I126" s="131"/>
      <c r="J126" s="131"/>
      <c r="K126" s="131"/>
      <c r="L126" s="131"/>
      <c r="M126" s="131"/>
      <c r="N126" s="131"/>
      <c r="O126" s="131"/>
      <c r="P126" s="131"/>
      <c r="Q126" s="131"/>
      <c r="R126" s="131"/>
      <c r="S126" s="131"/>
      <c r="T126" s="131"/>
    </row>
    <row r="127" spans="2:21" ht="18.75" x14ac:dyDescent="0.3">
      <c r="B127" s="133">
        <f>W16</f>
        <v>0</v>
      </c>
      <c r="C127" s="134"/>
      <c r="D127" s="134"/>
      <c r="E127" s="134"/>
      <c r="F127" s="135"/>
      <c r="G127" s="136"/>
      <c r="I127" s="131"/>
      <c r="J127" s="131"/>
      <c r="K127" s="131"/>
      <c r="L127" s="131"/>
      <c r="M127" s="131"/>
      <c r="N127" s="131"/>
      <c r="O127" s="131"/>
      <c r="P127" s="131"/>
      <c r="Q127" s="131"/>
      <c r="R127" s="131"/>
      <c r="S127" s="131"/>
      <c r="T127" s="131"/>
    </row>
    <row r="128" spans="2:21" x14ac:dyDescent="0.25">
      <c r="B128" s="137" t="s">
        <v>86</v>
      </c>
      <c r="C128" s="134"/>
      <c r="D128" s="134"/>
      <c r="E128" s="138">
        <f>H46</f>
        <v>0</v>
      </c>
      <c r="F128" s="135"/>
      <c r="G128" s="139" t="e">
        <f>E128/$B$127</f>
        <v>#DIV/0!</v>
      </c>
      <c r="I128" s="131"/>
      <c r="J128" s="131"/>
      <c r="K128" s="131"/>
      <c r="L128" s="131"/>
      <c r="M128" s="131"/>
      <c r="N128" s="131"/>
      <c r="O128" s="131"/>
      <c r="P128" s="131"/>
      <c r="Q128" s="131"/>
      <c r="R128" s="131"/>
      <c r="S128" s="131"/>
      <c r="T128" s="131"/>
    </row>
    <row r="129" spans="2:21" ht="9" customHeight="1" x14ac:dyDescent="0.25">
      <c r="B129" s="11"/>
      <c r="C129" s="134"/>
      <c r="D129" s="134"/>
      <c r="E129" s="134"/>
      <c r="F129" s="135"/>
      <c r="G129" s="136"/>
      <c r="I129" s="131"/>
      <c r="J129" s="131"/>
      <c r="K129" s="131"/>
      <c r="L129" s="131"/>
      <c r="M129" s="131"/>
      <c r="N129" s="131"/>
      <c r="O129" s="131"/>
      <c r="P129" s="131"/>
      <c r="Q129" s="131"/>
      <c r="R129" s="131"/>
      <c r="S129" s="131"/>
      <c r="T129" s="131"/>
    </row>
    <row r="130" spans="2:21" x14ac:dyDescent="0.25">
      <c r="B130" s="137" t="s">
        <v>87</v>
      </c>
      <c r="C130" s="134"/>
      <c r="D130" s="134"/>
      <c r="E130" s="134"/>
      <c r="F130" s="135"/>
      <c r="G130" s="136"/>
      <c r="I130" s="131"/>
      <c r="J130" s="131"/>
      <c r="K130" s="131"/>
      <c r="L130" s="131"/>
      <c r="M130" s="131"/>
      <c r="N130" s="131"/>
      <c r="O130" s="131"/>
      <c r="P130" s="131"/>
      <c r="Q130" s="131"/>
      <c r="R130" s="131"/>
      <c r="S130" s="131"/>
      <c r="T130" s="131"/>
    </row>
    <row r="131" spans="2:21" x14ac:dyDescent="0.25">
      <c r="B131" s="24" t="s">
        <v>88</v>
      </c>
      <c r="C131" s="138">
        <f>H51+H82+H83+H84+H89</f>
        <v>0</v>
      </c>
      <c r="D131" s="138"/>
      <c r="E131" s="134"/>
      <c r="F131" s="140" t="e">
        <f t="shared" ref="F131:F138" si="18">C131/$B$127</f>
        <v>#DIV/0!</v>
      </c>
      <c r="G131" s="136"/>
      <c r="I131" s="131"/>
      <c r="J131" s="131"/>
      <c r="K131" s="131"/>
      <c r="L131" s="131"/>
      <c r="M131" s="131"/>
      <c r="N131" s="131"/>
      <c r="O131" s="131"/>
      <c r="P131" s="131"/>
      <c r="Q131" s="131"/>
      <c r="R131" s="131"/>
      <c r="S131" s="131"/>
      <c r="T131" s="131"/>
    </row>
    <row r="132" spans="2:21" x14ac:dyDescent="0.25">
      <c r="B132" s="24" t="s">
        <v>89</v>
      </c>
      <c r="C132" s="138">
        <f>H78</f>
        <v>0</v>
      </c>
      <c r="D132" s="138"/>
      <c r="E132" s="134"/>
      <c r="F132" s="140" t="e">
        <f t="shared" si="18"/>
        <v>#DIV/0!</v>
      </c>
      <c r="G132" s="136"/>
      <c r="I132" s="131"/>
      <c r="J132" s="131"/>
      <c r="K132" s="131"/>
      <c r="L132" s="131"/>
      <c r="M132" s="131"/>
      <c r="N132" s="131"/>
      <c r="O132" s="131"/>
      <c r="P132" s="131"/>
      <c r="Q132" s="131"/>
      <c r="R132" s="131"/>
      <c r="S132" s="131"/>
      <c r="T132" s="131"/>
    </row>
    <row r="133" spans="2:21" x14ac:dyDescent="0.25">
      <c r="B133" s="24" t="s">
        <v>59</v>
      </c>
      <c r="C133" s="138">
        <f>H90+H91+H92</f>
        <v>0</v>
      </c>
      <c r="D133" s="138"/>
      <c r="E133" s="134"/>
      <c r="F133" s="140" t="e">
        <f t="shared" si="18"/>
        <v>#DIV/0!</v>
      </c>
      <c r="G133" s="136"/>
      <c r="I133" s="131"/>
      <c r="J133" s="131"/>
      <c r="K133" s="131"/>
      <c r="L133" s="131"/>
      <c r="M133" s="131"/>
      <c r="N133" s="131"/>
      <c r="O133" s="131"/>
      <c r="P133" s="131"/>
      <c r="Q133" s="131"/>
      <c r="R133" s="131"/>
      <c r="S133" s="131"/>
      <c r="T133" s="131"/>
    </row>
    <row r="134" spans="2:21" x14ac:dyDescent="0.25">
      <c r="B134" s="24" t="s">
        <v>90</v>
      </c>
      <c r="C134" s="138">
        <f>H95+H96</f>
        <v>0</v>
      </c>
      <c r="D134" s="138"/>
      <c r="E134" s="134"/>
      <c r="F134" s="140" t="e">
        <f t="shared" si="18"/>
        <v>#DIV/0!</v>
      </c>
      <c r="G134" s="136"/>
      <c r="I134" s="131"/>
      <c r="J134" s="131"/>
      <c r="K134" s="131"/>
      <c r="L134" s="131"/>
      <c r="M134" s="131"/>
      <c r="N134" s="131"/>
      <c r="O134" s="131"/>
      <c r="P134" s="131"/>
      <c r="Q134" s="131"/>
      <c r="R134" s="131"/>
      <c r="S134" s="131"/>
      <c r="T134" s="131"/>
    </row>
    <row r="135" spans="2:21" x14ac:dyDescent="0.25">
      <c r="B135" s="24" t="s">
        <v>91</v>
      </c>
      <c r="C135" s="138">
        <f>H97+H98</f>
        <v>0</v>
      </c>
      <c r="D135" s="138"/>
      <c r="E135" s="134"/>
      <c r="F135" s="140" t="e">
        <f t="shared" si="18"/>
        <v>#DIV/0!</v>
      </c>
      <c r="G135" s="136"/>
      <c r="I135" s="131"/>
      <c r="J135" s="131"/>
      <c r="K135" s="131"/>
      <c r="L135" s="131"/>
      <c r="M135" s="131"/>
      <c r="N135" s="131"/>
      <c r="O135" s="131"/>
      <c r="P135" s="131"/>
      <c r="Q135" s="131"/>
      <c r="R135" s="131"/>
      <c r="S135" s="131"/>
      <c r="T135" s="131"/>
    </row>
    <row r="136" spans="2:21" x14ac:dyDescent="0.25">
      <c r="B136" s="24" t="s">
        <v>63</v>
      </c>
      <c r="C136" s="138">
        <f>H99+H100+H101+H102</f>
        <v>0</v>
      </c>
      <c r="D136" s="138"/>
      <c r="E136" s="134"/>
      <c r="F136" s="140" t="e">
        <f t="shared" si="18"/>
        <v>#DIV/0!</v>
      </c>
      <c r="G136" s="136"/>
      <c r="I136" s="131"/>
      <c r="J136" s="131"/>
      <c r="K136" s="131"/>
      <c r="L136" s="131"/>
      <c r="M136" s="131"/>
      <c r="N136" s="131"/>
      <c r="O136" s="131"/>
      <c r="P136" s="131"/>
      <c r="Q136" s="131"/>
      <c r="R136" s="131"/>
      <c r="S136" s="131"/>
      <c r="T136" s="131"/>
    </row>
    <row r="137" spans="2:21" x14ac:dyDescent="0.25">
      <c r="B137" s="24" t="s">
        <v>68</v>
      </c>
      <c r="C137" s="138">
        <f>H105</f>
        <v>0</v>
      </c>
      <c r="D137" s="138"/>
      <c r="E137" s="134"/>
      <c r="F137" s="140" t="e">
        <f t="shared" si="18"/>
        <v>#DIV/0!</v>
      </c>
      <c r="G137" s="136"/>
      <c r="I137" s="131"/>
      <c r="J137" s="131"/>
      <c r="K137" s="131"/>
      <c r="L137" s="131"/>
      <c r="M137" s="131"/>
      <c r="N137" s="131"/>
      <c r="O137" s="131"/>
      <c r="P137" s="131"/>
      <c r="Q137" s="131"/>
      <c r="R137" s="131"/>
      <c r="S137" s="131"/>
      <c r="T137" s="131"/>
    </row>
    <row r="138" spans="2:21" x14ac:dyDescent="0.25">
      <c r="B138" s="24" t="s">
        <v>92</v>
      </c>
      <c r="C138" s="141">
        <f>+H103+H104</f>
        <v>0</v>
      </c>
      <c r="D138" s="141"/>
      <c r="E138" s="141">
        <f>SUM(C131:C138)</f>
        <v>0</v>
      </c>
      <c r="F138" s="142" t="e">
        <f t="shared" si="18"/>
        <v>#DIV/0!</v>
      </c>
      <c r="G138" s="143" t="e">
        <f>SUM(F131:F138)</f>
        <v>#DIV/0!</v>
      </c>
      <c r="I138" s="131"/>
      <c r="J138" s="131"/>
      <c r="K138" s="131"/>
      <c r="L138" s="131"/>
      <c r="M138" s="131"/>
      <c r="N138" s="131"/>
      <c r="O138" s="131"/>
      <c r="P138" s="131"/>
      <c r="Q138" s="131"/>
      <c r="R138" s="131"/>
      <c r="S138" s="131"/>
      <c r="T138" s="131"/>
    </row>
    <row r="139" spans="2:21" ht="19.5" thickBot="1" x14ac:dyDescent="0.35">
      <c r="B139" s="32"/>
      <c r="C139" s="144"/>
      <c r="D139" s="144"/>
      <c r="E139" s="145">
        <f>E128-E138</f>
        <v>0</v>
      </c>
      <c r="F139" s="146"/>
      <c r="G139" s="147" t="e">
        <f>G128-G138</f>
        <v>#DIV/0!</v>
      </c>
      <c r="I139" s="131"/>
      <c r="J139" s="131"/>
      <c r="K139" s="131"/>
      <c r="L139" s="131"/>
      <c r="M139" s="131"/>
      <c r="N139" s="131"/>
      <c r="O139" s="131"/>
      <c r="P139" s="131"/>
      <c r="Q139" s="131"/>
      <c r="R139" s="131"/>
      <c r="S139" s="131"/>
      <c r="T139" s="131"/>
    </row>
    <row r="140" spans="2:21" x14ac:dyDescent="0.25">
      <c r="J140" s="131"/>
      <c r="K140" s="131"/>
      <c r="L140" s="131"/>
      <c r="M140" s="131"/>
      <c r="N140" s="131"/>
      <c r="O140" s="131"/>
      <c r="P140" s="131"/>
      <c r="Q140" s="131"/>
      <c r="R140" s="131"/>
      <c r="S140" s="131"/>
      <c r="T140" s="131"/>
      <c r="U140" s="131"/>
    </row>
    <row r="141" spans="2:21" x14ac:dyDescent="0.25">
      <c r="B141" s="150" t="s">
        <v>93</v>
      </c>
      <c r="J141" s="131"/>
      <c r="K141" s="131"/>
      <c r="L141" s="131"/>
      <c r="M141" s="131"/>
      <c r="N141" s="131"/>
      <c r="O141" s="131"/>
      <c r="P141" s="131"/>
      <c r="Q141" s="131"/>
      <c r="R141" s="131"/>
      <c r="S141" s="131"/>
      <c r="T141" s="131"/>
      <c r="U141" s="131"/>
    </row>
    <row r="142" spans="2:21" x14ac:dyDescent="0.25">
      <c r="B142" s="151" t="s">
        <v>94</v>
      </c>
      <c r="H142" s="148">
        <f t="shared" ref="H142:H171" si="19">SUM(J142:U142)</f>
        <v>0</v>
      </c>
      <c r="J142" s="131"/>
      <c r="K142" s="131"/>
      <c r="L142" s="131"/>
      <c r="M142" s="131"/>
      <c r="N142" s="131"/>
      <c r="O142" s="131"/>
      <c r="P142" s="131"/>
      <c r="Q142" s="131"/>
      <c r="R142" s="131"/>
      <c r="S142" s="131"/>
      <c r="T142" s="131"/>
      <c r="U142" s="131"/>
    </row>
    <row r="143" spans="2:21" x14ac:dyDescent="0.25">
      <c r="B143" s="151" t="s">
        <v>95</v>
      </c>
      <c r="H143" s="148">
        <f t="shared" si="19"/>
        <v>0</v>
      </c>
    </row>
    <row r="144" spans="2:21" x14ac:dyDescent="0.25">
      <c r="B144" s="151" t="s">
        <v>96</v>
      </c>
      <c r="H144" s="148">
        <f t="shared" si="19"/>
        <v>0</v>
      </c>
    </row>
    <row r="145" spans="2:8" x14ac:dyDescent="0.25">
      <c r="B145" s="151" t="s">
        <v>97</v>
      </c>
      <c r="H145" s="148">
        <f t="shared" si="19"/>
        <v>0</v>
      </c>
    </row>
    <row r="146" spans="2:8" x14ac:dyDescent="0.25">
      <c r="B146" s="151" t="s">
        <v>98</v>
      </c>
      <c r="H146" s="148">
        <f t="shared" si="19"/>
        <v>0</v>
      </c>
    </row>
    <row r="147" spans="2:8" x14ac:dyDescent="0.25">
      <c r="B147" s="151" t="s">
        <v>99</v>
      </c>
      <c r="H147" s="148">
        <f t="shared" si="19"/>
        <v>0</v>
      </c>
    </row>
    <row r="148" spans="2:8" x14ac:dyDescent="0.25">
      <c r="B148" s="151" t="s">
        <v>100</v>
      </c>
      <c r="H148" s="148">
        <f t="shared" si="19"/>
        <v>0</v>
      </c>
    </row>
    <row r="149" spans="2:8" x14ac:dyDescent="0.25">
      <c r="B149" s="151" t="s">
        <v>101</v>
      </c>
      <c r="H149" s="148">
        <f t="shared" si="19"/>
        <v>0</v>
      </c>
    </row>
    <row r="150" spans="2:8" x14ac:dyDescent="0.25">
      <c r="B150" s="151" t="s">
        <v>102</v>
      </c>
      <c r="H150" s="148">
        <f t="shared" si="19"/>
        <v>0</v>
      </c>
    </row>
    <row r="151" spans="2:8" x14ac:dyDescent="0.25">
      <c r="B151" s="151" t="s">
        <v>103</v>
      </c>
      <c r="H151" s="148">
        <f t="shared" si="19"/>
        <v>0</v>
      </c>
    </row>
    <row r="152" spans="2:8" x14ac:dyDescent="0.25">
      <c r="B152" s="151" t="s">
        <v>104</v>
      </c>
      <c r="H152" s="148">
        <f t="shared" si="19"/>
        <v>0</v>
      </c>
    </row>
    <row r="153" spans="2:8" x14ac:dyDescent="0.25">
      <c r="B153" s="151" t="s">
        <v>105</v>
      </c>
      <c r="H153" s="148">
        <f t="shared" si="19"/>
        <v>0</v>
      </c>
    </row>
    <row r="154" spans="2:8" x14ac:dyDescent="0.25">
      <c r="B154" s="151" t="s">
        <v>106</v>
      </c>
      <c r="H154" s="148">
        <f t="shared" si="19"/>
        <v>0</v>
      </c>
    </row>
    <row r="155" spans="2:8" x14ac:dyDescent="0.25">
      <c r="B155" s="151" t="s">
        <v>107</v>
      </c>
      <c r="H155" s="148">
        <f t="shared" si="19"/>
        <v>0</v>
      </c>
    </row>
    <row r="156" spans="2:8" x14ac:dyDescent="0.25">
      <c r="B156" s="151" t="s">
        <v>108</v>
      </c>
      <c r="H156" s="148">
        <f t="shared" si="19"/>
        <v>0</v>
      </c>
    </row>
    <row r="157" spans="2:8" x14ac:dyDescent="0.25">
      <c r="B157" t="s">
        <v>109</v>
      </c>
      <c r="H157" s="148">
        <f t="shared" si="19"/>
        <v>0</v>
      </c>
    </row>
    <row r="158" spans="2:8" x14ac:dyDescent="0.25">
      <c r="B158" t="s">
        <v>110</v>
      </c>
      <c r="H158" s="148">
        <f t="shared" si="19"/>
        <v>0</v>
      </c>
    </row>
    <row r="159" spans="2:8" x14ac:dyDescent="0.25">
      <c r="B159" t="s">
        <v>111</v>
      </c>
      <c r="H159" s="148">
        <f t="shared" si="19"/>
        <v>0</v>
      </c>
    </row>
    <row r="160" spans="2:8" x14ac:dyDescent="0.25">
      <c r="B160" t="s">
        <v>112</v>
      </c>
      <c r="H160" s="148">
        <f t="shared" si="19"/>
        <v>0</v>
      </c>
    </row>
    <row r="161" spans="2:21" x14ac:dyDescent="0.25">
      <c r="B161" t="s">
        <v>113</v>
      </c>
      <c r="H161" s="148">
        <f t="shared" si="19"/>
        <v>0</v>
      </c>
    </row>
    <row r="162" spans="2:21" x14ac:dyDescent="0.25">
      <c r="B162" s="152" t="s">
        <v>114</v>
      </c>
      <c r="H162" s="148">
        <f t="shared" si="19"/>
        <v>0</v>
      </c>
    </row>
    <row r="163" spans="2:21" x14ac:dyDescent="0.25">
      <c r="B163" s="153" t="s">
        <v>115</v>
      </c>
      <c r="H163" s="148">
        <f t="shared" si="19"/>
        <v>0</v>
      </c>
    </row>
    <row r="164" spans="2:21" x14ac:dyDescent="0.25">
      <c r="B164" s="153" t="s">
        <v>116</v>
      </c>
      <c r="H164" s="148">
        <f t="shared" si="19"/>
        <v>0</v>
      </c>
    </row>
    <row r="165" spans="2:21" x14ac:dyDescent="0.25">
      <c r="B165" s="153" t="s">
        <v>117</v>
      </c>
      <c r="H165" s="148">
        <f t="shared" si="19"/>
        <v>0</v>
      </c>
    </row>
    <row r="166" spans="2:21" x14ac:dyDescent="0.25">
      <c r="B166" s="153" t="s">
        <v>90</v>
      </c>
      <c r="H166" s="148">
        <f t="shared" si="19"/>
        <v>0</v>
      </c>
    </row>
    <row r="167" spans="2:21" x14ac:dyDescent="0.25">
      <c r="B167" s="153" t="s">
        <v>118</v>
      </c>
      <c r="H167" s="148">
        <f t="shared" si="19"/>
        <v>0</v>
      </c>
    </row>
    <row r="168" spans="2:21" x14ac:dyDescent="0.25">
      <c r="B168" s="153" t="s">
        <v>119</v>
      </c>
      <c r="H168" s="148">
        <f t="shared" si="19"/>
        <v>0</v>
      </c>
    </row>
    <row r="169" spans="2:21" x14ac:dyDescent="0.25">
      <c r="B169" s="153" t="s">
        <v>120</v>
      </c>
      <c r="H169" s="148">
        <f t="shared" si="19"/>
        <v>0</v>
      </c>
    </row>
    <row r="170" spans="2:21" x14ac:dyDescent="0.25">
      <c r="B170" s="153" t="s">
        <v>121</v>
      </c>
      <c r="H170" s="148">
        <f t="shared" si="19"/>
        <v>0</v>
      </c>
    </row>
    <row r="171" spans="2:21" x14ac:dyDescent="0.25">
      <c r="B171" s="153" t="s">
        <v>122</v>
      </c>
      <c r="H171" s="1">
        <f t="shared" si="19"/>
        <v>0</v>
      </c>
    </row>
    <row r="173" spans="2:21" x14ac:dyDescent="0.25">
      <c r="B173" s="154" t="s">
        <v>2</v>
      </c>
      <c r="C173" s="155"/>
      <c r="D173" s="155"/>
      <c r="E173" s="155"/>
      <c r="F173" s="155"/>
      <c r="G173" s="155"/>
      <c r="H173" s="155"/>
      <c r="I173" s="155"/>
      <c r="J173" s="156">
        <f t="shared" ref="J173:U173" si="20">SUM(J142:J171)</f>
        <v>0</v>
      </c>
      <c r="K173" s="156">
        <f t="shared" si="20"/>
        <v>0</v>
      </c>
      <c r="L173" s="156">
        <f t="shared" si="20"/>
        <v>0</v>
      </c>
      <c r="M173" s="156">
        <f t="shared" si="20"/>
        <v>0</v>
      </c>
      <c r="N173" s="156">
        <f t="shared" si="20"/>
        <v>0</v>
      </c>
      <c r="O173" s="156">
        <f t="shared" si="20"/>
        <v>0</v>
      </c>
      <c r="P173" s="156">
        <f t="shared" si="20"/>
        <v>0</v>
      </c>
      <c r="Q173" s="156">
        <f t="shared" si="20"/>
        <v>0</v>
      </c>
      <c r="R173" s="156">
        <f t="shared" si="20"/>
        <v>0</v>
      </c>
      <c r="S173" s="156">
        <f t="shared" si="20"/>
        <v>0</v>
      </c>
      <c r="T173" s="156">
        <f t="shared" si="20"/>
        <v>0</v>
      </c>
      <c r="U173" s="156">
        <f t="shared" si="20"/>
        <v>0</v>
      </c>
    </row>
  </sheetData>
  <sheetProtection selectLockedCells="1"/>
  <protectedRanges>
    <protectedRange sqref="J4:U13" name="Production"/>
    <protectedRange sqref="C20:C41" name="Grade mix_1"/>
    <protectedRange sqref="F20:G41" name="JAS converions_1_1"/>
  </protectedRanges>
  <mergeCells count="6">
    <mergeCell ref="I7:I9"/>
    <mergeCell ref="I4:I6"/>
    <mergeCell ref="J113:U113"/>
    <mergeCell ref="F126:G126"/>
    <mergeCell ref="I13:I16"/>
    <mergeCell ref="I10:I12"/>
  </mergeCells>
  <dataValidations count="1">
    <dataValidation type="whole" errorStyle="warning" allowBlank="1" showInputMessage="1" showErrorMessage="1" errorTitle="High number of skids" error="Are you sure you are going to build this many skids?" sqref="J118:U122" xr:uid="{6B40031E-62B8-4DB3-AE17-530926594550}">
      <formula1>0</formula1>
      <formula2>10</formula2>
    </dataValidation>
  </dataValidations>
  <pageMargins left="0.70866141732283472" right="0.70866141732283472" top="0.74803149606299213" bottom="0.74803149606299213" header="0.31496062992125984" footer="0.31496062992125984"/>
  <pageSetup paperSize="8" scale="36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2F6FA-B093-4863-9FE5-79556CC3DE5D}">
  <sheetPr codeName="Sheet8">
    <tabColor rgb="FF92D050"/>
    <pageSetUpPr fitToPage="1"/>
  </sheetPr>
  <dimension ref="A1:X142"/>
  <sheetViews>
    <sheetView zoomScale="80" zoomScaleNormal="80" workbookViewId="0">
      <selection activeCell="I2" sqref="I2"/>
    </sheetView>
  </sheetViews>
  <sheetFormatPr defaultColWidth="9" defaultRowHeight="15" x14ac:dyDescent="0.25"/>
  <cols>
    <col min="1" max="1" width="2.28515625" style="1" customWidth="1"/>
    <col min="2" max="2" width="44" style="1" customWidth="1"/>
    <col min="3" max="3" width="13.85546875" style="1" customWidth="1"/>
    <col min="4" max="4" width="16.140625" style="1" customWidth="1"/>
    <col min="5" max="5" width="17" style="1" customWidth="1"/>
    <col min="6" max="6" width="12.7109375" style="1" customWidth="1"/>
    <col min="7" max="7" width="13.28515625" style="1" bestFit="1" customWidth="1"/>
    <col min="8" max="8" width="21.28515625" style="1" customWidth="1"/>
    <col min="9" max="9" width="10.140625" style="1" customWidth="1"/>
    <col min="10" max="21" width="15.7109375" style="1" bestFit="1" customWidth="1"/>
    <col min="22" max="22" width="5" style="1" customWidth="1"/>
    <col min="23" max="23" width="15.28515625" style="4" bestFit="1" customWidth="1"/>
    <col min="24" max="24" width="17.5703125" style="1" customWidth="1"/>
    <col min="25" max="16384" width="9" style="1"/>
  </cols>
  <sheetData>
    <row r="1" spans="2:24" ht="15.75" thickBot="1" x14ac:dyDescent="0.3">
      <c r="C1" s="2">
        <v>2025</v>
      </c>
      <c r="D1" s="3" t="s">
        <v>0</v>
      </c>
    </row>
    <row r="2" spans="2:24" ht="27" thickBot="1" x14ac:dyDescent="0.45">
      <c r="B2" s="5" t="s">
        <v>264</v>
      </c>
      <c r="G2" s="305"/>
      <c r="H2" s="43" t="s">
        <v>209</v>
      </c>
      <c r="I2" s="404"/>
      <c r="W2" s="6"/>
      <c r="X2" s="7"/>
    </row>
    <row r="3" spans="2:24" ht="15.75" x14ac:dyDescent="0.25">
      <c r="B3" s="8" t="s">
        <v>1</v>
      </c>
      <c r="C3" s="9"/>
      <c r="D3" s="9"/>
      <c r="E3" s="9"/>
      <c r="F3" s="9"/>
      <c r="G3" s="9" t="s">
        <v>241</v>
      </c>
      <c r="H3" s="10"/>
      <c r="I3" s="372">
        <f>IF(NOT(ISBLANK(J5)), J5, IF(NOT(ISBLANK(J8)), J8, IF(NOT(ISBLANK(J11)), J11, 0)))+IF(NOT(ISBLANK(K5)), K5, IF(NOT(ISBLANK(K8)), K8, IF(NOT(ISBLANK(K11)), K11, 0)))+IF(NOT(ISBLANK(L5)), L5, IF(NOT(ISBLANK(L8)), L8, IF(NOT(ISBLANK(L11)), L11, 0)))+IF(NOT(ISBLANK(M5)), M5, IF(NOT(ISBLANK(M8)), M8, IF(NOT(ISBLANK(M11)), M11, 0)))+IF(NOT(ISBLANK(N5)), N5, IF(NOT(ISBLANK(N8)), N8, IF(NOT(ISBLANK(N11)), N11, 0)))+IF(NOT(ISBLANK(O5)), O5, IF(NOT(ISBLANK(O8)), O8, IF(NOT(ISBLANK(O11)), O11, 0)))+IF(NOT(ISBLANK(P5)), P5, IF(NOT(ISBLANK(P8)), P8, IF(NOT(ISBLANK(P11)), P11, 0)))+IF(NOT(ISBLANK(Q5)), Q5, IF(NOT(ISBLANK(Q8)), Q8, IF(NOT(ISBLANK(Q11)), Q11, 0)))+IF(NOT(ISBLANK(R5)), R5, IF(NOT(ISBLANK(R8)), R8, IF(NOT(ISBLANK(R11)), R11, 0)))+IF(NOT(ISBLANK(S5)), S5, IF(NOT(ISBLANK(S8)), S8, IF(NOT(ISBLANK(S11)), S11, 0)))+IF(NOT(ISBLANK(T5)), T5, IF(NOT(ISBLANK(T8)), T8, IF(NOT(ISBLANK(T11)), T11, 0)))+IF(NOT(ISBLANK(U5)), U5, IF(NOT(ISBLANK(U8)), U8, IF(NOT(ISBLANK(U11)), U11, 0)))</f>
        <v>0</v>
      </c>
      <c r="J3" s="178">
        <v>45658</v>
      </c>
      <c r="K3" s="178">
        <v>45689</v>
      </c>
      <c r="L3" s="178">
        <v>45717</v>
      </c>
      <c r="M3" s="178">
        <v>45748</v>
      </c>
      <c r="N3" s="178">
        <v>45778</v>
      </c>
      <c r="O3" s="178">
        <v>45809</v>
      </c>
      <c r="P3" s="178">
        <v>45839</v>
      </c>
      <c r="Q3" s="178">
        <v>45870</v>
      </c>
      <c r="R3" s="178">
        <v>45901</v>
      </c>
      <c r="S3" s="178">
        <v>45931</v>
      </c>
      <c r="T3" s="178">
        <v>45962</v>
      </c>
      <c r="U3" s="178">
        <v>45992</v>
      </c>
      <c r="W3" s="6" t="s">
        <v>2</v>
      </c>
      <c r="X3" s="7"/>
    </row>
    <row r="4" spans="2:24" x14ac:dyDescent="0.25">
      <c r="B4" s="11"/>
      <c r="G4" s="12" t="s">
        <v>7</v>
      </c>
      <c r="H4" s="301" t="s">
        <v>4</v>
      </c>
      <c r="I4" s="452">
        <f>IFERROR((J4*J5+K4*K5+L4*L5+M4*M5+N4*N5+O4*O5+P4*P5+Q4*Q5+R4*R5+S4*S5+T4*T5+U4*U5)/$W$16,0)</f>
        <v>0</v>
      </c>
      <c r="J4" s="352"/>
      <c r="K4" s="352"/>
      <c r="L4" s="352"/>
      <c r="M4" s="352"/>
      <c r="N4" s="353"/>
      <c r="O4" s="353"/>
      <c r="P4" s="353"/>
      <c r="Q4" s="353"/>
      <c r="R4" s="353"/>
      <c r="S4" s="353"/>
      <c r="T4" s="353"/>
      <c r="U4" s="354"/>
      <c r="W4" s="6"/>
      <c r="X4" s="7"/>
    </row>
    <row r="5" spans="2:24" x14ac:dyDescent="0.25">
      <c r="B5" s="11"/>
      <c r="G5" s="16"/>
      <c r="H5" s="1" t="s">
        <v>5</v>
      </c>
      <c r="I5" s="453"/>
      <c r="J5" s="352"/>
      <c r="K5" s="352"/>
      <c r="L5" s="353"/>
      <c r="M5" s="353"/>
      <c r="N5" s="353"/>
      <c r="O5" s="353"/>
      <c r="P5" s="353"/>
      <c r="Q5" s="353"/>
      <c r="R5" s="353"/>
      <c r="S5" s="353"/>
      <c r="T5" s="353"/>
      <c r="U5" s="354"/>
      <c r="W5" s="6"/>
      <c r="X5" s="7"/>
    </row>
    <row r="6" spans="2:24" ht="15.75" thickBot="1" x14ac:dyDescent="0.3">
      <c r="B6" s="11"/>
      <c r="G6" s="17"/>
      <c r="H6" s="302" t="s">
        <v>6</v>
      </c>
      <c r="I6" s="454"/>
      <c r="J6" s="355"/>
      <c r="K6" s="355"/>
      <c r="L6" s="356"/>
      <c r="M6" s="356"/>
      <c r="N6" s="356"/>
      <c r="O6" s="356"/>
      <c r="P6" s="356"/>
      <c r="Q6" s="356"/>
      <c r="R6" s="356"/>
      <c r="S6" s="356"/>
      <c r="T6" s="356"/>
      <c r="U6" s="357"/>
      <c r="W6" s="6"/>
      <c r="X6" s="7"/>
    </row>
    <row r="7" spans="2:24" x14ac:dyDescent="0.25">
      <c r="B7" s="11"/>
      <c r="G7" s="12" t="s">
        <v>3</v>
      </c>
      <c r="H7" s="301" t="s">
        <v>4</v>
      </c>
      <c r="I7" s="452">
        <f>IFERROR((J7*J8+K7*K8+L7*L8+M7*M8+N7*N8+O7*O8+P7*P8+Q7*Q8+R7*R8+S7*S8+T7*T8+U7*U8)/$W$16,0)</f>
        <v>0</v>
      </c>
      <c r="J7" s="358"/>
      <c r="K7" s="358"/>
      <c r="L7" s="358"/>
      <c r="M7" s="358"/>
      <c r="N7" s="358"/>
      <c r="O7" s="358"/>
      <c r="P7" s="358"/>
      <c r="Q7" s="358"/>
      <c r="R7" s="358"/>
      <c r="S7" s="358"/>
      <c r="T7" s="358"/>
      <c r="U7" s="359"/>
      <c r="W7" s="6"/>
      <c r="X7" s="7"/>
    </row>
    <row r="8" spans="2:24" x14ac:dyDescent="0.25">
      <c r="B8" s="11"/>
      <c r="G8" s="16"/>
      <c r="H8" s="1" t="s">
        <v>5</v>
      </c>
      <c r="I8" s="453"/>
      <c r="J8" s="353"/>
      <c r="K8" s="353"/>
      <c r="L8" s="353"/>
      <c r="M8" s="353"/>
      <c r="N8" s="353"/>
      <c r="O8" s="353"/>
      <c r="P8" s="353"/>
      <c r="Q8" s="353"/>
      <c r="R8" s="353"/>
      <c r="S8" s="353"/>
      <c r="T8" s="353"/>
      <c r="U8" s="354"/>
      <c r="W8" s="6"/>
      <c r="X8" s="7"/>
    </row>
    <row r="9" spans="2:24" ht="15.75" thickBot="1" x14ac:dyDescent="0.3">
      <c r="B9" s="11"/>
      <c r="G9" s="17"/>
      <c r="H9" s="302" t="s">
        <v>6</v>
      </c>
      <c r="I9" s="454"/>
      <c r="J9" s="356"/>
      <c r="K9" s="356"/>
      <c r="L9" s="356"/>
      <c r="M9" s="356"/>
      <c r="N9" s="356"/>
      <c r="O9" s="356"/>
      <c r="P9" s="356"/>
      <c r="Q9" s="356"/>
      <c r="R9" s="356"/>
      <c r="S9" s="356"/>
      <c r="T9" s="356"/>
      <c r="U9" s="357"/>
      <c r="W9" s="6"/>
      <c r="X9" s="7"/>
    </row>
    <row r="10" spans="2:24" x14ac:dyDescent="0.25">
      <c r="B10" s="11"/>
      <c r="G10" s="12" t="s">
        <v>8</v>
      </c>
      <c r="H10" s="301" t="s">
        <v>4</v>
      </c>
      <c r="I10" s="452">
        <f>IFERROR((J10*J11+K10*K11+L10*L11+M10*M11+N10*N11+O10*O11+P10*P11+Q10*Q11+R10*R11+S10*S11+T10*T11+U10*U11)/$W$16,0)</f>
        <v>0</v>
      </c>
      <c r="J10" s="353"/>
      <c r="K10" s="353"/>
      <c r="L10" s="353"/>
      <c r="M10" s="353"/>
      <c r="N10" s="353"/>
      <c r="O10" s="353"/>
      <c r="P10" s="353"/>
      <c r="Q10" s="353"/>
      <c r="R10" s="353"/>
      <c r="S10" s="353"/>
      <c r="T10" s="353"/>
      <c r="U10" s="354"/>
      <c r="W10" s="6"/>
      <c r="X10" s="7"/>
    </row>
    <row r="11" spans="2:24" x14ac:dyDescent="0.25">
      <c r="B11" s="11"/>
      <c r="G11" s="16"/>
      <c r="H11" s="1" t="s">
        <v>5</v>
      </c>
      <c r="I11" s="453"/>
      <c r="J11" s="353"/>
      <c r="K11" s="353"/>
      <c r="L11" s="353"/>
      <c r="M11" s="353"/>
      <c r="N11" s="353"/>
      <c r="O11" s="353"/>
      <c r="P11" s="353"/>
      <c r="Q11" s="353"/>
      <c r="R11" s="353"/>
      <c r="S11" s="353"/>
      <c r="T11" s="353"/>
      <c r="U11" s="354"/>
      <c r="W11" s="6"/>
      <c r="X11" s="7"/>
    </row>
    <row r="12" spans="2:24" ht="15.75" thickBot="1" x14ac:dyDescent="0.3">
      <c r="B12" s="11"/>
      <c r="G12" s="17"/>
      <c r="H12" s="302" t="s">
        <v>6</v>
      </c>
      <c r="I12" s="454"/>
      <c r="J12" s="356"/>
      <c r="K12" s="356"/>
      <c r="L12" s="356"/>
      <c r="M12" s="356"/>
      <c r="N12" s="356"/>
      <c r="O12" s="356"/>
      <c r="P12" s="356"/>
      <c r="Q12" s="356"/>
      <c r="R12" s="356"/>
      <c r="S12" s="356"/>
      <c r="T12" s="356"/>
      <c r="U12" s="357"/>
      <c r="V12" s="7"/>
      <c r="W12" s="6"/>
      <c r="X12" s="7"/>
    </row>
    <row r="13" spans="2:24" x14ac:dyDescent="0.25">
      <c r="B13" s="11"/>
      <c r="G13" s="12" t="s">
        <v>9</v>
      </c>
      <c r="H13" s="1" t="s">
        <v>6</v>
      </c>
      <c r="I13" s="455">
        <f>SUM(I4:I12)</f>
        <v>0</v>
      </c>
      <c r="J13" s="308">
        <f t="shared" ref="J13:U13" si="0">IFERROR((J4*J5*J6+J7*J8*J9+J10*J11*J12)/J16,0)</f>
        <v>0</v>
      </c>
      <c r="K13" s="23">
        <f t="shared" si="0"/>
        <v>0</v>
      </c>
      <c r="L13" s="23">
        <f t="shared" si="0"/>
        <v>0</v>
      </c>
      <c r="M13" s="23">
        <f t="shared" si="0"/>
        <v>0</v>
      </c>
      <c r="N13" s="23">
        <f t="shared" si="0"/>
        <v>0</v>
      </c>
      <c r="O13" s="23">
        <f t="shared" si="0"/>
        <v>0</v>
      </c>
      <c r="P13" s="23">
        <f t="shared" si="0"/>
        <v>0</v>
      </c>
      <c r="Q13" s="23">
        <f t="shared" si="0"/>
        <v>0</v>
      </c>
      <c r="R13" s="23">
        <f t="shared" si="0"/>
        <v>0</v>
      </c>
      <c r="S13" s="23">
        <f t="shared" si="0"/>
        <v>0</v>
      </c>
      <c r="T13" s="23">
        <f t="shared" si="0"/>
        <v>0</v>
      </c>
      <c r="U13" s="200">
        <f t="shared" si="0"/>
        <v>0</v>
      </c>
      <c r="V13" s="7"/>
      <c r="W13" s="6">
        <f>I3</f>
        <v>0</v>
      </c>
      <c r="X13" s="306" t="s">
        <v>208</v>
      </c>
    </row>
    <row r="14" spans="2:24" x14ac:dyDescent="0.25">
      <c r="B14" s="24"/>
      <c r="C14" s="25"/>
      <c r="D14" s="26"/>
      <c r="G14" s="16" t="s">
        <v>9</v>
      </c>
      <c r="H14" t="s">
        <v>4</v>
      </c>
      <c r="I14" s="456"/>
      <c r="J14" s="309">
        <f t="shared" ref="J14:U14" si="1">J4+J7+J10</f>
        <v>0</v>
      </c>
      <c r="K14" s="27">
        <f t="shared" si="1"/>
        <v>0</v>
      </c>
      <c r="L14" s="27">
        <f t="shared" si="1"/>
        <v>0</v>
      </c>
      <c r="M14" s="27">
        <f t="shared" si="1"/>
        <v>0</v>
      </c>
      <c r="N14" s="27">
        <f t="shared" si="1"/>
        <v>0</v>
      </c>
      <c r="O14" s="27">
        <f t="shared" si="1"/>
        <v>0</v>
      </c>
      <c r="P14" s="27">
        <f t="shared" si="1"/>
        <v>0</v>
      </c>
      <c r="Q14" s="27">
        <f t="shared" si="1"/>
        <v>0</v>
      </c>
      <c r="R14" s="27">
        <f t="shared" si="1"/>
        <v>0</v>
      </c>
      <c r="S14" s="27">
        <f t="shared" si="1"/>
        <v>0</v>
      </c>
      <c r="T14" s="27">
        <f t="shared" si="1"/>
        <v>0</v>
      </c>
      <c r="U14" s="303">
        <f t="shared" si="1"/>
        <v>0</v>
      </c>
      <c r="W14" s="28">
        <f>IF(W16=0,0,W16/W15)</f>
        <v>0</v>
      </c>
      <c r="X14" s="306" t="str">
        <f>H2</f>
        <v>Estimated Tonnes (ha)</v>
      </c>
    </row>
    <row r="15" spans="2:24" x14ac:dyDescent="0.25">
      <c r="B15" s="24"/>
      <c r="C15" s="29"/>
      <c r="D15" s="30"/>
      <c r="G15" s="16" t="s">
        <v>2</v>
      </c>
      <c r="H15" s="1" t="s">
        <v>207</v>
      </c>
      <c r="I15" s="456"/>
      <c r="J15" s="23">
        <f t="shared" ref="J15:U15" si="2">IFERROR(J16/$I$2,0)</f>
        <v>0</v>
      </c>
      <c r="K15" s="23">
        <f t="shared" si="2"/>
        <v>0</v>
      </c>
      <c r="L15" s="23">
        <f t="shared" si="2"/>
        <v>0</v>
      </c>
      <c r="M15" s="23">
        <f t="shared" si="2"/>
        <v>0</v>
      </c>
      <c r="N15" s="23">
        <f t="shared" si="2"/>
        <v>0</v>
      </c>
      <c r="O15" s="23">
        <f t="shared" si="2"/>
        <v>0</v>
      </c>
      <c r="P15" s="23">
        <f t="shared" si="2"/>
        <v>0</v>
      </c>
      <c r="Q15" s="23">
        <f t="shared" si="2"/>
        <v>0</v>
      </c>
      <c r="R15" s="23">
        <f t="shared" si="2"/>
        <v>0</v>
      </c>
      <c r="S15" s="23">
        <f t="shared" si="2"/>
        <v>0</v>
      </c>
      <c r="T15" s="23">
        <f t="shared" si="2"/>
        <v>0</v>
      </c>
      <c r="U15" s="201">
        <f t="shared" si="2"/>
        <v>0</v>
      </c>
      <c r="V15" s="31"/>
      <c r="W15" s="28">
        <f>SUM(J15:U15)</f>
        <v>0</v>
      </c>
      <c r="X15" s="306" t="str">
        <f>H15</f>
        <v>Hectare (ha)</v>
      </c>
    </row>
    <row r="16" spans="2:24" ht="15.75" thickBot="1" x14ac:dyDescent="0.3">
      <c r="B16" s="32"/>
      <c r="C16" s="33"/>
      <c r="D16" s="33"/>
      <c r="E16" s="33"/>
      <c r="F16" s="33"/>
      <c r="G16" s="311" t="s">
        <v>2</v>
      </c>
      <c r="H16" s="33" t="s">
        <v>10</v>
      </c>
      <c r="I16" s="457"/>
      <c r="J16" s="310">
        <f t="shared" ref="J16:U16" si="3">IFERROR((J4*J5+J7*J8+J10*J11),0)</f>
        <v>0</v>
      </c>
      <c r="K16" s="34">
        <f t="shared" si="3"/>
        <v>0</v>
      </c>
      <c r="L16" s="34">
        <f t="shared" si="3"/>
        <v>0</v>
      </c>
      <c r="M16" s="34">
        <f t="shared" si="3"/>
        <v>0</v>
      </c>
      <c r="N16" s="34">
        <f t="shared" si="3"/>
        <v>0</v>
      </c>
      <c r="O16" s="34">
        <f t="shared" si="3"/>
        <v>0</v>
      </c>
      <c r="P16" s="34">
        <f t="shared" si="3"/>
        <v>0</v>
      </c>
      <c r="Q16" s="34">
        <f t="shared" si="3"/>
        <v>0</v>
      </c>
      <c r="R16" s="34">
        <f t="shared" si="3"/>
        <v>0</v>
      </c>
      <c r="S16" s="34">
        <f t="shared" si="3"/>
        <v>0</v>
      </c>
      <c r="T16" s="34">
        <f t="shared" si="3"/>
        <v>0</v>
      </c>
      <c r="U16" s="202">
        <f t="shared" si="3"/>
        <v>0</v>
      </c>
      <c r="W16" s="28">
        <f>SUM(J16:U16)</f>
        <v>0</v>
      </c>
      <c r="X16" s="35" t="str">
        <f>H16</f>
        <v>Tonnes Harvested</v>
      </c>
    </row>
    <row r="17" spans="1:24" ht="25.5" customHeight="1" thickBot="1" x14ac:dyDescent="0.3">
      <c r="C17" s="7"/>
      <c r="D17" s="7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7"/>
      <c r="W17" s="38" t="e">
        <f>W16/W15</f>
        <v>#DIV/0!</v>
      </c>
      <c r="X17" s="307" t="s">
        <v>11</v>
      </c>
    </row>
    <row r="18" spans="1:24" ht="16.5" thickBot="1" x14ac:dyDescent="0.3">
      <c r="B18" s="8" t="s">
        <v>12</v>
      </c>
      <c r="C18" s="9"/>
      <c r="D18" s="9"/>
      <c r="E18" s="9"/>
      <c r="F18" s="9"/>
      <c r="G18" s="9"/>
      <c r="H18" s="9"/>
      <c r="I18" s="9"/>
      <c r="J18" s="39"/>
      <c r="K18" s="9"/>
      <c r="L18" s="9"/>
      <c r="M18" s="9"/>
      <c r="N18" s="9"/>
      <c r="O18" s="9"/>
      <c r="P18" s="9"/>
      <c r="Q18" s="9"/>
      <c r="R18" s="9"/>
      <c r="S18" s="9"/>
      <c r="T18" s="9"/>
      <c r="U18" s="40"/>
    </row>
    <row r="19" spans="1:24" x14ac:dyDescent="0.25">
      <c r="B19" s="41" t="s">
        <v>13</v>
      </c>
      <c r="C19" s="42" t="s">
        <v>14</v>
      </c>
      <c r="D19" s="405" t="s">
        <v>210</v>
      </c>
      <c r="E19" s="42" t="s">
        <v>15</v>
      </c>
      <c r="F19" s="42" t="s">
        <v>211</v>
      </c>
      <c r="G19" s="42" t="s">
        <v>17</v>
      </c>
      <c r="H19" s="42" t="s">
        <v>18</v>
      </c>
      <c r="I19" s="43"/>
      <c r="J19" s="178">
        <v>45658</v>
      </c>
      <c r="K19" s="178">
        <v>45689</v>
      </c>
      <c r="L19" s="178">
        <v>45717</v>
      </c>
      <c r="M19" s="178">
        <v>45748</v>
      </c>
      <c r="N19" s="178">
        <v>45778</v>
      </c>
      <c r="O19" s="178">
        <v>45809</v>
      </c>
      <c r="P19" s="178">
        <v>45839</v>
      </c>
      <c r="Q19" s="178">
        <v>45870</v>
      </c>
      <c r="R19" s="178">
        <v>45901</v>
      </c>
      <c r="S19" s="178">
        <v>45931</v>
      </c>
      <c r="T19" s="178">
        <v>45962</v>
      </c>
      <c r="U19" s="317">
        <v>45992</v>
      </c>
    </row>
    <row r="20" spans="1:24" x14ac:dyDescent="0.25">
      <c r="A20" s="11"/>
      <c r="B20" s="239" t="s">
        <v>20</v>
      </c>
      <c r="C20" s="312">
        <v>0.25</v>
      </c>
      <c r="D20" s="406">
        <v>1</v>
      </c>
      <c r="E20" s="388" t="s">
        <v>21</v>
      </c>
      <c r="F20" s="389">
        <f t="shared" ref="F20:F27" si="4">IFERROR(H20/G20,0)</f>
        <v>0</v>
      </c>
      <c r="G20" s="315"/>
      <c r="H20" s="45">
        <f t="shared" ref="H20:H41" si="5">SUM(J20:U20)</f>
        <v>0</v>
      </c>
      <c r="I20" s="46"/>
      <c r="J20" s="47">
        <f>J16*$C20*$D20*$G20</f>
        <v>0</v>
      </c>
      <c r="K20" s="47">
        <f t="shared" ref="K20:U20" si="6">K16*$C$20*$D$20*$G$20</f>
        <v>0</v>
      </c>
      <c r="L20" s="47">
        <f t="shared" si="6"/>
        <v>0</v>
      </c>
      <c r="M20" s="47">
        <f t="shared" si="6"/>
        <v>0</v>
      </c>
      <c r="N20" s="47">
        <f t="shared" si="6"/>
        <v>0</v>
      </c>
      <c r="O20" s="47">
        <f t="shared" si="6"/>
        <v>0</v>
      </c>
      <c r="P20" s="47">
        <f t="shared" si="6"/>
        <v>0</v>
      </c>
      <c r="Q20" s="47">
        <f t="shared" si="6"/>
        <v>0</v>
      </c>
      <c r="R20" s="47">
        <f t="shared" si="6"/>
        <v>0</v>
      </c>
      <c r="S20" s="47">
        <f t="shared" si="6"/>
        <v>0</v>
      </c>
      <c r="T20" s="47">
        <f t="shared" si="6"/>
        <v>0</v>
      </c>
      <c r="U20" s="48">
        <f t="shared" si="6"/>
        <v>0</v>
      </c>
      <c r="W20" s="38" t="e">
        <f t="shared" ref="W20:W41" si="7">$W$17*C20</f>
        <v>#DIV/0!</v>
      </c>
      <c r="X20" s="1" t="str">
        <f t="shared" ref="X20:X41" si="8">B20</f>
        <v>P35</v>
      </c>
    </row>
    <row r="21" spans="1:24" x14ac:dyDescent="0.25">
      <c r="A21" s="11"/>
      <c r="B21" s="239" t="s">
        <v>22</v>
      </c>
      <c r="C21" s="312">
        <v>0.06</v>
      </c>
      <c r="D21" s="406">
        <v>1</v>
      </c>
      <c r="E21" s="388" t="s">
        <v>21</v>
      </c>
      <c r="F21" s="389">
        <f t="shared" si="4"/>
        <v>0</v>
      </c>
      <c r="G21" s="315"/>
      <c r="H21" s="45">
        <f t="shared" si="5"/>
        <v>0</v>
      </c>
      <c r="I21" s="46"/>
      <c r="J21" s="47">
        <f t="shared" ref="J21:U21" si="9">J16*$C$21*$D$21*$G$21</f>
        <v>0</v>
      </c>
      <c r="K21" s="47">
        <f t="shared" si="9"/>
        <v>0</v>
      </c>
      <c r="L21" s="47">
        <f t="shared" si="9"/>
        <v>0</v>
      </c>
      <c r="M21" s="47">
        <f t="shared" si="9"/>
        <v>0</v>
      </c>
      <c r="N21" s="47">
        <f t="shared" si="9"/>
        <v>0</v>
      </c>
      <c r="O21" s="47">
        <f t="shared" si="9"/>
        <v>0</v>
      </c>
      <c r="P21" s="47">
        <f t="shared" si="9"/>
        <v>0</v>
      </c>
      <c r="Q21" s="47">
        <f t="shared" si="9"/>
        <v>0</v>
      </c>
      <c r="R21" s="47">
        <f t="shared" si="9"/>
        <v>0</v>
      </c>
      <c r="S21" s="47">
        <f t="shared" si="9"/>
        <v>0</v>
      </c>
      <c r="T21" s="47">
        <f t="shared" si="9"/>
        <v>0</v>
      </c>
      <c r="U21" s="48">
        <f t="shared" si="9"/>
        <v>0</v>
      </c>
      <c r="W21" s="38" t="e">
        <f t="shared" si="7"/>
        <v>#DIV/0!</v>
      </c>
      <c r="X21" s="1" t="str">
        <f t="shared" si="8"/>
        <v>S30</v>
      </c>
    </row>
    <row r="22" spans="1:24" x14ac:dyDescent="0.25">
      <c r="A22" s="11"/>
      <c r="B22" s="239" t="s">
        <v>25</v>
      </c>
      <c r="C22" s="312">
        <v>0</v>
      </c>
      <c r="D22" s="406">
        <v>1</v>
      </c>
      <c r="E22" s="388" t="s">
        <v>21</v>
      </c>
      <c r="F22" s="389">
        <f t="shared" si="4"/>
        <v>0</v>
      </c>
      <c r="G22" s="315"/>
      <c r="H22" s="45">
        <f t="shared" si="5"/>
        <v>0</v>
      </c>
      <c r="I22" s="46"/>
      <c r="J22" s="47">
        <f t="shared" ref="J22:U22" si="10">J16*$C$22*$D$22*$G$22</f>
        <v>0</v>
      </c>
      <c r="K22" s="47">
        <f t="shared" si="10"/>
        <v>0</v>
      </c>
      <c r="L22" s="47">
        <f t="shared" si="10"/>
        <v>0</v>
      </c>
      <c r="M22" s="47">
        <f t="shared" si="10"/>
        <v>0</v>
      </c>
      <c r="N22" s="47">
        <f t="shared" si="10"/>
        <v>0</v>
      </c>
      <c r="O22" s="47">
        <f t="shared" si="10"/>
        <v>0</v>
      </c>
      <c r="P22" s="47">
        <f t="shared" si="10"/>
        <v>0</v>
      </c>
      <c r="Q22" s="47">
        <f t="shared" si="10"/>
        <v>0</v>
      </c>
      <c r="R22" s="47">
        <f t="shared" si="10"/>
        <v>0</v>
      </c>
      <c r="S22" s="47">
        <f t="shared" si="10"/>
        <v>0</v>
      </c>
      <c r="T22" s="47">
        <f t="shared" si="10"/>
        <v>0</v>
      </c>
      <c r="U22" s="48">
        <f t="shared" si="10"/>
        <v>0</v>
      </c>
      <c r="W22" s="38" t="e">
        <f t="shared" si="7"/>
        <v>#DIV/0!</v>
      </c>
      <c r="X22" s="1" t="str">
        <f t="shared" si="8"/>
        <v>S20</v>
      </c>
    </row>
    <row r="23" spans="1:24" x14ac:dyDescent="0.25">
      <c r="A23" s="11"/>
      <c r="B23" s="242" t="s">
        <v>30</v>
      </c>
      <c r="C23" s="312">
        <v>0.02</v>
      </c>
      <c r="D23" s="406">
        <v>1</v>
      </c>
      <c r="E23" s="388" t="s">
        <v>21</v>
      </c>
      <c r="F23" s="389">
        <f t="shared" si="4"/>
        <v>0</v>
      </c>
      <c r="G23" s="315"/>
      <c r="H23" s="45">
        <f t="shared" si="5"/>
        <v>0</v>
      </c>
      <c r="I23" s="46"/>
      <c r="J23" s="47">
        <f t="shared" ref="J23:U23" si="11">J16*$C$23*$D$23*$G$23</f>
        <v>0</v>
      </c>
      <c r="K23" s="47">
        <f t="shared" si="11"/>
        <v>0</v>
      </c>
      <c r="L23" s="47">
        <f t="shared" si="11"/>
        <v>0</v>
      </c>
      <c r="M23" s="47">
        <f t="shared" si="11"/>
        <v>0</v>
      </c>
      <c r="N23" s="47">
        <f t="shared" si="11"/>
        <v>0</v>
      </c>
      <c r="O23" s="47">
        <f t="shared" si="11"/>
        <v>0</v>
      </c>
      <c r="P23" s="47">
        <f t="shared" si="11"/>
        <v>0</v>
      </c>
      <c r="Q23" s="47">
        <f t="shared" si="11"/>
        <v>0</v>
      </c>
      <c r="R23" s="47">
        <f t="shared" si="11"/>
        <v>0</v>
      </c>
      <c r="S23" s="47">
        <f t="shared" si="11"/>
        <v>0</v>
      </c>
      <c r="T23" s="47">
        <f t="shared" si="11"/>
        <v>0</v>
      </c>
      <c r="U23" s="48">
        <f t="shared" si="11"/>
        <v>0</v>
      </c>
      <c r="W23" s="38" t="e">
        <f t="shared" si="7"/>
        <v>#DIV/0!</v>
      </c>
      <c r="X23" s="1" t="str">
        <f t="shared" si="8"/>
        <v>Domestic Pulp</v>
      </c>
    </row>
    <row r="24" spans="1:24" x14ac:dyDescent="0.25">
      <c r="A24" s="11"/>
      <c r="B24" s="242" t="s">
        <v>222</v>
      </c>
      <c r="C24" s="312">
        <v>0</v>
      </c>
      <c r="D24" s="406">
        <v>1</v>
      </c>
      <c r="E24" s="388" t="s">
        <v>21</v>
      </c>
      <c r="F24" s="389">
        <f t="shared" si="4"/>
        <v>0</v>
      </c>
      <c r="G24" s="315"/>
      <c r="H24" s="45">
        <f t="shared" si="5"/>
        <v>0</v>
      </c>
      <c r="I24" s="46"/>
      <c r="J24" s="47">
        <f t="shared" ref="J24:U24" si="12">J16*$C$24*$D$24*$G$24</f>
        <v>0</v>
      </c>
      <c r="K24" s="47">
        <f t="shared" si="12"/>
        <v>0</v>
      </c>
      <c r="L24" s="47">
        <f t="shared" si="12"/>
        <v>0</v>
      </c>
      <c r="M24" s="47">
        <f t="shared" si="12"/>
        <v>0</v>
      </c>
      <c r="N24" s="47">
        <f t="shared" si="12"/>
        <v>0</v>
      </c>
      <c r="O24" s="47">
        <f t="shared" si="12"/>
        <v>0</v>
      </c>
      <c r="P24" s="47">
        <f t="shared" si="12"/>
        <v>0</v>
      </c>
      <c r="Q24" s="47">
        <f t="shared" si="12"/>
        <v>0</v>
      </c>
      <c r="R24" s="47">
        <f t="shared" si="12"/>
        <v>0</v>
      </c>
      <c r="S24" s="47">
        <f t="shared" si="12"/>
        <v>0</v>
      </c>
      <c r="T24" s="47">
        <f t="shared" si="12"/>
        <v>0</v>
      </c>
      <c r="U24" s="48">
        <f t="shared" si="12"/>
        <v>0</v>
      </c>
      <c r="W24" s="38" t="e">
        <f t="shared" si="7"/>
        <v>#DIV/0!</v>
      </c>
      <c r="X24" s="1" t="str">
        <f t="shared" si="8"/>
        <v>Eucalyptus</v>
      </c>
    </row>
    <row r="25" spans="1:24" x14ac:dyDescent="0.25">
      <c r="A25" s="11"/>
      <c r="B25" s="242" t="s">
        <v>34</v>
      </c>
      <c r="C25" s="312">
        <v>0</v>
      </c>
      <c r="D25" s="406">
        <v>1</v>
      </c>
      <c r="E25" s="388" t="s">
        <v>21</v>
      </c>
      <c r="F25" s="389">
        <f t="shared" si="4"/>
        <v>0</v>
      </c>
      <c r="G25" s="315"/>
      <c r="H25" s="45">
        <f t="shared" si="5"/>
        <v>0</v>
      </c>
      <c r="I25" s="46"/>
      <c r="J25" s="47">
        <f t="shared" ref="J25:U25" si="13">J16*$C$25*$D$25*$G$25</f>
        <v>0</v>
      </c>
      <c r="K25" s="47">
        <f t="shared" si="13"/>
        <v>0</v>
      </c>
      <c r="L25" s="47">
        <f t="shared" si="13"/>
        <v>0</v>
      </c>
      <c r="M25" s="47">
        <f t="shared" si="13"/>
        <v>0</v>
      </c>
      <c r="N25" s="47">
        <f t="shared" si="13"/>
        <v>0</v>
      </c>
      <c r="O25" s="47">
        <f t="shared" si="13"/>
        <v>0</v>
      </c>
      <c r="P25" s="47">
        <f t="shared" si="13"/>
        <v>0</v>
      </c>
      <c r="Q25" s="47">
        <f t="shared" si="13"/>
        <v>0</v>
      </c>
      <c r="R25" s="47">
        <f t="shared" si="13"/>
        <v>0</v>
      </c>
      <c r="S25" s="47">
        <f t="shared" si="13"/>
        <v>0</v>
      </c>
      <c r="T25" s="47">
        <f t="shared" si="13"/>
        <v>0</v>
      </c>
      <c r="U25" s="48">
        <f t="shared" si="13"/>
        <v>0</v>
      </c>
      <c r="W25" s="38" t="e">
        <f t="shared" si="7"/>
        <v>#DIV/0!</v>
      </c>
      <c r="X25" s="1" t="str">
        <f t="shared" si="8"/>
        <v>FW</v>
      </c>
    </row>
    <row r="26" spans="1:24" x14ac:dyDescent="0.25">
      <c r="A26" s="11"/>
      <c r="B26" s="242" t="s">
        <v>37</v>
      </c>
      <c r="C26" s="312">
        <v>0</v>
      </c>
      <c r="D26" s="406">
        <v>1</v>
      </c>
      <c r="E26" s="388" t="s">
        <v>21</v>
      </c>
      <c r="F26" s="389">
        <f t="shared" si="4"/>
        <v>0</v>
      </c>
      <c r="G26" s="315"/>
      <c r="H26" s="45">
        <f t="shared" si="5"/>
        <v>0</v>
      </c>
      <c r="I26" s="46"/>
      <c r="J26" s="47">
        <f t="shared" ref="J26:U26" si="14">J16*$C$26*$D$26*$G$26</f>
        <v>0</v>
      </c>
      <c r="K26" s="47">
        <f t="shared" si="14"/>
        <v>0</v>
      </c>
      <c r="L26" s="47">
        <f t="shared" si="14"/>
        <v>0</v>
      </c>
      <c r="M26" s="47">
        <f t="shared" si="14"/>
        <v>0</v>
      </c>
      <c r="N26" s="47">
        <f t="shared" si="14"/>
        <v>0</v>
      </c>
      <c r="O26" s="47">
        <f t="shared" si="14"/>
        <v>0</v>
      </c>
      <c r="P26" s="47">
        <f t="shared" si="14"/>
        <v>0</v>
      </c>
      <c r="Q26" s="47">
        <f t="shared" si="14"/>
        <v>0</v>
      </c>
      <c r="R26" s="47">
        <f t="shared" si="14"/>
        <v>0</v>
      </c>
      <c r="S26" s="47">
        <f t="shared" si="14"/>
        <v>0</v>
      </c>
      <c r="T26" s="47">
        <f t="shared" si="14"/>
        <v>0</v>
      </c>
      <c r="U26" s="48">
        <f t="shared" si="14"/>
        <v>0</v>
      </c>
      <c r="W26" s="38" t="e">
        <f t="shared" si="7"/>
        <v>#DIV/0!</v>
      </c>
      <c r="X26" t="str">
        <f t="shared" si="8"/>
        <v>Euc Pulp</v>
      </c>
    </row>
    <row r="27" spans="1:24" x14ac:dyDescent="0.25">
      <c r="A27" s="11"/>
      <c r="B27" s="242" t="s">
        <v>174</v>
      </c>
      <c r="C27" s="312">
        <v>0</v>
      </c>
      <c r="D27" s="406">
        <v>1</v>
      </c>
      <c r="E27" s="388" t="s">
        <v>21</v>
      </c>
      <c r="F27" s="389">
        <f t="shared" si="4"/>
        <v>0</v>
      </c>
      <c r="G27" s="315"/>
      <c r="H27" s="45">
        <f t="shared" si="5"/>
        <v>0</v>
      </c>
      <c r="I27" s="46"/>
      <c r="J27" s="47">
        <f t="shared" ref="J27:U27" si="15">J16*$C$27*$D$27*$G$27</f>
        <v>0</v>
      </c>
      <c r="K27" s="47">
        <f t="shared" si="15"/>
        <v>0</v>
      </c>
      <c r="L27" s="47">
        <f t="shared" si="15"/>
        <v>0</v>
      </c>
      <c r="M27" s="47">
        <f t="shared" si="15"/>
        <v>0</v>
      </c>
      <c r="N27" s="47">
        <f t="shared" si="15"/>
        <v>0</v>
      </c>
      <c r="O27" s="47">
        <f t="shared" si="15"/>
        <v>0</v>
      </c>
      <c r="P27" s="47">
        <f t="shared" si="15"/>
        <v>0</v>
      </c>
      <c r="Q27" s="47">
        <f t="shared" si="15"/>
        <v>0</v>
      </c>
      <c r="R27" s="47">
        <f t="shared" si="15"/>
        <v>0</v>
      </c>
      <c r="S27" s="47">
        <f t="shared" si="15"/>
        <v>0</v>
      </c>
      <c r="T27" s="47">
        <f t="shared" si="15"/>
        <v>0</v>
      </c>
      <c r="U27" s="48">
        <f t="shared" si="15"/>
        <v>0</v>
      </c>
      <c r="W27" s="38" t="e">
        <f t="shared" si="7"/>
        <v>#DIV/0!</v>
      </c>
      <c r="X27" s="1" t="str">
        <f t="shared" si="8"/>
        <v>Binwood</v>
      </c>
    </row>
    <row r="28" spans="1:24" x14ac:dyDescent="0.25">
      <c r="A28" s="11"/>
      <c r="B28" s="376" t="s">
        <v>202</v>
      </c>
      <c r="C28" s="378">
        <v>0</v>
      </c>
      <c r="D28" s="407"/>
      <c r="E28" s="390" t="s">
        <v>21</v>
      </c>
      <c r="F28" s="391">
        <f t="shared" ref="F28:F40" si="16">IFERROR(H28/G28/D28,0)</f>
        <v>0</v>
      </c>
      <c r="G28" s="379"/>
      <c r="H28" s="45">
        <f t="shared" si="5"/>
        <v>0</v>
      </c>
      <c r="I28" s="46"/>
      <c r="J28" s="47">
        <f t="shared" ref="J28:U28" si="17">J16*$C$28*$D$28*$G$28</f>
        <v>0</v>
      </c>
      <c r="K28" s="47">
        <f t="shared" si="17"/>
        <v>0</v>
      </c>
      <c r="L28" s="47">
        <f t="shared" si="17"/>
        <v>0</v>
      </c>
      <c r="M28" s="47">
        <f t="shared" si="17"/>
        <v>0</v>
      </c>
      <c r="N28" s="47">
        <f t="shared" si="17"/>
        <v>0</v>
      </c>
      <c r="O28" s="47">
        <f t="shared" si="17"/>
        <v>0</v>
      </c>
      <c r="P28" s="47">
        <f t="shared" si="17"/>
        <v>0</v>
      </c>
      <c r="Q28" s="47">
        <f t="shared" si="17"/>
        <v>0</v>
      </c>
      <c r="R28" s="47">
        <f t="shared" si="17"/>
        <v>0</v>
      </c>
      <c r="S28" s="47">
        <f t="shared" si="17"/>
        <v>0</v>
      </c>
      <c r="T28" s="47">
        <f t="shared" si="17"/>
        <v>0</v>
      </c>
      <c r="U28" s="48">
        <f t="shared" si="17"/>
        <v>0</v>
      </c>
      <c r="W28" s="38" t="e">
        <f t="shared" si="7"/>
        <v>#DIV/0!</v>
      </c>
      <c r="X28" s="1" t="str">
        <f t="shared" si="8"/>
        <v>Spare Grade</v>
      </c>
    </row>
    <row r="29" spans="1:24" x14ac:dyDescent="0.25">
      <c r="A29" s="11"/>
      <c r="B29" s="243" t="s">
        <v>175</v>
      </c>
      <c r="C29" s="313">
        <v>0</v>
      </c>
      <c r="D29" s="408">
        <v>0.96946340538490705</v>
      </c>
      <c r="E29" s="388" t="s">
        <v>19</v>
      </c>
      <c r="F29" s="389">
        <f t="shared" si="16"/>
        <v>0</v>
      </c>
      <c r="G29" s="316"/>
      <c r="H29" s="45">
        <f t="shared" si="5"/>
        <v>0</v>
      </c>
      <c r="I29" s="46"/>
      <c r="J29" s="47">
        <f t="shared" ref="J29:U29" si="18">J16*$C$29*$D$29*$G$29</f>
        <v>0</v>
      </c>
      <c r="K29" s="47">
        <f t="shared" si="18"/>
        <v>0</v>
      </c>
      <c r="L29" s="47">
        <f t="shared" si="18"/>
        <v>0</v>
      </c>
      <c r="M29" s="47">
        <f t="shared" si="18"/>
        <v>0</v>
      </c>
      <c r="N29" s="47">
        <f t="shared" si="18"/>
        <v>0</v>
      </c>
      <c r="O29" s="47">
        <f t="shared" si="18"/>
        <v>0</v>
      </c>
      <c r="P29" s="47">
        <f t="shared" si="18"/>
        <v>0</v>
      </c>
      <c r="Q29" s="47">
        <f t="shared" si="18"/>
        <v>0</v>
      </c>
      <c r="R29" s="47">
        <f t="shared" si="18"/>
        <v>0</v>
      </c>
      <c r="S29" s="47">
        <f t="shared" si="18"/>
        <v>0</v>
      </c>
      <c r="T29" s="47">
        <f t="shared" si="18"/>
        <v>0</v>
      </c>
      <c r="U29" s="48">
        <f t="shared" si="18"/>
        <v>0</v>
      </c>
      <c r="W29" s="38" t="e">
        <f t="shared" si="7"/>
        <v>#DIV/0!</v>
      </c>
      <c r="X29" s="1" t="str">
        <f t="shared" si="8"/>
        <v>P40</v>
      </c>
    </row>
    <row r="30" spans="1:24" x14ac:dyDescent="0.25">
      <c r="A30" s="11"/>
      <c r="B30" s="243" t="s">
        <v>176</v>
      </c>
      <c r="C30" s="313">
        <v>0.01</v>
      </c>
      <c r="D30" s="408">
        <v>1</v>
      </c>
      <c r="E30" s="388" t="s">
        <v>19</v>
      </c>
      <c r="F30" s="389">
        <f t="shared" si="16"/>
        <v>0</v>
      </c>
      <c r="G30" s="316"/>
      <c r="H30" s="45">
        <f t="shared" si="5"/>
        <v>0</v>
      </c>
      <c r="I30" s="46"/>
      <c r="J30" s="47">
        <f t="shared" ref="J30:U30" si="19">J16*$C$30*$D$30*$G$30</f>
        <v>0</v>
      </c>
      <c r="K30" s="47">
        <f t="shared" si="19"/>
        <v>0</v>
      </c>
      <c r="L30" s="47">
        <f t="shared" si="19"/>
        <v>0</v>
      </c>
      <c r="M30" s="47">
        <f t="shared" si="19"/>
        <v>0</v>
      </c>
      <c r="N30" s="47">
        <f t="shared" si="19"/>
        <v>0</v>
      </c>
      <c r="O30" s="47">
        <f t="shared" si="19"/>
        <v>0</v>
      </c>
      <c r="P30" s="47">
        <f t="shared" si="19"/>
        <v>0</v>
      </c>
      <c r="Q30" s="47">
        <f t="shared" si="19"/>
        <v>0</v>
      </c>
      <c r="R30" s="47">
        <f t="shared" si="19"/>
        <v>0</v>
      </c>
      <c r="S30" s="47">
        <f t="shared" si="19"/>
        <v>0</v>
      </c>
      <c r="T30" s="47">
        <f t="shared" si="19"/>
        <v>0</v>
      </c>
      <c r="U30" s="48">
        <f t="shared" si="19"/>
        <v>0</v>
      </c>
      <c r="W30" s="38" t="e">
        <f t="shared" si="7"/>
        <v>#DIV/0!</v>
      </c>
      <c r="X30" s="1" t="str">
        <f t="shared" si="8"/>
        <v>P30</v>
      </c>
    </row>
    <row r="31" spans="1:24" x14ac:dyDescent="0.25">
      <c r="A31" s="11"/>
      <c r="B31" s="246" t="s">
        <v>23</v>
      </c>
      <c r="C31" s="313">
        <v>0.12</v>
      </c>
      <c r="D31" s="408">
        <v>1</v>
      </c>
      <c r="E31" s="392" t="s">
        <v>19</v>
      </c>
      <c r="F31" s="389">
        <f t="shared" si="16"/>
        <v>0</v>
      </c>
      <c r="G31" s="316"/>
      <c r="H31" s="45">
        <f t="shared" si="5"/>
        <v>0</v>
      </c>
      <c r="I31" s="46"/>
      <c r="J31" s="47">
        <f t="shared" ref="J31:U31" si="20">J16*$C$31*$D$31*$G$31</f>
        <v>0</v>
      </c>
      <c r="K31" s="47">
        <f t="shared" si="20"/>
        <v>0</v>
      </c>
      <c r="L31" s="47">
        <f t="shared" si="20"/>
        <v>0</v>
      </c>
      <c r="M31" s="47">
        <f t="shared" si="20"/>
        <v>0</v>
      </c>
      <c r="N31" s="47">
        <f t="shared" si="20"/>
        <v>0</v>
      </c>
      <c r="O31" s="47">
        <f t="shared" si="20"/>
        <v>0</v>
      </c>
      <c r="P31" s="47">
        <f t="shared" si="20"/>
        <v>0</v>
      </c>
      <c r="Q31" s="47">
        <f t="shared" si="20"/>
        <v>0</v>
      </c>
      <c r="R31" s="47">
        <f t="shared" si="20"/>
        <v>0</v>
      </c>
      <c r="S31" s="47">
        <f t="shared" si="20"/>
        <v>0</v>
      </c>
      <c r="T31" s="47">
        <f t="shared" si="20"/>
        <v>0</v>
      </c>
      <c r="U31" s="48">
        <f t="shared" si="20"/>
        <v>0</v>
      </c>
      <c r="W31" s="38" t="e">
        <f t="shared" si="7"/>
        <v>#DIV/0!</v>
      </c>
      <c r="X31" s="1" t="str">
        <f t="shared" si="8"/>
        <v>AO</v>
      </c>
    </row>
    <row r="32" spans="1:24" x14ac:dyDescent="0.25">
      <c r="A32" s="11"/>
      <c r="B32" s="246" t="s">
        <v>24</v>
      </c>
      <c r="C32" s="313">
        <v>0.26</v>
      </c>
      <c r="D32" s="408">
        <v>0.97</v>
      </c>
      <c r="E32" s="392" t="s">
        <v>19</v>
      </c>
      <c r="F32" s="389">
        <f t="shared" si="16"/>
        <v>0</v>
      </c>
      <c r="G32" s="316"/>
      <c r="H32" s="45">
        <f t="shared" si="5"/>
        <v>0</v>
      </c>
      <c r="I32" s="46"/>
      <c r="J32" s="47">
        <f t="shared" ref="J32:U32" si="21">J16*$C$32*$D$32*$G$32</f>
        <v>0</v>
      </c>
      <c r="K32" s="47">
        <f t="shared" si="21"/>
        <v>0</v>
      </c>
      <c r="L32" s="47">
        <f t="shared" si="21"/>
        <v>0</v>
      </c>
      <c r="M32" s="47">
        <f t="shared" si="21"/>
        <v>0</v>
      </c>
      <c r="N32" s="47">
        <f t="shared" si="21"/>
        <v>0</v>
      </c>
      <c r="O32" s="47">
        <f t="shared" si="21"/>
        <v>0</v>
      </c>
      <c r="P32" s="47">
        <f t="shared" si="21"/>
        <v>0</v>
      </c>
      <c r="Q32" s="47">
        <f t="shared" si="21"/>
        <v>0</v>
      </c>
      <c r="R32" s="47">
        <f t="shared" si="21"/>
        <v>0</v>
      </c>
      <c r="S32" s="47">
        <f t="shared" si="21"/>
        <v>0</v>
      </c>
      <c r="T32" s="47">
        <f t="shared" si="21"/>
        <v>0</v>
      </c>
      <c r="U32" s="48">
        <f t="shared" si="21"/>
        <v>0</v>
      </c>
      <c r="W32" s="38" t="e">
        <f t="shared" si="7"/>
        <v>#DIV/0!</v>
      </c>
      <c r="X32" s="1" t="str">
        <f t="shared" si="8"/>
        <v>A</v>
      </c>
    </row>
    <row r="33" spans="1:24" x14ac:dyDescent="0.25">
      <c r="A33" s="11"/>
      <c r="B33" s="246" t="s">
        <v>26</v>
      </c>
      <c r="C33" s="313">
        <v>0.2</v>
      </c>
      <c r="D33" s="408">
        <v>0.93</v>
      </c>
      <c r="E33" s="392" t="s">
        <v>19</v>
      </c>
      <c r="F33" s="389">
        <f t="shared" si="16"/>
        <v>0</v>
      </c>
      <c r="G33" s="316"/>
      <c r="H33" s="45">
        <f t="shared" si="5"/>
        <v>0</v>
      </c>
      <c r="I33" s="46"/>
      <c r="J33" s="47">
        <f t="shared" ref="J33:U33" si="22">J16*$C$33*$D$33*$G$33</f>
        <v>0</v>
      </c>
      <c r="K33" s="47">
        <f t="shared" si="22"/>
        <v>0</v>
      </c>
      <c r="L33" s="47">
        <f t="shared" si="22"/>
        <v>0</v>
      </c>
      <c r="M33" s="47">
        <f t="shared" si="22"/>
        <v>0</v>
      </c>
      <c r="N33" s="47">
        <f t="shared" si="22"/>
        <v>0</v>
      </c>
      <c r="O33" s="47">
        <f t="shared" si="22"/>
        <v>0</v>
      </c>
      <c r="P33" s="47">
        <f t="shared" si="22"/>
        <v>0</v>
      </c>
      <c r="Q33" s="47">
        <f t="shared" si="22"/>
        <v>0</v>
      </c>
      <c r="R33" s="47">
        <f t="shared" si="22"/>
        <v>0</v>
      </c>
      <c r="S33" s="47">
        <f t="shared" si="22"/>
        <v>0</v>
      </c>
      <c r="T33" s="47">
        <f t="shared" si="22"/>
        <v>0</v>
      </c>
      <c r="U33" s="48">
        <f t="shared" si="22"/>
        <v>0</v>
      </c>
      <c r="W33" s="38" t="e">
        <f t="shared" si="7"/>
        <v>#DIV/0!</v>
      </c>
      <c r="X33" s="1" t="str">
        <f t="shared" si="8"/>
        <v>K</v>
      </c>
    </row>
    <row r="34" spans="1:24" x14ac:dyDescent="0.25">
      <c r="A34" s="11"/>
      <c r="B34" s="243" t="s">
        <v>27</v>
      </c>
      <c r="C34" s="313">
        <v>0.02</v>
      </c>
      <c r="D34" s="408">
        <v>0.94</v>
      </c>
      <c r="E34" s="388" t="s">
        <v>19</v>
      </c>
      <c r="F34" s="389">
        <f t="shared" si="16"/>
        <v>0</v>
      </c>
      <c r="G34" s="316"/>
      <c r="H34" s="45">
        <f t="shared" si="5"/>
        <v>0</v>
      </c>
      <c r="I34" s="46"/>
      <c r="J34" s="47">
        <f t="shared" ref="J34:U34" si="23">J16*$C$34*$D$34*$G$34</f>
        <v>0</v>
      </c>
      <c r="K34" s="47">
        <f t="shared" si="23"/>
        <v>0</v>
      </c>
      <c r="L34" s="47">
        <f t="shared" si="23"/>
        <v>0</v>
      </c>
      <c r="M34" s="47">
        <f t="shared" si="23"/>
        <v>0</v>
      </c>
      <c r="N34" s="47">
        <f t="shared" si="23"/>
        <v>0</v>
      </c>
      <c r="O34" s="47">
        <f t="shared" si="23"/>
        <v>0</v>
      </c>
      <c r="P34" s="47">
        <f t="shared" si="23"/>
        <v>0</v>
      </c>
      <c r="Q34" s="47">
        <f t="shared" si="23"/>
        <v>0</v>
      </c>
      <c r="R34" s="47">
        <f t="shared" si="23"/>
        <v>0</v>
      </c>
      <c r="S34" s="47">
        <f t="shared" si="23"/>
        <v>0</v>
      </c>
      <c r="T34" s="47">
        <f t="shared" si="23"/>
        <v>0</v>
      </c>
      <c r="U34" s="48">
        <f t="shared" si="23"/>
        <v>0</v>
      </c>
      <c r="W34" s="38" t="e">
        <f t="shared" si="7"/>
        <v>#DIV/0!</v>
      </c>
      <c r="X34" s="1" t="str">
        <f t="shared" si="8"/>
        <v>KI</v>
      </c>
    </row>
    <row r="35" spans="1:24" x14ac:dyDescent="0.25">
      <c r="A35" s="11"/>
      <c r="B35" s="243" t="s">
        <v>29</v>
      </c>
      <c r="C35" s="313">
        <v>0.06</v>
      </c>
      <c r="D35" s="408">
        <v>0.85</v>
      </c>
      <c r="E35" s="392" t="s">
        <v>19</v>
      </c>
      <c r="F35" s="389">
        <f t="shared" si="16"/>
        <v>0</v>
      </c>
      <c r="G35" s="316"/>
      <c r="H35" s="45">
        <f t="shared" si="5"/>
        <v>0</v>
      </c>
      <c r="I35" s="46"/>
      <c r="J35" s="47">
        <f t="shared" ref="J35:U35" si="24">J16*$C$35*$D$35*$G$35</f>
        <v>0</v>
      </c>
      <c r="K35" s="47">
        <f t="shared" si="24"/>
        <v>0</v>
      </c>
      <c r="L35" s="47">
        <f t="shared" si="24"/>
        <v>0</v>
      </c>
      <c r="M35" s="47">
        <f t="shared" si="24"/>
        <v>0</v>
      </c>
      <c r="N35" s="47">
        <f t="shared" si="24"/>
        <v>0</v>
      </c>
      <c r="O35" s="47">
        <f t="shared" si="24"/>
        <v>0</v>
      </c>
      <c r="P35" s="47">
        <f t="shared" si="24"/>
        <v>0</v>
      </c>
      <c r="Q35" s="47">
        <f t="shared" si="24"/>
        <v>0</v>
      </c>
      <c r="R35" s="47">
        <f t="shared" si="24"/>
        <v>0</v>
      </c>
      <c r="S35" s="47">
        <f t="shared" si="24"/>
        <v>0</v>
      </c>
      <c r="T35" s="47">
        <f t="shared" si="24"/>
        <v>0</v>
      </c>
      <c r="U35" s="48">
        <f t="shared" si="24"/>
        <v>0</v>
      </c>
      <c r="W35" s="38" t="e">
        <f t="shared" si="7"/>
        <v>#DIV/0!</v>
      </c>
      <c r="X35" s="1" t="str">
        <f t="shared" si="8"/>
        <v>KIS</v>
      </c>
    </row>
    <row r="36" spans="1:24" x14ac:dyDescent="0.25">
      <c r="A36" s="11"/>
      <c r="B36" s="246" t="s">
        <v>28</v>
      </c>
      <c r="C36" s="313"/>
      <c r="D36" s="408"/>
      <c r="E36" s="392" t="s">
        <v>19</v>
      </c>
      <c r="F36" s="389">
        <f t="shared" si="16"/>
        <v>0</v>
      </c>
      <c r="G36" s="316"/>
      <c r="H36" s="45">
        <f t="shared" si="5"/>
        <v>0</v>
      </c>
      <c r="I36" s="46"/>
      <c r="J36" s="47">
        <f t="shared" ref="J36:U36" si="25">J16*$C$36*$D$36*$G$36</f>
        <v>0</v>
      </c>
      <c r="K36" s="47">
        <f t="shared" si="25"/>
        <v>0</v>
      </c>
      <c r="L36" s="47">
        <f t="shared" si="25"/>
        <v>0</v>
      </c>
      <c r="M36" s="47">
        <f t="shared" si="25"/>
        <v>0</v>
      </c>
      <c r="N36" s="47">
        <f t="shared" si="25"/>
        <v>0</v>
      </c>
      <c r="O36" s="47">
        <f t="shared" si="25"/>
        <v>0</v>
      </c>
      <c r="P36" s="47">
        <f t="shared" si="25"/>
        <v>0</v>
      </c>
      <c r="Q36" s="47">
        <f t="shared" si="25"/>
        <v>0</v>
      </c>
      <c r="R36" s="47">
        <f t="shared" si="25"/>
        <v>0</v>
      </c>
      <c r="S36" s="47">
        <f t="shared" si="25"/>
        <v>0</v>
      </c>
      <c r="T36" s="47">
        <f t="shared" si="25"/>
        <v>0</v>
      </c>
      <c r="U36" s="48">
        <f t="shared" si="25"/>
        <v>0</v>
      </c>
      <c r="W36" s="38" t="e">
        <f t="shared" si="7"/>
        <v>#DIV/0!</v>
      </c>
      <c r="X36" s="1" t="str">
        <f t="shared" si="8"/>
        <v>KI stub</v>
      </c>
    </row>
    <row r="37" spans="1:24" x14ac:dyDescent="0.25">
      <c r="A37" s="11"/>
      <c r="B37" s="246" t="s">
        <v>31</v>
      </c>
      <c r="C37" s="313"/>
      <c r="D37" s="408"/>
      <c r="E37" s="392" t="s">
        <v>19</v>
      </c>
      <c r="F37" s="389">
        <f t="shared" si="16"/>
        <v>0</v>
      </c>
      <c r="G37" s="316"/>
      <c r="H37" s="45">
        <f t="shared" si="5"/>
        <v>0</v>
      </c>
      <c r="I37" s="46"/>
      <c r="J37" s="47">
        <f t="shared" ref="J37:U37" si="26">J16*$C$37*$D$37*$G$37</f>
        <v>0</v>
      </c>
      <c r="K37" s="47">
        <f t="shared" si="26"/>
        <v>0</v>
      </c>
      <c r="L37" s="47">
        <f t="shared" si="26"/>
        <v>0</v>
      </c>
      <c r="M37" s="47">
        <f t="shared" si="26"/>
        <v>0</v>
      </c>
      <c r="N37" s="47">
        <f t="shared" si="26"/>
        <v>0</v>
      </c>
      <c r="O37" s="47">
        <f t="shared" si="26"/>
        <v>0</v>
      </c>
      <c r="P37" s="47">
        <f t="shared" si="26"/>
        <v>0</v>
      </c>
      <c r="Q37" s="47">
        <f t="shared" si="26"/>
        <v>0</v>
      </c>
      <c r="R37" s="47">
        <f t="shared" si="26"/>
        <v>0</v>
      </c>
      <c r="S37" s="47">
        <f t="shared" si="26"/>
        <v>0</v>
      </c>
      <c r="T37" s="47">
        <f t="shared" si="26"/>
        <v>0</v>
      </c>
      <c r="U37" s="48">
        <f t="shared" si="26"/>
        <v>0</v>
      </c>
      <c r="W37" s="38" t="e">
        <f t="shared" si="7"/>
        <v>#DIV/0!</v>
      </c>
      <c r="X37" s="1" t="str">
        <f t="shared" si="8"/>
        <v>CF+</v>
      </c>
    </row>
    <row r="38" spans="1:24" x14ac:dyDescent="0.25">
      <c r="A38" s="11"/>
      <c r="B38" s="246" t="s">
        <v>32</v>
      </c>
      <c r="C38" s="313"/>
      <c r="D38" s="408"/>
      <c r="E38" s="392" t="s">
        <v>19</v>
      </c>
      <c r="F38" s="389">
        <f t="shared" si="16"/>
        <v>0</v>
      </c>
      <c r="G38" s="316"/>
      <c r="H38" s="45">
        <f t="shared" si="5"/>
        <v>0</v>
      </c>
      <c r="I38" s="46"/>
      <c r="J38" s="47">
        <f t="shared" ref="J38:U38" si="27">J16*$C$38*$D$38*$G$38</f>
        <v>0</v>
      </c>
      <c r="K38" s="47">
        <f t="shared" si="27"/>
        <v>0</v>
      </c>
      <c r="L38" s="47">
        <f t="shared" si="27"/>
        <v>0</v>
      </c>
      <c r="M38" s="47">
        <f t="shared" si="27"/>
        <v>0</v>
      </c>
      <c r="N38" s="47">
        <f t="shared" si="27"/>
        <v>0</v>
      </c>
      <c r="O38" s="47">
        <f t="shared" si="27"/>
        <v>0</v>
      </c>
      <c r="P38" s="47">
        <f t="shared" si="27"/>
        <v>0</v>
      </c>
      <c r="Q38" s="47">
        <f t="shared" si="27"/>
        <v>0</v>
      </c>
      <c r="R38" s="47">
        <f t="shared" si="27"/>
        <v>0</v>
      </c>
      <c r="S38" s="47">
        <f t="shared" si="27"/>
        <v>0</v>
      </c>
      <c r="T38" s="47">
        <f t="shared" si="27"/>
        <v>0</v>
      </c>
      <c r="U38" s="48">
        <f t="shared" si="27"/>
        <v>0</v>
      </c>
      <c r="W38" s="38" t="e">
        <f t="shared" si="7"/>
        <v>#DIV/0!</v>
      </c>
      <c r="X38" s="1" t="str">
        <f t="shared" si="8"/>
        <v>CF-</v>
      </c>
    </row>
    <row r="39" spans="1:24" x14ac:dyDescent="0.25">
      <c r="A39" s="11"/>
      <c r="B39" s="246" t="s">
        <v>33</v>
      </c>
      <c r="C39" s="313"/>
      <c r="D39" s="408"/>
      <c r="E39" s="392" t="s">
        <v>19</v>
      </c>
      <c r="F39" s="389">
        <f t="shared" si="16"/>
        <v>0</v>
      </c>
      <c r="G39" s="316"/>
      <c r="H39" s="45">
        <f t="shared" si="5"/>
        <v>0</v>
      </c>
      <c r="I39" s="46"/>
      <c r="J39" s="47">
        <f t="shared" ref="J39:U39" si="28">J16*$C$39*$D$39*$G$39</f>
        <v>0</v>
      </c>
      <c r="K39" s="47">
        <f t="shared" si="28"/>
        <v>0</v>
      </c>
      <c r="L39" s="47">
        <f t="shared" si="28"/>
        <v>0</v>
      </c>
      <c r="M39" s="47">
        <f t="shared" si="28"/>
        <v>0</v>
      </c>
      <c r="N39" s="47">
        <f t="shared" si="28"/>
        <v>0</v>
      </c>
      <c r="O39" s="47">
        <f t="shared" si="28"/>
        <v>0</v>
      </c>
      <c r="P39" s="47">
        <f t="shared" si="28"/>
        <v>0</v>
      </c>
      <c r="Q39" s="47">
        <f t="shared" si="28"/>
        <v>0</v>
      </c>
      <c r="R39" s="47">
        <f t="shared" si="28"/>
        <v>0</v>
      </c>
      <c r="S39" s="47">
        <f t="shared" si="28"/>
        <v>0</v>
      </c>
      <c r="T39" s="47">
        <f t="shared" si="28"/>
        <v>0</v>
      </c>
      <c r="U39" s="48">
        <f t="shared" si="28"/>
        <v>0</v>
      </c>
      <c r="W39" s="38" t="e">
        <f t="shared" si="7"/>
        <v>#DIV/0!</v>
      </c>
      <c r="X39" s="1" t="str">
        <f t="shared" si="8"/>
        <v>CM</v>
      </c>
    </row>
    <row r="40" spans="1:24" x14ac:dyDescent="0.25">
      <c r="A40" s="11"/>
      <c r="B40" s="243" t="s">
        <v>35</v>
      </c>
      <c r="C40" s="313"/>
      <c r="D40" s="408"/>
      <c r="E40" s="392" t="s">
        <v>19</v>
      </c>
      <c r="F40" s="389">
        <f t="shared" si="16"/>
        <v>0</v>
      </c>
      <c r="G40" s="316"/>
      <c r="H40" s="45">
        <f t="shared" si="5"/>
        <v>0</v>
      </c>
      <c r="I40" s="46"/>
      <c r="J40" s="47">
        <f t="shared" ref="J40:U40" si="29">J16*$C$40*$D$40*$G$40</f>
        <v>0</v>
      </c>
      <c r="K40" s="47">
        <f t="shared" si="29"/>
        <v>0</v>
      </c>
      <c r="L40" s="47">
        <f t="shared" si="29"/>
        <v>0</v>
      </c>
      <c r="M40" s="47">
        <f t="shared" si="29"/>
        <v>0</v>
      </c>
      <c r="N40" s="47">
        <f t="shared" si="29"/>
        <v>0</v>
      </c>
      <c r="O40" s="47">
        <f t="shared" si="29"/>
        <v>0</v>
      </c>
      <c r="P40" s="47">
        <f t="shared" si="29"/>
        <v>0</v>
      </c>
      <c r="Q40" s="47">
        <f t="shared" si="29"/>
        <v>0</v>
      </c>
      <c r="R40" s="47">
        <f t="shared" si="29"/>
        <v>0</v>
      </c>
      <c r="S40" s="47">
        <f t="shared" si="29"/>
        <v>0</v>
      </c>
      <c r="T40" s="47">
        <f t="shared" si="29"/>
        <v>0</v>
      </c>
      <c r="U40" s="48">
        <f t="shared" si="29"/>
        <v>0</v>
      </c>
      <c r="W40" s="38" t="e">
        <f t="shared" si="7"/>
        <v>#DIV/0!</v>
      </c>
      <c r="X40" s="1" t="str">
        <f t="shared" si="8"/>
        <v>Euc A</v>
      </c>
    </row>
    <row r="41" spans="1:24" x14ac:dyDescent="0.25">
      <c r="A41" s="11"/>
      <c r="B41" s="243" t="s">
        <v>36</v>
      </c>
      <c r="C41" s="313"/>
      <c r="D41" s="408"/>
      <c r="E41" s="392"/>
      <c r="F41" s="389"/>
      <c r="G41" s="316"/>
      <c r="H41" s="45">
        <f t="shared" si="5"/>
        <v>0</v>
      </c>
      <c r="I41" s="46"/>
      <c r="J41" s="47">
        <f t="shared" ref="J41:U41" si="30">J16*$C$41*$D$41*$G$41</f>
        <v>0</v>
      </c>
      <c r="K41" s="47">
        <f t="shared" si="30"/>
        <v>0</v>
      </c>
      <c r="L41" s="47">
        <f t="shared" si="30"/>
        <v>0</v>
      </c>
      <c r="M41" s="47">
        <f t="shared" si="30"/>
        <v>0</v>
      </c>
      <c r="N41" s="47">
        <f t="shared" si="30"/>
        <v>0</v>
      </c>
      <c r="O41" s="47">
        <f t="shared" si="30"/>
        <v>0</v>
      </c>
      <c r="P41" s="47">
        <f t="shared" si="30"/>
        <v>0</v>
      </c>
      <c r="Q41" s="47">
        <f t="shared" si="30"/>
        <v>0</v>
      </c>
      <c r="R41" s="47">
        <f t="shared" si="30"/>
        <v>0</v>
      </c>
      <c r="S41" s="47">
        <f t="shared" si="30"/>
        <v>0</v>
      </c>
      <c r="T41" s="47">
        <f t="shared" si="30"/>
        <v>0</v>
      </c>
      <c r="U41" s="48">
        <f t="shared" si="30"/>
        <v>0</v>
      </c>
      <c r="W41" s="38" t="e">
        <f t="shared" si="7"/>
        <v>#DIV/0!</v>
      </c>
      <c r="X41" s="1" t="str">
        <f t="shared" si="8"/>
        <v>Euc K</v>
      </c>
    </row>
    <row r="42" spans="1:24" ht="15.75" thickBot="1" x14ac:dyDescent="0.3">
      <c r="A42" s="11"/>
      <c r="B42" s="49"/>
      <c r="C42" s="314">
        <f>SUM(C20:C41)</f>
        <v>1</v>
      </c>
      <c r="D42" s="51"/>
      <c r="E42" s="52"/>
      <c r="F42" s="53"/>
      <c r="G42" s="54"/>
      <c r="H42" s="54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318"/>
    </row>
    <row r="43" spans="1:24" ht="15.75" thickTop="1" x14ac:dyDescent="0.25">
      <c r="A43" s="11"/>
      <c r="B43" s="55" t="s">
        <v>39</v>
      </c>
      <c r="C43" s="51">
        <f>SUMIF(E20:E41,"JAS",C20:C41)</f>
        <v>0.67000000000000015</v>
      </c>
      <c r="D43" s="51"/>
      <c r="E43" s="52"/>
      <c r="F43" s="53"/>
      <c r="G43" s="54"/>
      <c r="H43" s="45">
        <f>SUM(J43:U43)</f>
        <v>0</v>
      </c>
      <c r="I43" s="46"/>
      <c r="J43" s="56">
        <f t="shared" ref="J43:U43" si="31">SUM(J28:J41)</f>
        <v>0</v>
      </c>
      <c r="K43" s="56">
        <f t="shared" si="31"/>
        <v>0</v>
      </c>
      <c r="L43" s="56">
        <f t="shared" si="31"/>
        <v>0</v>
      </c>
      <c r="M43" s="56">
        <f t="shared" si="31"/>
        <v>0</v>
      </c>
      <c r="N43" s="56">
        <f t="shared" si="31"/>
        <v>0</v>
      </c>
      <c r="O43" s="56">
        <f t="shared" si="31"/>
        <v>0</v>
      </c>
      <c r="P43" s="56">
        <f t="shared" si="31"/>
        <v>0</v>
      </c>
      <c r="Q43" s="56">
        <f t="shared" si="31"/>
        <v>0</v>
      </c>
      <c r="R43" s="56">
        <f t="shared" si="31"/>
        <v>0</v>
      </c>
      <c r="S43" s="56">
        <f t="shared" si="31"/>
        <v>0</v>
      </c>
      <c r="T43" s="56">
        <f t="shared" si="31"/>
        <v>0</v>
      </c>
      <c r="U43" s="57">
        <f t="shared" si="31"/>
        <v>0</v>
      </c>
      <c r="W43" s="38" t="e">
        <f>SUM(W20:W42)</f>
        <v>#DIV/0!</v>
      </c>
    </row>
    <row r="44" spans="1:24" x14ac:dyDescent="0.25">
      <c r="A44" s="11"/>
      <c r="B44" s="55" t="s">
        <v>40</v>
      </c>
      <c r="C44" s="51">
        <f>SUMIF(E20:E41,"Tonnes",C20:C41)</f>
        <v>0.33</v>
      </c>
      <c r="D44" s="51"/>
      <c r="E44" s="52"/>
      <c r="F44" s="53"/>
      <c r="G44" s="54"/>
      <c r="H44" s="45">
        <f>SUM(J44:U44)</f>
        <v>0</v>
      </c>
      <c r="I44" s="46"/>
      <c r="J44" s="56">
        <f t="shared" ref="J44:U44" si="32">SUM(J20:J27)</f>
        <v>0</v>
      </c>
      <c r="K44" s="56">
        <f t="shared" si="32"/>
        <v>0</v>
      </c>
      <c r="L44" s="56">
        <f t="shared" si="32"/>
        <v>0</v>
      </c>
      <c r="M44" s="56">
        <f t="shared" si="32"/>
        <v>0</v>
      </c>
      <c r="N44" s="56">
        <f t="shared" si="32"/>
        <v>0</v>
      </c>
      <c r="O44" s="56">
        <f t="shared" si="32"/>
        <v>0</v>
      </c>
      <c r="P44" s="56">
        <f t="shared" si="32"/>
        <v>0</v>
      </c>
      <c r="Q44" s="56">
        <f t="shared" si="32"/>
        <v>0</v>
      </c>
      <c r="R44" s="56">
        <f t="shared" si="32"/>
        <v>0</v>
      </c>
      <c r="S44" s="56">
        <f t="shared" si="32"/>
        <v>0</v>
      </c>
      <c r="T44" s="56">
        <f t="shared" si="32"/>
        <v>0</v>
      </c>
      <c r="U44" s="57">
        <f t="shared" si="32"/>
        <v>0</v>
      </c>
    </row>
    <row r="45" spans="1:24" ht="15.75" thickBot="1" x14ac:dyDescent="0.3">
      <c r="A45" s="11"/>
      <c r="B45" s="49"/>
      <c r="C45" s="51"/>
      <c r="D45" s="51"/>
      <c r="E45" s="52"/>
      <c r="F45" s="53"/>
      <c r="G45" s="54"/>
      <c r="H45" s="54"/>
      <c r="I45" s="46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8"/>
    </row>
    <row r="46" spans="1:24" ht="16.5" thickTop="1" thickBot="1" x14ac:dyDescent="0.3">
      <c r="A46" s="11"/>
      <c r="B46" s="59" t="s">
        <v>18</v>
      </c>
      <c r="C46" s="60"/>
      <c r="D46" s="60"/>
      <c r="E46" s="61"/>
      <c r="F46" s="62"/>
      <c r="G46" s="63" t="e">
        <f>H46/W16</f>
        <v>#DIV/0!</v>
      </c>
      <c r="H46" s="64">
        <f>SUM(H20:H41)</f>
        <v>0</v>
      </c>
      <c r="I46" s="65"/>
      <c r="J46" s="64">
        <f t="shared" ref="J46:U46" si="33">SUM(J20:J41)</f>
        <v>0</v>
      </c>
      <c r="K46" s="64">
        <f t="shared" si="33"/>
        <v>0</v>
      </c>
      <c r="L46" s="64">
        <f t="shared" si="33"/>
        <v>0</v>
      </c>
      <c r="M46" s="64">
        <f t="shared" si="33"/>
        <v>0</v>
      </c>
      <c r="N46" s="64">
        <f t="shared" si="33"/>
        <v>0</v>
      </c>
      <c r="O46" s="64">
        <f t="shared" si="33"/>
        <v>0</v>
      </c>
      <c r="P46" s="64">
        <f t="shared" si="33"/>
        <v>0</v>
      </c>
      <c r="Q46" s="64">
        <f t="shared" si="33"/>
        <v>0</v>
      </c>
      <c r="R46" s="64">
        <f t="shared" si="33"/>
        <v>0</v>
      </c>
      <c r="S46" s="64">
        <f t="shared" si="33"/>
        <v>0</v>
      </c>
      <c r="T46" s="64">
        <f t="shared" si="33"/>
        <v>0</v>
      </c>
      <c r="U46" s="66">
        <f t="shared" si="33"/>
        <v>0</v>
      </c>
      <c r="W46" s="67">
        <f>SUM(J46:U46)</f>
        <v>0</v>
      </c>
    </row>
    <row r="47" spans="1:24" x14ac:dyDescent="0.25">
      <c r="A47" s="11"/>
      <c r="B47" s="68"/>
      <c r="G47" s="52"/>
      <c r="H47" s="69"/>
      <c r="I47" s="69"/>
    </row>
    <row r="48" spans="1:24" ht="16.5" thickBot="1" x14ac:dyDescent="0.3">
      <c r="A48" s="11"/>
      <c r="B48" s="70" t="s">
        <v>41</v>
      </c>
      <c r="C48" s="80" t="s">
        <v>44</v>
      </c>
      <c r="D48" s="42" t="s">
        <v>220</v>
      </c>
    </row>
    <row r="49" spans="1:23" ht="15.75" thickBot="1" x14ac:dyDescent="0.3">
      <c r="A49" s="11"/>
      <c r="B49" s="71" t="s">
        <v>42</v>
      </c>
      <c r="C49" s="321" t="s">
        <v>193</v>
      </c>
      <c r="D49" s="324" t="s">
        <v>53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40"/>
    </row>
    <row r="50" spans="1:23" ht="15.75" thickBot="1" x14ac:dyDescent="0.3">
      <c r="A50" s="11"/>
      <c r="B50" s="72"/>
      <c r="C50" s="319"/>
      <c r="D50" s="43"/>
      <c r="E50" s="43"/>
      <c r="F50" s="43"/>
      <c r="G50" s="43"/>
      <c r="H50" s="42" t="s">
        <v>18</v>
      </c>
      <c r="I50" s="43"/>
      <c r="J50" s="178">
        <v>45658</v>
      </c>
      <c r="K50" s="178">
        <v>45689</v>
      </c>
      <c r="L50" s="178">
        <v>45717</v>
      </c>
      <c r="M50" s="178">
        <v>45748</v>
      </c>
      <c r="N50" s="178">
        <v>45778</v>
      </c>
      <c r="O50" s="178">
        <v>45809</v>
      </c>
      <c r="P50" s="178">
        <v>45839</v>
      </c>
      <c r="Q50" s="178">
        <v>45870</v>
      </c>
      <c r="R50" s="178">
        <v>45901</v>
      </c>
      <c r="S50" s="178">
        <v>45931</v>
      </c>
      <c r="T50" s="178">
        <v>45962</v>
      </c>
      <c r="U50" s="178">
        <v>45992</v>
      </c>
    </row>
    <row r="51" spans="1:23" ht="16.5" thickTop="1" thickBot="1" x14ac:dyDescent="0.3">
      <c r="A51" s="11"/>
      <c r="B51" s="73"/>
      <c r="C51" s="320"/>
      <c r="D51" s="74"/>
      <c r="E51" s="74"/>
      <c r="F51" s="74"/>
      <c r="G51" s="74" t="e">
        <f>H51/W16</f>
        <v>#DIV/0!</v>
      </c>
      <c r="H51" s="75">
        <f>SUM(J51:U51)</f>
        <v>0</v>
      </c>
      <c r="I51" s="76"/>
      <c r="J51" s="77">
        <f t="shared" ref="J51:U51" si="34">J16*J13</f>
        <v>0</v>
      </c>
      <c r="K51" s="77">
        <f t="shared" si="34"/>
        <v>0</v>
      </c>
      <c r="L51" s="77">
        <f t="shared" si="34"/>
        <v>0</v>
      </c>
      <c r="M51" s="77">
        <f t="shared" si="34"/>
        <v>0</v>
      </c>
      <c r="N51" s="77">
        <f t="shared" si="34"/>
        <v>0</v>
      </c>
      <c r="O51" s="77">
        <f t="shared" si="34"/>
        <v>0</v>
      </c>
      <c r="P51" s="77">
        <f t="shared" si="34"/>
        <v>0</v>
      </c>
      <c r="Q51" s="77">
        <f t="shared" si="34"/>
        <v>0</v>
      </c>
      <c r="R51" s="77">
        <f t="shared" si="34"/>
        <v>0</v>
      </c>
      <c r="S51" s="77">
        <f t="shared" si="34"/>
        <v>0</v>
      </c>
      <c r="T51" s="77">
        <f t="shared" si="34"/>
        <v>0</v>
      </c>
      <c r="U51" s="78">
        <f t="shared" si="34"/>
        <v>0</v>
      </c>
      <c r="W51" s="67">
        <f>SUM(J51:U51)</f>
        <v>0</v>
      </c>
    </row>
    <row r="52" spans="1:23" x14ac:dyDescent="0.25">
      <c r="A52" s="11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</row>
    <row r="53" spans="1:23" ht="15.75" thickBot="1" x14ac:dyDescent="0.3">
      <c r="A53" s="11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</row>
    <row r="54" spans="1:23" ht="15.75" thickBot="1" x14ac:dyDescent="0.3">
      <c r="A54" s="11"/>
      <c r="B54" s="71" t="s">
        <v>43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40"/>
    </row>
    <row r="55" spans="1:23" x14ac:dyDescent="0.25">
      <c r="A55" s="11"/>
      <c r="B55" s="41" t="s">
        <v>13</v>
      </c>
      <c r="C55" s="80" t="s">
        <v>44</v>
      </c>
      <c r="D55" s="42" t="s">
        <v>220</v>
      </c>
      <c r="E55" s="80" t="s">
        <v>45</v>
      </c>
      <c r="F55" s="80" t="s">
        <v>45</v>
      </c>
      <c r="G55" s="80" t="s">
        <v>46</v>
      </c>
      <c r="H55" s="81" t="s">
        <v>18</v>
      </c>
      <c r="I55" s="43"/>
      <c r="J55" s="178">
        <v>45658</v>
      </c>
      <c r="K55" s="178">
        <v>45689</v>
      </c>
      <c r="L55" s="178">
        <v>45717</v>
      </c>
      <c r="M55" s="178">
        <v>45748</v>
      </c>
      <c r="N55" s="178">
        <v>45778</v>
      </c>
      <c r="O55" s="178">
        <v>45809</v>
      </c>
      <c r="P55" s="178">
        <v>45839</v>
      </c>
      <c r="Q55" s="178">
        <v>45870</v>
      </c>
      <c r="R55" s="178">
        <v>45901</v>
      </c>
      <c r="S55" s="178">
        <v>45931</v>
      </c>
      <c r="T55" s="178">
        <v>45962</v>
      </c>
      <c r="U55" s="178">
        <v>45992</v>
      </c>
    </row>
    <row r="56" spans="1:23" x14ac:dyDescent="0.25">
      <c r="A56" s="11"/>
      <c r="B56" s="203" t="s">
        <v>20</v>
      </c>
      <c r="C56" s="321" t="s">
        <v>192</v>
      </c>
      <c r="D56" s="83" t="s">
        <v>47</v>
      </c>
      <c r="E56" s="393" t="s">
        <v>172</v>
      </c>
      <c r="F56" s="394"/>
      <c r="G56" s="360"/>
      <c r="H56" s="82">
        <f t="shared" ref="H56:H77" si="35">SUM(J56:U56)</f>
        <v>0</v>
      </c>
      <c r="I56" s="54"/>
      <c r="J56" s="325">
        <f t="shared" ref="J56:U56" si="36">IF($C20&gt;0,(J$16*$C20)*$G56,0)</f>
        <v>0</v>
      </c>
      <c r="K56" s="325">
        <f t="shared" si="36"/>
        <v>0</v>
      </c>
      <c r="L56" s="325">
        <f t="shared" si="36"/>
        <v>0</v>
      </c>
      <c r="M56" s="325">
        <f t="shared" si="36"/>
        <v>0</v>
      </c>
      <c r="N56" s="325">
        <f t="shared" si="36"/>
        <v>0</v>
      </c>
      <c r="O56" s="325">
        <f t="shared" si="36"/>
        <v>0</v>
      </c>
      <c r="P56" s="325">
        <f t="shared" si="36"/>
        <v>0</v>
      </c>
      <c r="Q56" s="325">
        <f t="shared" si="36"/>
        <v>0</v>
      </c>
      <c r="R56" s="325">
        <f t="shared" si="36"/>
        <v>0</v>
      </c>
      <c r="S56" s="325">
        <f t="shared" si="36"/>
        <v>0</v>
      </c>
      <c r="T56" s="325">
        <f t="shared" si="36"/>
        <v>0</v>
      </c>
      <c r="U56" s="326">
        <f t="shared" si="36"/>
        <v>0</v>
      </c>
    </row>
    <row r="57" spans="1:23" x14ac:dyDescent="0.25">
      <c r="A57" s="11"/>
      <c r="B57" s="102" t="s">
        <v>22</v>
      </c>
      <c r="C57" s="322" t="s">
        <v>192</v>
      </c>
      <c r="D57" s="207" t="s">
        <v>47</v>
      </c>
      <c r="E57" s="395" t="s">
        <v>172</v>
      </c>
      <c r="F57" s="361"/>
      <c r="G57" s="360"/>
      <c r="H57" s="82">
        <f t="shared" si="35"/>
        <v>0</v>
      </c>
      <c r="I57" s="54"/>
      <c r="J57" s="325">
        <f t="shared" ref="J57:U57" si="37">IF($C21&gt;0,(J$16*$C21)*$G57,0)</f>
        <v>0</v>
      </c>
      <c r="K57" s="325">
        <f t="shared" si="37"/>
        <v>0</v>
      </c>
      <c r="L57" s="325">
        <f t="shared" si="37"/>
        <v>0</v>
      </c>
      <c r="M57" s="325">
        <f t="shared" si="37"/>
        <v>0</v>
      </c>
      <c r="N57" s="325">
        <f t="shared" si="37"/>
        <v>0</v>
      </c>
      <c r="O57" s="325">
        <f t="shared" si="37"/>
        <v>0</v>
      </c>
      <c r="P57" s="325">
        <f t="shared" si="37"/>
        <v>0</v>
      </c>
      <c r="Q57" s="325">
        <f t="shared" si="37"/>
        <v>0</v>
      </c>
      <c r="R57" s="325">
        <f t="shared" si="37"/>
        <v>0</v>
      </c>
      <c r="S57" s="325">
        <f t="shared" si="37"/>
        <v>0</v>
      </c>
      <c r="T57" s="325">
        <f t="shared" si="37"/>
        <v>0</v>
      </c>
      <c r="U57" s="326">
        <f t="shared" si="37"/>
        <v>0</v>
      </c>
    </row>
    <row r="58" spans="1:23" x14ac:dyDescent="0.25">
      <c r="A58" s="11"/>
      <c r="B58" s="102" t="s">
        <v>25</v>
      </c>
      <c r="C58" s="322" t="s">
        <v>192</v>
      </c>
      <c r="D58" s="207" t="s">
        <v>47</v>
      </c>
      <c r="E58" s="395" t="s">
        <v>172</v>
      </c>
      <c r="F58" s="396"/>
      <c r="G58" s="360"/>
      <c r="H58" s="82">
        <f t="shared" si="35"/>
        <v>0</v>
      </c>
      <c r="I58" s="54"/>
      <c r="J58" s="325">
        <f t="shared" ref="J58:U58" si="38">IF($C22&gt;0,(J$16*$C22)*$G58,0)</f>
        <v>0</v>
      </c>
      <c r="K58" s="325">
        <f t="shared" si="38"/>
        <v>0</v>
      </c>
      <c r="L58" s="325">
        <f t="shared" si="38"/>
        <v>0</v>
      </c>
      <c r="M58" s="325">
        <f t="shared" si="38"/>
        <v>0</v>
      </c>
      <c r="N58" s="325">
        <f t="shared" si="38"/>
        <v>0</v>
      </c>
      <c r="O58" s="325">
        <f t="shared" si="38"/>
        <v>0</v>
      </c>
      <c r="P58" s="325">
        <f t="shared" si="38"/>
        <v>0</v>
      </c>
      <c r="Q58" s="325">
        <f t="shared" si="38"/>
        <v>0</v>
      </c>
      <c r="R58" s="325">
        <f t="shared" si="38"/>
        <v>0</v>
      </c>
      <c r="S58" s="325">
        <f t="shared" si="38"/>
        <v>0</v>
      </c>
      <c r="T58" s="325">
        <f t="shared" si="38"/>
        <v>0</v>
      </c>
      <c r="U58" s="326">
        <f t="shared" si="38"/>
        <v>0</v>
      </c>
    </row>
    <row r="59" spans="1:23" x14ac:dyDescent="0.25">
      <c r="A59" s="11"/>
      <c r="B59" s="102" t="s">
        <v>30</v>
      </c>
      <c r="C59" s="322" t="s">
        <v>192</v>
      </c>
      <c r="D59" s="207" t="s">
        <v>47</v>
      </c>
      <c r="E59" s="395" t="s">
        <v>172</v>
      </c>
      <c r="F59" s="396"/>
      <c r="G59" s="360"/>
      <c r="H59" s="82">
        <f t="shared" si="35"/>
        <v>0</v>
      </c>
      <c r="I59" s="54"/>
      <c r="J59" s="325">
        <f t="shared" ref="J59:U59" si="39">IF($C23&gt;0,(J$16*$C23)*$G59,0)</f>
        <v>0</v>
      </c>
      <c r="K59" s="325">
        <f t="shared" si="39"/>
        <v>0</v>
      </c>
      <c r="L59" s="325">
        <f t="shared" si="39"/>
        <v>0</v>
      </c>
      <c r="M59" s="325">
        <f t="shared" si="39"/>
        <v>0</v>
      </c>
      <c r="N59" s="325">
        <f t="shared" si="39"/>
        <v>0</v>
      </c>
      <c r="O59" s="325">
        <f t="shared" si="39"/>
        <v>0</v>
      </c>
      <c r="P59" s="325">
        <f t="shared" si="39"/>
        <v>0</v>
      </c>
      <c r="Q59" s="325">
        <f t="shared" si="39"/>
        <v>0</v>
      </c>
      <c r="R59" s="325">
        <f t="shared" si="39"/>
        <v>0</v>
      </c>
      <c r="S59" s="325">
        <f t="shared" si="39"/>
        <v>0</v>
      </c>
      <c r="T59" s="325">
        <f t="shared" si="39"/>
        <v>0</v>
      </c>
      <c r="U59" s="326">
        <f t="shared" si="39"/>
        <v>0</v>
      </c>
    </row>
    <row r="60" spans="1:23" x14ac:dyDescent="0.25">
      <c r="A60" s="11"/>
      <c r="B60" s="102" t="s">
        <v>222</v>
      </c>
      <c r="C60" s="322" t="s">
        <v>192</v>
      </c>
      <c r="D60" s="207" t="s">
        <v>47</v>
      </c>
      <c r="E60" s="395" t="s">
        <v>172</v>
      </c>
      <c r="F60" s="396"/>
      <c r="G60" s="360"/>
      <c r="H60" s="82">
        <f t="shared" si="35"/>
        <v>0</v>
      </c>
      <c r="I60" s="54"/>
      <c r="J60" s="325">
        <f t="shared" ref="J60:U60" si="40">IF($C24&gt;0,(J$16*$C24)*$G60,0)</f>
        <v>0</v>
      </c>
      <c r="K60" s="325">
        <f t="shared" si="40"/>
        <v>0</v>
      </c>
      <c r="L60" s="325">
        <f t="shared" si="40"/>
        <v>0</v>
      </c>
      <c r="M60" s="325">
        <f t="shared" si="40"/>
        <v>0</v>
      </c>
      <c r="N60" s="325">
        <f t="shared" si="40"/>
        <v>0</v>
      </c>
      <c r="O60" s="325">
        <f t="shared" si="40"/>
        <v>0</v>
      </c>
      <c r="P60" s="325">
        <f t="shared" si="40"/>
        <v>0</v>
      </c>
      <c r="Q60" s="325">
        <f t="shared" si="40"/>
        <v>0</v>
      </c>
      <c r="R60" s="325">
        <f t="shared" si="40"/>
        <v>0</v>
      </c>
      <c r="S60" s="325">
        <f t="shared" si="40"/>
        <v>0</v>
      </c>
      <c r="T60" s="325">
        <f t="shared" si="40"/>
        <v>0</v>
      </c>
      <c r="U60" s="326">
        <f t="shared" si="40"/>
        <v>0</v>
      </c>
    </row>
    <row r="61" spans="1:23" x14ac:dyDescent="0.25">
      <c r="A61" s="11"/>
      <c r="B61" s="102" t="s">
        <v>34</v>
      </c>
      <c r="C61" s="322" t="s">
        <v>192</v>
      </c>
      <c r="D61" s="207" t="s">
        <v>47</v>
      </c>
      <c r="E61" s="395" t="s">
        <v>172</v>
      </c>
      <c r="F61" s="396"/>
      <c r="G61" s="360"/>
      <c r="H61" s="82">
        <f t="shared" si="35"/>
        <v>0</v>
      </c>
      <c r="I61" s="54"/>
      <c r="J61" s="325">
        <f t="shared" ref="J61:U61" si="41">IF($C25&gt;0,(J$16*$C25)*$G61,0)</f>
        <v>0</v>
      </c>
      <c r="K61" s="325">
        <f t="shared" si="41"/>
        <v>0</v>
      </c>
      <c r="L61" s="325">
        <f t="shared" si="41"/>
        <v>0</v>
      </c>
      <c r="M61" s="325">
        <f t="shared" si="41"/>
        <v>0</v>
      </c>
      <c r="N61" s="325">
        <f t="shared" si="41"/>
        <v>0</v>
      </c>
      <c r="O61" s="325">
        <f t="shared" si="41"/>
        <v>0</v>
      </c>
      <c r="P61" s="325">
        <f t="shared" si="41"/>
        <v>0</v>
      </c>
      <c r="Q61" s="325">
        <f t="shared" si="41"/>
        <v>0</v>
      </c>
      <c r="R61" s="325">
        <f t="shared" si="41"/>
        <v>0</v>
      </c>
      <c r="S61" s="325">
        <f t="shared" si="41"/>
        <v>0</v>
      </c>
      <c r="T61" s="325">
        <f t="shared" si="41"/>
        <v>0</v>
      </c>
      <c r="U61" s="326">
        <f t="shared" si="41"/>
        <v>0</v>
      </c>
    </row>
    <row r="62" spans="1:23" x14ac:dyDescent="0.25">
      <c r="A62" s="11"/>
      <c r="B62" s="102" t="s">
        <v>37</v>
      </c>
      <c r="C62" s="322" t="s">
        <v>192</v>
      </c>
      <c r="D62" s="207" t="s">
        <v>47</v>
      </c>
      <c r="E62" s="395" t="s">
        <v>172</v>
      </c>
      <c r="F62" s="396"/>
      <c r="G62" s="360"/>
      <c r="H62" s="82">
        <f t="shared" si="35"/>
        <v>0</v>
      </c>
      <c r="I62" s="54"/>
      <c r="J62" s="325">
        <f t="shared" ref="J62:U62" si="42">IF($C26&gt;0,(J$16*$C26)*$G62,0)</f>
        <v>0</v>
      </c>
      <c r="K62" s="325">
        <f t="shared" si="42"/>
        <v>0</v>
      </c>
      <c r="L62" s="325">
        <f t="shared" si="42"/>
        <v>0</v>
      </c>
      <c r="M62" s="325">
        <f t="shared" si="42"/>
        <v>0</v>
      </c>
      <c r="N62" s="325">
        <f t="shared" si="42"/>
        <v>0</v>
      </c>
      <c r="O62" s="325">
        <f t="shared" si="42"/>
        <v>0</v>
      </c>
      <c r="P62" s="325">
        <f t="shared" si="42"/>
        <v>0</v>
      </c>
      <c r="Q62" s="325">
        <f t="shared" si="42"/>
        <v>0</v>
      </c>
      <c r="R62" s="325">
        <f t="shared" si="42"/>
        <v>0</v>
      </c>
      <c r="S62" s="325">
        <f t="shared" si="42"/>
        <v>0</v>
      </c>
      <c r="T62" s="325">
        <f t="shared" si="42"/>
        <v>0</v>
      </c>
      <c r="U62" s="326">
        <f t="shared" si="42"/>
        <v>0</v>
      </c>
    </row>
    <row r="63" spans="1:23" x14ac:dyDescent="0.25">
      <c r="A63" s="11"/>
      <c r="B63" s="102" t="s">
        <v>174</v>
      </c>
      <c r="C63" s="322" t="s">
        <v>192</v>
      </c>
      <c r="D63" s="207" t="s">
        <v>47</v>
      </c>
      <c r="E63" s="395" t="s">
        <v>172</v>
      </c>
      <c r="F63" s="396"/>
      <c r="G63" s="360"/>
      <c r="H63" s="82">
        <f t="shared" si="35"/>
        <v>0</v>
      </c>
      <c r="I63" s="54"/>
      <c r="J63" s="325">
        <f t="shared" ref="J63:U63" si="43">IF($C27&gt;0,(J$16*$C27)*$G63,0)</f>
        <v>0</v>
      </c>
      <c r="K63" s="325">
        <f t="shared" si="43"/>
        <v>0</v>
      </c>
      <c r="L63" s="325">
        <f t="shared" si="43"/>
        <v>0</v>
      </c>
      <c r="M63" s="325">
        <f t="shared" si="43"/>
        <v>0</v>
      </c>
      <c r="N63" s="325">
        <f t="shared" si="43"/>
        <v>0</v>
      </c>
      <c r="O63" s="325">
        <f t="shared" si="43"/>
        <v>0</v>
      </c>
      <c r="P63" s="325">
        <f t="shared" si="43"/>
        <v>0</v>
      </c>
      <c r="Q63" s="325">
        <f t="shared" si="43"/>
        <v>0</v>
      </c>
      <c r="R63" s="325">
        <f t="shared" si="43"/>
        <v>0</v>
      </c>
      <c r="S63" s="325">
        <f t="shared" si="43"/>
        <v>0</v>
      </c>
      <c r="T63" s="325">
        <f t="shared" si="43"/>
        <v>0</v>
      </c>
      <c r="U63" s="326">
        <f t="shared" si="43"/>
        <v>0</v>
      </c>
    </row>
    <row r="64" spans="1:23" x14ac:dyDescent="0.25">
      <c r="A64" s="11"/>
      <c r="B64" s="102" t="s">
        <v>175</v>
      </c>
      <c r="C64" s="322" t="s">
        <v>192</v>
      </c>
      <c r="D64" s="207" t="s">
        <v>47</v>
      </c>
      <c r="E64" s="395" t="s">
        <v>221</v>
      </c>
      <c r="F64" s="396"/>
      <c r="G64" s="360"/>
      <c r="H64" s="82">
        <f t="shared" si="35"/>
        <v>0</v>
      </c>
      <c r="I64" s="54"/>
      <c r="J64" s="325">
        <f t="shared" ref="J64:U64" si="44">IF($C28&gt;0,(J$16*$C28)*$G64,0)</f>
        <v>0</v>
      </c>
      <c r="K64" s="325">
        <f t="shared" si="44"/>
        <v>0</v>
      </c>
      <c r="L64" s="325">
        <f t="shared" si="44"/>
        <v>0</v>
      </c>
      <c r="M64" s="325">
        <f t="shared" si="44"/>
        <v>0</v>
      </c>
      <c r="N64" s="325">
        <f t="shared" si="44"/>
        <v>0</v>
      </c>
      <c r="O64" s="325">
        <f t="shared" si="44"/>
        <v>0</v>
      </c>
      <c r="P64" s="325">
        <f t="shared" si="44"/>
        <v>0</v>
      </c>
      <c r="Q64" s="325">
        <f t="shared" si="44"/>
        <v>0</v>
      </c>
      <c r="R64" s="325">
        <f t="shared" si="44"/>
        <v>0</v>
      </c>
      <c r="S64" s="325">
        <f t="shared" si="44"/>
        <v>0</v>
      </c>
      <c r="T64" s="325">
        <f t="shared" si="44"/>
        <v>0</v>
      </c>
      <c r="U64" s="326">
        <f t="shared" si="44"/>
        <v>0</v>
      </c>
    </row>
    <row r="65" spans="1:23" x14ac:dyDescent="0.25">
      <c r="A65" s="11"/>
      <c r="B65" s="102" t="s">
        <v>176</v>
      </c>
      <c r="C65" s="322" t="s">
        <v>192</v>
      </c>
      <c r="D65" s="207" t="s">
        <v>47</v>
      </c>
      <c r="E65" s="395" t="s">
        <v>221</v>
      </c>
      <c r="F65" s="396"/>
      <c r="G65" s="360"/>
      <c r="H65" s="82">
        <f t="shared" si="35"/>
        <v>0</v>
      </c>
      <c r="I65" s="54"/>
      <c r="J65" s="325">
        <f t="shared" ref="J65:U65" si="45">IF($C29&gt;0,(J$16*$C29)*$G65,0)</f>
        <v>0</v>
      </c>
      <c r="K65" s="325">
        <f t="shared" si="45"/>
        <v>0</v>
      </c>
      <c r="L65" s="325">
        <f t="shared" si="45"/>
        <v>0</v>
      </c>
      <c r="M65" s="325">
        <f t="shared" si="45"/>
        <v>0</v>
      </c>
      <c r="N65" s="325">
        <f t="shared" si="45"/>
        <v>0</v>
      </c>
      <c r="O65" s="325">
        <f t="shared" si="45"/>
        <v>0</v>
      </c>
      <c r="P65" s="325">
        <f t="shared" si="45"/>
        <v>0</v>
      </c>
      <c r="Q65" s="325">
        <f t="shared" si="45"/>
        <v>0</v>
      </c>
      <c r="R65" s="325">
        <f t="shared" si="45"/>
        <v>0</v>
      </c>
      <c r="S65" s="325">
        <f t="shared" si="45"/>
        <v>0</v>
      </c>
      <c r="T65" s="325">
        <f t="shared" si="45"/>
        <v>0</v>
      </c>
      <c r="U65" s="326">
        <f t="shared" si="45"/>
        <v>0</v>
      </c>
    </row>
    <row r="66" spans="1:23" x14ac:dyDescent="0.25">
      <c r="A66" s="11"/>
      <c r="B66" s="102" t="s">
        <v>23</v>
      </c>
      <c r="C66" s="322" t="s">
        <v>192</v>
      </c>
      <c r="D66" s="207" t="s">
        <v>47</v>
      </c>
      <c r="E66" s="395" t="s">
        <v>221</v>
      </c>
      <c r="F66" s="396"/>
      <c r="G66" s="360"/>
      <c r="H66" s="82">
        <f t="shared" si="35"/>
        <v>0</v>
      </c>
      <c r="I66" s="54"/>
      <c r="J66" s="325">
        <f t="shared" ref="J66:U66" si="46">IF($C30&gt;0,(J$16*$C30)*$G66,0)</f>
        <v>0</v>
      </c>
      <c r="K66" s="325">
        <f t="shared" si="46"/>
        <v>0</v>
      </c>
      <c r="L66" s="325">
        <f t="shared" si="46"/>
        <v>0</v>
      </c>
      <c r="M66" s="325">
        <f t="shared" si="46"/>
        <v>0</v>
      </c>
      <c r="N66" s="325">
        <f t="shared" si="46"/>
        <v>0</v>
      </c>
      <c r="O66" s="325">
        <f t="shared" si="46"/>
        <v>0</v>
      </c>
      <c r="P66" s="325">
        <f t="shared" si="46"/>
        <v>0</v>
      </c>
      <c r="Q66" s="325">
        <f t="shared" si="46"/>
        <v>0</v>
      </c>
      <c r="R66" s="325">
        <f t="shared" si="46"/>
        <v>0</v>
      </c>
      <c r="S66" s="325">
        <f t="shared" si="46"/>
        <v>0</v>
      </c>
      <c r="T66" s="325">
        <f t="shared" si="46"/>
        <v>0</v>
      </c>
      <c r="U66" s="326">
        <f t="shared" si="46"/>
        <v>0</v>
      </c>
    </row>
    <row r="67" spans="1:23" x14ac:dyDescent="0.25">
      <c r="A67" s="11"/>
      <c r="B67" s="102" t="s">
        <v>24</v>
      </c>
      <c r="C67" s="322" t="s">
        <v>192</v>
      </c>
      <c r="D67" s="207" t="s">
        <v>47</v>
      </c>
      <c r="E67" s="395" t="s">
        <v>221</v>
      </c>
      <c r="F67" s="396"/>
      <c r="G67" s="360"/>
      <c r="H67" s="82">
        <f t="shared" si="35"/>
        <v>0</v>
      </c>
      <c r="I67" s="54"/>
      <c r="J67" s="325">
        <f t="shared" ref="J67:U67" si="47">IF($C31&gt;0,(J$16*$C31)*$G67,0)</f>
        <v>0</v>
      </c>
      <c r="K67" s="325">
        <f t="shared" si="47"/>
        <v>0</v>
      </c>
      <c r="L67" s="325">
        <f t="shared" si="47"/>
        <v>0</v>
      </c>
      <c r="M67" s="325">
        <f t="shared" si="47"/>
        <v>0</v>
      </c>
      <c r="N67" s="325">
        <f t="shared" si="47"/>
        <v>0</v>
      </c>
      <c r="O67" s="325">
        <f t="shared" si="47"/>
        <v>0</v>
      </c>
      <c r="P67" s="325">
        <f t="shared" si="47"/>
        <v>0</v>
      </c>
      <c r="Q67" s="325">
        <f t="shared" si="47"/>
        <v>0</v>
      </c>
      <c r="R67" s="325">
        <f t="shared" si="47"/>
        <v>0</v>
      </c>
      <c r="S67" s="325">
        <f t="shared" si="47"/>
        <v>0</v>
      </c>
      <c r="T67" s="325">
        <f t="shared" si="47"/>
        <v>0</v>
      </c>
      <c r="U67" s="326">
        <f t="shared" si="47"/>
        <v>0</v>
      </c>
    </row>
    <row r="68" spans="1:23" x14ac:dyDescent="0.25">
      <c r="A68" s="11"/>
      <c r="B68" s="212" t="s">
        <v>26</v>
      </c>
      <c r="C68" s="322" t="s">
        <v>192</v>
      </c>
      <c r="D68" s="207" t="s">
        <v>47</v>
      </c>
      <c r="E68" s="395" t="s">
        <v>221</v>
      </c>
      <c r="F68" s="396"/>
      <c r="G68" s="360"/>
      <c r="H68" s="82">
        <f t="shared" si="35"/>
        <v>0</v>
      </c>
      <c r="I68" s="54"/>
      <c r="J68" s="325">
        <f t="shared" ref="J68:U68" si="48">IF($C32&gt;0,(J$16*$C32)*$G68,0)</f>
        <v>0</v>
      </c>
      <c r="K68" s="325">
        <f t="shared" si="48"/>
        <v>0</v>
      </c>
      <c r="L68" s="325">
        <f t="shared" si="48"/>
        <v>0</v>
      </c>
      <c r="M68" s="325">
        <f t="shared" si="48"/>
        <v>0</v>
      </c>
      <c r="N68" s="325">
        <f t="shared" si="48"/>
        <v>0</v>
      </c>
      <c r="O68" s="325">
        <f t="shared" si="48"/>
        <v>0</v>
      </c>
      <c r="P68" s="325">
        <f t="shared" si="48"/>
        <v>0</v>
      </c>
      <c r="Q68" s="325">
        <f t="shared" si="48"/>
        <v>0</v>
      </c>
      <c r="R68" s="325">
        <f t="shared" si="48"/>
        <v>0</v>
      </c>
      <c r="S68" s="325">
        <f t="shared" si="48"/>
        <v>0</v>
      </c>
      <c r="T68" s="325">
        <f t="shared" si="48"/>
        <v>0</v>
      </c>
      <c r="U68" s="326">
        <f t="shared" si="48"/>
        <v>0</v>
      </c>
    </row>
    <row r="69" spans="1:23" x14ac:dyDescent="0.25">
      <c r="A69" s="11"/>
      <c r="B69" s="102" t="s">
        <v>27</v>
      </c>
      <c r="C69" s="322" t="s">
        <v>192</v>
      </c>
      <c r="D69" s="207" t="s">
        <v>47</v>
      </c>
      <c r="E69" s="395" t="s">
        <v>221</v>
      </c>
      <c r="F69" s="396"/>
      <c r="G69" s="360"/>
      <c r="H69" s="82">
        <f t="shared" si="35"/>
        <v>0</v>
      </c>
      <c r="I69" s="54"/>
      <c r="J69" s="325">
        <f t="shared" ref="J69:U69" si="49">IF($C33&gt;0,(J$16*$C33)*$G69,0)</f>
        <v>0</v>
      </c>
      <c r="K69" s="325">
        <f t="shared" si="49"/>
        <v>0</v>
      </c>
      <c r="L69" s="325">
        <f t="shared" si="49"/>
        <v>0</v>
      </c>
      <c r="M69" s="325">
        <f t="shared" si="49"/>
        <v>0</v>
      </c>
      <c r="N69" s="325">
        <f t="shared" si="49"/>
        <v>0</v>
      </c>
      <c r="O69" s="325">
        <f t="shared" si="49"/>
        <v>0</v>
      </c>
      <c r="P69" s="325">
        <f t="shared" si="49"/>
        <v>0</v>
      </c>
      <c r="Q69" s="325">
        <f t="shared" si="49"/>
        <v>0</v>
      </c>
      <c r="R69" s="325">
        <f t="shared" si="49"/>
        <v>0</v>
      </c>
      <c r="S69" s="325">
        <f t="shared" si="49"/>
        <v>0</v>
      </c>
      <c r="T69" s="325">
        <f t="shared" si="49"/>
        <v>0</v>
      </c>
      <c r="U69" s="326">
        <f t="shared" si="49"/>
        <v>0</v>
      </c>
    </row>
    <row r="70" spans="1:23" x14ac:dyDescent="0.25">
      <c r="A70" s="11"/>
      <c r="B70" s="102" t="s">
        <v>28</v>
      </c>
      <c r="C70" s="322" t="s">
        <v>192</v>
      </c>
      <c r="D70" s="207" t="s">
        <v>47</v>
      </c>
      <c r="E70" s="395" t="s">
        <v>221</v>
      </c>
      <c r="F70" s="396"/>
      <c r="G70" s="360"/>
      <c r="H70" s="82">
        <f t="shared" si="35"/>
        <v>0</v>
      </c>
      <c r="I70" s="54"/>
      <c r="J70" s="325">
        <f t="shared" ref="J70:U70" si="50">IF($C34&gt;0,(J$16*$C34)*$G70,0)</f>
        <v>0</v>
      </c>
      <c r="K70" s="325">
        <f t="shared" si="50"/>
        <v>0</v>
      </c>
      <c r="L70" s="325">
        <f t="shared" si="50"/>
        <v>0</v>
      </c>
      <c r="M70" s="325">
        <f t="shared" si="50"/>
        <v>0</v>
      </c>
      <c r="N70" s="325">
        <f t="shared" si="50"/>
        <v>0</v>
      </c>
      <c r="O70" s="325">
        <f t="shared" si="50"/>
        <v>0</v>
      </c>
      <c r="P70" s="325">
        <f t="shared" si="50"/>
        <v>0</v>
      </c>
      <c r="Q70" s="325">
        <f t="shared" si="50"/>
        <v>0</v>
      </c>
      <c r="R70" s="325">
        <f t="shared" si="50"/>
        <v>0</v>
      </c>
      <c r="S70" s="325">
        <f t="shared" si="50"/>
        <v>0</v>
      </c>
      <c r="T70" s="325">
        <f t="shared" si="50"/>
        <v>0</v>
      </c>
      <c r="U70" s="326">
        <f t="shared" si="50"/>
        <v>0</v>
      </c>
    </row>
    <row r="71" spans="1:23" x14ac:dyDescent="0.25">
      <c r="A71" s="11"/>
      <c r="B71" s="212" t="s">
        <v>29</v>
      </c>
      <c r="C71" s="322" t="s">
        <v>192</v>
      </c>
      <c r="D71" s="207" t="s">
        <v>47</v>
      </c>
      <c r="E71" s="395" t="s">
        <v>221</v>
      </c>
      <c r="F71" s="396"/>
      <c r="G71" s="360"/>
      <c r="H71" s="82">
        <f t="shared" si="35"/>
        <v>0</v>
      </c>
      <c r="I71" s="54"/>
      <c r="J71" s="325">
        <f t="shared" ref="J71:U71" si="51">IF($C35&gt;0,(J$16*$C35)*$G71,0)</f>
        <v>0</v>
      </c>
      <c r="K71" s="325">
        <f t="shared" si="51"/>
        <v>0</v>
      </c>
      <c r="L71" s="325">
        <f t="shared" si="51"/>
        <v>0</v>
      </c>
      <c r="M71" s="325">
        <f t="shared" si="51"/>
        <v>0</v>
      </c>
      <c r="N71" s="325">
        <f t="shared" si="51"/>
        <v>0</v>
      </c>
      <c r="O71" s="325">
        <f t="shared" si="51"/>
        <v>0</v>
      </c>
      <c r="P71" s="325">
        <f t="shared" si="51"/>
        <v>0</v>
      </c>
      <c r="Q71" s="325">
        <f t="shared" si="51"/>
        <v>0</v>
      </c>
      <c r="R71" s="325">
        <f t="shared" si="51"/>
        <v>0</v>
      </c>
      <c r="S71" s="325">
        <f t="shared" si="51"/>
        <v>0</v>
      </c>
      <c r="T71" s="325">
        <f t="shared" si="51"/>
        <v>0</v>
      </c>
      <c r="U71" s="326">
        <f t="shared" si="51"/>
        <v>0</v>
      </c>
    </row>
    <row r="72" spans="1:23" x14ac:dyDescent="0.25">
      <c r="A72" s="11"/>
      <c r="B72" s="212" t="s">
        <v>31</v>
      </c>
      <c r="C72" s="322" t="s">
        <v>192</v>
      </c>
      <c r="D72" s="207" t="s">
        <v>47</v>
      </c>
      <c r="E72" s="395" t="s">
        <v>221</v>
      </c>
      <c r="F72" s="396"/>
      <c r="G72" s="360"/>
      <c r="H72" s="82">
        <f t="shared" si="35"/>
        <v>0</v>
      </c>
      <c r="I72" s="54"/>
      <c r="J72" s="325">
        <f t="shared" ref="J72:U72" si="52">IF($C36&gt;0,(J$16*$C36)*$G72,0)</f>
        <v>0</v>
      </c>
      <c r="K72" s="325">
        <f t="shared" si="52"/>
        <v>0</v>
      </c>
      <c r="L72" s="325">
        <f t="shared" si="52"/>
        <v>0</v>
      </c>
      <c r="M72" s="325">
        <f t="shared" si="52"/>
        <v>0</v>
      </c>
      <c r="N72" s="325">
        <f t="shared" si="52"/>
        <v>0</v>
      </c>
      <c r="O72" s="325">
        <f t="shared" si="52"/>
        <v>0</v>
      </c>
      <c r="P72" s="325">
        <f t="shared" si="52"/>
        <v>0</v>
      </c>
      <c r="Q72" s="325">
        <f t="shared" si="52"/>
        <v>0</v>
      </c>
      <c r="R72" s="325">
        <f t="shared" si="52"/>
        <v>0</v>
      </c>
      <c r="S72" s="325">
        <f t="shared" si="52"/>
        <v>0</v>
      </c>
      <c r="T72" s="325">
        <f t="shared" si="52"/>
        <v>0</v>
      </c>
      <c r="U72" s="326">
        <f t="shared" si="52"/>
        <v>0</v>
      </c>
    </row>
    <row r="73" spans="1:23" x14ac:dyDescent="0.25">
      <c r="A73" s="11"/>
      <c r="B73" s="212" t="s">
        <v>32</v>
      </c>
      <c r="C73" s="322" t="s">
        <v>192</v>
      </c>
      <c r="D73" s="207" t="s">
        <v>47</v>
      </c>
      <c r="E73" s="395" t="s">
        <v>221</v>
      </c>
      <c r="F73" s="396"/>
      <c r="G73" s="360"/>
      <c r="H73" s="82">
        <f t="shared" si="35"/>
        <v>0</v>
      </c>
      <c r="I73" s="54"/>
      <c r="J73" s="325">
        <f t="shared" ref="J73:U73" si="53">IF($C37&gt;0,(J$16*$C37)*$G73,0)</f>
        <v>0</v>
      </c>
      <c r="K73" s="325">
        <f t="shared" si="53"/>
        <v>0</v>
      </c>
      <c r="L73" s="325">
        <f t="shared" si="53"/>
        <v>0</v>
      </c>
      <c r="M73" s="325">
        <f t="shared" si="53"/>
        <v>0</v>
      </c>
      <c r="N73" s="325">
        <f t="shared" si="53"/>
        <v>0</v>
      </c>
      <c r="O73" s="325">
        <f t="shared" si="53"/>
        <v>0</v>
      </c>
      <c r="P73" s="325">
        <f t="shared" si="53"/>
        <v>0</v>
      </c>
      <c r="Q73" s="325">
        <f t="shared" si="53"/>
        <v>0</v>
      </c>
      <c r="R73" s="325">
        <f t="shared" si="53"/>
        <v>0</v>
      </c>
      <c r="S73" s="325">
        <f t="shared" si="53"/>
        <v>0</v>
      </c>
      <c r="T73" s="325">
        <f t="shared" si="53"/>
        <v>0</v>
      </c>
      <c r="U73" s="326">
        <f t="shared" si="53"/>
        <v>0</v>
      </c>
    </row>
    <row r="74" spans="1:23" x14ac:dyDescent="0.25">
      <c r="A74" s="11"/>
      <c r="B74" s="102" t="s">
        <v>33</v>
      </c>
      <c r="C74" s="322" t="s">
        <v>192</v>
      </c>
      <c r="D74" s="207" t="s">
        <v>47</v>
      </c>
      <c r="E74" s="395" t="s">
        <v>221</v>
      </c>
      <c r="F74" s="396"/>
      <c r="G74" s="360"/>
      <c r="H74" s="82">
        <f t="shared" si="35"/>
        <v>0</v>
      </c>
      <c r="I74" s="54"/>
      <c r="J74" s="325">
        <f t="shared" ref="J74:U74" si="54">IF($C38&gt;0,(J$16*$C38)*$G74,0)</f>
        <v>0</v>
      </c>
      <c r="K74" s="325">
        <f t="shared" si="54"/>
        <v>0</v>
      </c>
      <c r="L74" s="325">
        <f t="shared" si="54"/>
        <v>0</v>
      </c>
      <c r="M74" s="325">
        <f t="shared" si="54"/>
        <v>0</v>
      </c>
      <c r="N74" s="325">
        <f t="shared" si="54"/>
        <v>0</v>
      </c>
      <c r="O74" s="325">
        <f t="shared" si="54"/>
        <v>0</v>
      </c>
      <c r="P74" s="325">
        <f t="shared" si="54"/>
        <v>0</v>
      </c>
      <c r="Q74" s="325">
        <f t="shared" si="54"/>
        <v>0</v>
      </c>
      <c r="R74" s="325">
        <f t="shared" si="54"/>
        <v>0</v>
      </c>
      <c r="S74" s="325">
        <f t="shared" si="54"/>
        <v>0</v>
      </c>
      <c r="T74" s="325">
        <f t="shared" si="54"/>
        <v>0</v>
      </c>
      <c r="U74" s="326">
        <f t="shared" si="54"/>
        <v>0</v>
      </c>
    </row>
    <row r="75" spans="1:23" x14ac:dyDescent="0.25">
      <c r="A75" s="11"/>
      <c r="B75" s="212" t="s">
        <v>35</v>
      </c>
      <c r="C75" s="322" t="s">
        <v>192</v>
      </c>
      <c r="D75" s="207" t="s">
        <v>47</v>
      </c>
      <c r="E75" s="395" t="s">
        <v>221</v>
      </c>
      <c r="F75" s="362"/>
      <c r="G75" s="360"/>
      <c r="H75" s="82">
        <f t="shared" si="35"/>
        <v>0</v>
      </c>
      <c r="I75" s="54"/>
      <c r="J75" s="325">
        <f t="shared" ref="J75:U75" si="55">IF($C39&gt;0,(J$16*$C39)*$G75,0)</f>
        <v>0</v>
      </c>
      <c r="K75" s="325">
        <f t="shared" si="55"/>
        <v>0</v>
      </c>
      <c r="L75" s="325">
        <f t="shared" si="55"/>
        <v>0</v>
      </c>
      <c r="M75" s="325">
        <f t="shared" si="55"/>
        <v>0</v>
      </c>
      <c r="N75" s="325">
        <f t="shared" si="55"/>
        <v>0</v>
      </c>
      <c r="O75" s="325">
        <f t="shared" si="55"/>
        <v>0</v>
      </c>
      <c r="P75" s="325">
        <f t="shared" si="55"/>
        <v>0</v>
      </c>
      <c r="Q75" s="325">
        <f t="shared" si="55"/>
        <v>0</v>
      </c>
      <c r="R75" s="325">
        <f t="shared" si="55"/>
        <v>0</v>
      </c>
      <c r="S75" s="325">
        <f t="shared" si="55"/>
        <v>0</v>
      </c>
      <c r="T75" s="325">
        <f t="shared" si="55"/>
        <v>0</v>
      </c>
      <c r="U75" s="326">
        <f t="shared" si="55"/>
        <v>0</v>
      </c>
    </row>
    <row r="76" spans="1:23" x14ac:dyDescent="0.25">
      <c r="A76" s="11"/>
      <c r="B76" s="212" t="s">
        <v>36</v>
      </c>
      <c r="C76" s="322" t="s">
        <v>192</v>
      </c>
      <c r="D76" s="207" t="s">
        <v>47</v>
      </c>
      <c r="E76" s="395" t="s">
        <v>221</v>
      </c>
      <c r="F76" s="361"/>
      <c r="G76" s="360"/>
      <c r="H76" s="82">
        <f t="shared" si="35"/>
        <v>0</v>
      </c>
      <c r="I76" s="54"/>
      <c r="J76" s="325">
        <f t="shared" ref="J76:U76" si="56">IF($C40&gt;0,(J$16*$C40)*$G76,0)</f>
        <v>0</v>
      </c>
      <c r="K76" s="325">
        <f t="shared" si="56"/>
        <v>0</v>
      </c>
      <c r="L76" s="325">
        <f t="shared" si="56"/>
        <v>0</v>
      </c>
      <c r="M76" s="325">
        <f t="shared" si="56"/>
        <v>0</v>
      </c>
      <c r="N76" s="325">
        <f t="shared" si="56"/>
        <v>0</v>
      </c>
      <c r="O76" s="325">
        <f t="shared" si="56"/>
        <v>0</v>
      </c>
      <c r="P76" s="325">
        <f t="shared" si="56"/>
        <v>0</v>
      </c>
      <c r="Q76" s="325">
        <f t="shared" si="56"/>
        <v>0</v>
      </c>
      <c r="R76" s="325">
        <f t="shared" si="56"/>
        <v>0</v>
      </c>
      <c r="S76" s="325">
        <f t="shared" si="56"/>
        <v>0</v>
      </c>
      <c r="T76" s="325">
        <f t="shared" si="56"/>
        <v>0</v>
      </c>
      <c r="U76" s="326">
        <f t="shared" si="56"/>
        <v>0</v>
      </c>
    </row>
    <row r="77" spans="1:23" ht="15.75" thickBot="1" x14ac:dyDescent="0.3">
      <c r="A77" s="84"/>
      <c r="B77" s="214" t="s">
        <v>38</v>
      </c>
      <c r="C77" s="323" t="s">
        <v>192</v>
      </c>
      <c r="D77" s="215" t="s">
        <v>47</v>
      </c>
      <c r="E77" s="397" t="s">
        <v>221</v>
      </c>
      <c r="F77" s="363"/>
      <c r="G77" s="360"/>
      <c r="H77" s="82">
        <f t="shared" si="35"/>
        <v>0</v>
      </c>
      <c r="I77" s="54"/>
      <c r="J77" s="325">
        <f t="shared" ref="J77:U77" si="57">IF($C41&gt;0,(J$16*$C41)*$G77,0)</f>
        <v>0</v>
      </c>
      <c r="K77" s="325">
        <f t="shared" si="57"/>
        <v>0</v>
      </c>
      <c r="L77" s="325">
        <f t="shared" si="57"/>
        <v>0</v>
      </c>
      <c r="M77" s="325">
        <f t="shared" si="57"/>
        <v>0</v>
      </c>
      <c r="N77" s="325">
        <f t="shared" si="57"/>
        <v>0</v>
      </c>
      <c r="O77" s="325">
        <f t="shared" si="57"/>
        <v>0</v>
      </c>
      <c r="P77" s="325">
        <f t="shared" si="57"/>
        <v>0</v>
      </c>
      <c r="Q77" s="325">
        <f t="shared" si="57"/>
        <v>0</v>
      </c>
      <c r="R77" s="325">
        <f t="shared" si="57"/>
        <v>0</v>
      </c>
      <c r="S77" s="325">
        <f t="shared" si="57"/>
        <v>0</v>
      </c>
      <c r="T77" s="325">
        <f t="shared" si="57"/>
        <v>0</v>
      </c>
      <c r="U77" s="326">
        <f t="shared" si="57"/>
        <v>0</v>
      </c>
    </row>
    <row r="78" spans="1:23" ht="16.5" thickTop="1" thickBot="1" x14ac:dyDescent="0.3">
      <c r="A78" s="11"/>
      <c r="B78" s="85"/>
      <c r="C78" s="86"/>
      <c r="D78" s="86"/>
      <c r="E78" s="87"/>
      <c r="F78" s="88"/>
      <c r="G78" s="89" t="e">
        <f>H78/W16</f>
        <v>#DIV/0!</v>
      </c>
      <c r="H78" s="75">
        <f>SUM(H56:H77)</f>
        <v>0</v>
      </c>
      <c r="I78" s="76"/>
      <c r="J78" s="327">
        <f t="shared" ref="J78:U78" si="58">SUM(J56:J77)</f>
        <v>0</v>
      </c>
      <c r="K78" s="327">
        <f t="shared" si="58"/>
        <v>0</v>
      </c>
      <c r="L78" s="327">
        <f t="shared" si="58"/>
        <v>0</v>
      </c>
      <c r="M78" s="327">
        <f t="shared" si="58"/>
        <v>0</v>
      </c>
      <c r="N78" s="327">
        <f t="shared" si="58"/>
        <v>0</v>
      </c>
      <c r="O78" s="327">
        <f t="shared" si="58"/>
        <v>0</v>
      </c>
      <c r="P78" s="327">
        <f t="shared" si="58"/>
        <v>0</v>
      </c>
      <c r="Q78" s="327">
        <f t="shared" si="58"/>
        <v>0</v>
      </c>
      <c r="R78" s="327">
        <f t="shared" si="58"/>
        <v>0</v>
      </c>
      <c r="S78" s="327">
        <f t="shared" si="58"/>
        <v>0</v>
      </c>
      <c r="T78" s="327">
        <f t="shared" si="58"/>
        <v>0</v>
      </c>
      <c r="U78" s="328">
        <f t="shared" si="58"/>
        <v>0</v>
      </c>
      <c r="W78" s="67">
        <f>SUM(J78:U78)</f>
        <v>0</v>
      </c>
    </row>
    <row r="79" spans="1:23" ht="15.75" thickBot="1" x14ac:dyDescent="0.3">
      <c r="A79" s="11"/>
      <c r="B79" s="84"/>
      <c r="C79" s="84"/>
      <c r="D79" s="84"/>
      <c r="E79" s="52"/>
      <c r="F79" s="90"/>
      <c r="G79" s="91"/>
      <c r="H79" s="92"/>
      <c r="I79" s="46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</row>
    <row r="80" spans="1:23" ht="15.75" thickBot="1" x14ac:dyDescent="0.3">
      <c r="A80" s="11"/>
      <c r="B80" s="93" t="s">
        <v>48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40"/>
    </row>
    <row r="81" spans="1:21" x14ac:dyDescent="0.25">
      <c r="A81" s="11"/>
      <c r="B81" s="94" t="s">
        <v>49</v>
      </c>
      <c r="C81" s="80" t="s">
        <v>44</v>
      </c>
      <c r="D81" s="42" t="s">
        <v>220</v>
      </c>
      <c r="E81" s="80" t="s">
        <v>50</v>
      </c>
      <c r="F81" s="80" t="s">
        <v>51</v>
      </c>
      <c r="G81" s="42" t="s">
        <v>239</v>
      </c>
      <c r="H81" s="42" t="s">
        <v>18</v>
      </c>
      <c r="I81" s="43"/>
      <c r="J81" s="178">
        <v>45658</v>
      </c>
      <c r="K81" s="178">
        <v>45689</v>
      </c>
      <c r="L81" s="178">
        <v>45717</v>
      </c>
      <c r="M81" s="178">
        <v>45748</v>
      </c>
      <c r="N81" s="178">
        <v>45778</v>
      </c>
      <c r="O81" s="178">
        <v>45809</v>
      </c>
      <c r="P81" s="178">
        <v>45839</v>
      </c>
      <c r="Q81" s="178">
        <v>45870</v>
      </c>
      <c r="R81" s="178">
        <v>45901</v>
      </c>
      <c r="S81" s="178">
        <v>45931</v>
      </c>
      <c r="T81" s="178">
        <v>45962</v>
      </c>
      <c r="U81" s="178">
        <v>45992</v>
      </c>
    </row>
    <row r="82" spans="1:21" x14ac:dyDescent="0.25">
      <c r="A82" s="11"/>
      <c r="B82" s="95" t="s">
        <v>52</v>
      </c>
      <c r="C82" s="330" t="s">
        <v>212</v>
      </c>
      <c r="D82" s="97" t="s">
        <v>53</v>
      </c>
      <c r="E82" s="98"/>
      <c r="F82" s="98"/>
      <c r="G82" s="96"/>
      <c r="H82" s="99">
        <f t="shared" ref="H82:H105" si="59">SUM(J82:U82)</f>
        <v>0</v>
      </c>
      <c r="J82" s="364"/>
      <c r="K82" s="364"/>
      <c r="L82" s="364"/>
      <c r="M82" s="364"/>
      <c r="N82" s="364"/>
      <c r="O82" s="364"/>
      <c r="P82" s="364"/>
      <c r="Q82" s="364"/>
      <c r="R82" s="364"/>
      <c r="S82" s="364"/>
      <c r="T82" s="364"/>
      <c r="U82" s="365"/>
    </row>
    <row r="83" spans="1:21" x14ac:dyDescent="0.25">
      <c r="A83" s="11"/>
      <c r="B83" s="102" t="s">
        <v>227</v>
      </c>
      <c r="C83" s="331" t="s">
        <v>213</v>
      </c>
      <c r="D83" s="104" t="s">
        <v>53</v>
      </c>
      <c r="E83" s="103">
        <v>699</v>
      </c>
      <c r="F83" s="103">
        <v>3675</v>
      </c>
      <c r="G83" s="103"/>
      <c r="H83" s="99">
        <f t="shared" si="59"/>
        <v>0</v>
      </c>
      <c r="I83" s="46"/>
      <c r="J83" s="364"/>
      <c r="K83" s="364"/>
      <c r="L83" s="364"/>
      <c r="M83" s="364"/>
      <c r="N83" s="364"/>
      <c r="O83" s="364"/>
      <c r="P83" s="364"/>
      <c r="Q83" s="364"/>
      <c r="R83" s="364"/>
      <c r="S83" s="364"/>
      <c r="T83" s="364"/>
      <c r="U83" s="365"/>
    </row>
    <row r="84" spans="1:21" x14ac:dyDescent="0.25">
      <c r="A84" s="11"/>
      <c r="B84" s="102" t="s">
        <v>54</v>
      </c>
      <c r="C84" s="331" t="s">
        <v>216</v>
      </c>
      <c r="D84" s="104" t="s">
        <v>53</v>
      </c>
      <c r="E84" s="103">
        <v>699</v>
      </c>
      <c r="F84" s="103">
        <v>3691</v>
      </c>
      <c r="G84" s="103"/>
      <c r="H84" s="99">
        <f t="shared" si="59"/>
        <v>0</v>
      </c>
      <c r="I84" s="46"/>
      <c r="J84" s="364"/>
      <c r="K84" s="364"/>
      <c r="L84" s="364"/>
      <c r="M84" s="364"/>
      <c r="N84" s="364"/>
      <c r="O84" s="364"/>
      <c r="P84" s="364"/>
      <c r="Q84" s="364"/>
      <c r="R84" s="364"/>
      <c r="S84" s="364"/>
      <c r="T84" s="364"/>
      <c r="U84" s="365"/>
    </row>
    <row r="85" spans="1:21" x14ac:dyDescent="0.25">
      <c r="A85" s="11"/>
      <c r="B85" s="102" t="s">
        <v>55</v>
      </c>
      <c r="C85" s="331" t="s">
        <v>217</v>
      </c>
      <c r="D85" s="104" t="s">
        <v>53</v>
      </c>
      <c r="E85" s="103">
        <v>699</v>
      </c>
      <c r="F85" s="103">
        <v>3677</v>
      </c>
      <c r="G85" s="103"/>
      <c r="H85" s="99">
        <f t="shared" si="59"/>
        <v>0</v>
      </c>
      <c r="I85" s="46"/>
      <c r="J85" s="364"/>
      <c r="K85" s="364"/>
      <c r="L85" s="364"/>
      <c r="M85" s="364"/>
      <c r="N85" s="364"/>
      <c r="O85" s="364"/>
      <c r="P85" s="364"/>
      <c r="Q85" s="364"/>
      <c r="R85" s="364"/>
      <c r="S85" s="364"/>
      <c r="T85" s="364"/>
      <c r="U85" s="365"/>
    </row>
    <row r="86" spans="1:21" x14ac:dyDescent="0.25">
      <c r="A86" s="11"/>
      <c r="B86" s="105" t="s">
        <v>228</v>
      </c>
      <c r="C86" s="103">
        <v>721</v>
      </c>
      <c r="D86" s="104" t="s">
        <v>53</v>
      </c>
      <c r="E86" s="103">
        <v>699</v>
      </c>
      <c r="F86" s="103">
        <v>3671</v>
      </c>
      <c r="G86" s="103"/>
      <c r="H86" s="99">
        <f t="shared" si="59"/>
        <v>0</v>
      </c>
      <c r="J86" s="364"/>
      <c r="K86" s="364"/>
      <c r="L86" s="364"/>
      <c r="M86" s="364"/>
      <c r="N86" s="364"/>
      <c r="O86" s="364"/>
      <c r="P86" s="364"/>
      <c r="Q86" s="364"/>
      <c r="R86" s="364"/>
      <c r="S86" s="364"/>
      <c r="T86" s="364"/>
      <c r="U86" s="365"/>
    </row>
    <row r="87" spans="1:21" x14ac:dyDescent="0.25">
      <c r="A87" s="11"/>
      <c r="B87" s="105" t="s">
        <v>56</v>
      </c>
      <c r="C87" s="331" t="s">
        <v>218</v>
      </c>
      <c r="D87" s="104" t="s">
        <v>53</v>
      </c>
      <c r="E87" s="103">
        <v>699</v>
      </c>
      <c r="F87" s="103">
        <v>3669</v>
      </c>
      <c r="G87" s="103"/>
      <c r="H87" s="99">
        <f t="shared" si="59"/>
        <v>0</v>
      </c>
      <c r="J87" s="364"/>
      <c r="K87" s="364"/>
      <c r="L87" s="364"/>
      <c r="M87" s="364"/>
      <c r="N87" s="364"/>
      <c r="O87" s="364"/>
      <c r="P87" s="364"/>
      <c r="Q87" s="364"/>
      <c r="R87" s="364"/>
      <c r="S87" s="364"/>
      <c r="T87" s="364"/>
      <c r="U87" s="365"/>
    </row>
    <row r="88" spans="1:21" x14ac:dyDescent="0.25">
      <c r="A88" s="11"/>
      <c r="B88" s="105" t="s">
        <v>57</v>
      </c>
      <c r="C88" s="331" t="s">
        <v>219</v>
      </c>
      <c r="D88" s="104" t="s">
        <v>53</v>
      </c>
      <c r="E88" s="103">
        <v>699</v>
      </c>
      <c r="F88" s="103">
        <v>3665</v>
      </c>
      <c r="G88" s="103"/>
      <c r="H88" s="99">
        <f t="shared" si="59"/>
        <v>0</v>
      </c>
      <c r="J88" s="364"/>
      <c r="K88" s="364"/>
      <c r="L88" s="364"/>
      <c r="M88" s="364"/>
      <c r="N88" s="364"/>
      <c r="O88" s="364"/>
      <c r="P88" s="364"/>
      <c r="Q88" s="364"/>
      <c r="R88" s="364"/>
      <c r="S88" s="364"/>
      <c r="T88" s="364"/>
      <c r="U88" s="365"/>
    </row>
    <row r="89" spans="1:21" x14ac:dyDescent="0.25">
      <c r="A89" s="11"/>
      <c r="B89" s="105" t="s">
        <v>229</v>
      </c>
      <c r="C89" s="331" t="s">
        <v>215</v>
      </c>
      <c r="D89" s="104" t="s">
        <v>53</v>
      </c>
      <c r="E89" s="103">
        <v>699</v>
      </c>
      <c r="F89" s="103">
        <v>3963</v>
      </c>
      <c r="G89" s="103"/>
      <c r="H89" s="99">
        <f t="shared" si="59"/>
        <v>0</v>
      </c>
      <c r="J89" s="364"/>
      <c r="K89" s="364"/>
      <c r="L89" s="364"/>
      <c r="M89" s="364"/>
      <c r="N89" s="364"/>
      <c r="O89" s="364"/>
      <c r="P89" s="364"/>
      <c r="Q89" s="364"/>
      <c r="R89" s="364"/>
      <c r="S89" s="364"/>
      <c r="T89" s="364"/>
      <c r="U89" s="365"/>
    </row>
    <row r="90" spans="1:21" x14ac:dyDescent="0.25">
      <c r="A90" s="11"/>
      <c r="B90" s="105" t="s">
        <v>238</v>
      </c>
      <c r="C90" s="331" t="s">
        <v>214</v>
      </c>
      <c r="D90" s="332" t="s">
        <v>59</v>
      </c>
      <c r="E90" s="103"/>
      <c r="F90" s="103"/>
      <c r="G90" s="103"/>
      <c r="H90" s="99">
        <f t="shared" si="59"/>
        <v>0</v>
      </c>
      <c r="J90" s="347"/>
      <c r="K90" s="347"/>
      <c r="L90" s="347"/>
      <c r="M90" s="347"/>
      <c r="N90" s="347"/>
      <c r="O90" s="347"/>
      <c r="P90" s="347"/>
      <c r="Q90" s="347"/>
      <c r="R90" s="347"/>
      <c r="S90" s="347"/>
      <c r="T90" s="347"/>
      <c r="U90" s="348"/>
    </row>
    <row r="91" spans="1:21" x14ac:dyDescent="0.25">
      <c r="A91" s="11"/>
      <c r="B91" s="105" t="s">
        <v>225</v>
      </c>
      <c r="C91" s="103">
        <v>720</v>
      </c>
      <c r="D91" s="332" t="s">
        <v>59</v>
      </c>
      <c r="E91" s="103"/>
      <c r="F91" s="103"/>
      <c r="G91" s="103"/>
      <c r="H91" s="99">
        <f t="shared" si="59"/>
        <v>0</v>
      </c>
      <c r="I91" s="46"/>
      <c r="J91" s="47">
        <f t="shared" ref="J91:U91" si="60">J115</f>
        <v>0</v>
      </c>
      <c r="K91" s="47">
        <f t="shared" si="60"/>
        <v>0</v>
      </c>
      <c r="L91" s="47">
        <f t="shared" si="60"/>
        <v>0</v>
      </c>
      <c r="M91" s="47">
        <f t="shared" si="60"/>
        <v>0</v>
      </c>
      <c r="N91" s="47">
        <f t="shared" si="60"/>
        <v>0</v>
      </c>
      <c r="O91" s="47">
        <f t="shared" si="60"/>
        <v>0</v>
      </c>
      <c r="P91" s="47">
        <f t="shared" si="60"/>
        <v>0</v>
      </c>
      <c r="Q91" s="47">
        <f t="shared" si="60"/>
        <v>0</v>
      </c>
      <c r="R91" s="47">
        <f t="shared" si="60"/>
        <v>0</v>
      </c>
      <c r="S91" s="47">
        <f t="shared" si="60"/>
        <v>0</v>
      </c>
      <c r="T91" s="47">
        <f t="shared" si="60"/>
        <v>0</v>
      </c>
      <c r="U91" s="48">
        <f t="shared" si="60"/>
        <v>0</v>
      </c>
    </row>
    <row r="92" spans="1:21" x14ac:dyDescent="0.25">
      <c r="A92" s="11"/>
      <c r="B92" s="105" t="s">
        <v>226</v>
      </c>
      <c r="C92" s="103">
        <v>720</v>
      </c>
      <c r="D92" s="332" t="s">
        <v>59</v>
      </c>
      <c r="E92" s="103"/>
      <c r="F92" s="103"/>
      <c r="G92" s="103"/>
      <c r="H92" s="99">
        <f t="shared" si="59"/>
        <v>0</v>
      </c>
      <c r="I92" s="46"/>
      <c r="J92" s="47">
        <f t="shared" ref="J92:U92" si="61">J114</f>
        <v>0</v>
      </c>
      <c r="K92" s="47">
        <f t="shared" si="61"/>
        <v>0</v>
      </c>
      <c r="L92" s="47">
        <f t="shared" si="61"/>
        <v>0</v>
      </c>
      <c r="M92" s="47">
        <f t="shared" si="61"/>
        <v>0</v>
      </c>
      <c r="N92" s="47">
        <f t="shared" si="61"/>
        <v>0</v>
      </c>
      <c r="O92" s="47">
        <f t="shared" si="61"/>
        <v>0</v>
      </c>
      <c r="P92" s="47">
        <f t="shared" si="61"/>
        <v>0</v>
      </c>
      <c r="Q92" s="47">
        <f t="shared" si="61"/>
        <v>0</v>
      </c>
      <c r="R92" s="47">
        <f t="shared" si="61"/>
        <v>0</v>
      </c>
      <c r="S92" s="47">
        <f t="shared" si="61"/>
        <v>0</v>
      </c>
      <c r="T92" s="47">
        <f t="shared" si="61"/>
        <v>0</v>
      </c>
      <c r="U92" s="48">
        <f t="shared" si="61"/>
        <v>0</v>
      </c>
    </row>
    <row r="93" spans="1:21" x14ac:dyDescent="0.25">
      <c r="A93" s="11"/>
      <c r="B93" s="105" t="s">
        <v>205</v>
      </c>
      <c r="C93" s="103">
        <v>720</v>
      </c>
      <c r="D93" s="332" t="s">
        <v>59</v>
      </c>
      <c r="E93" s="103"/>
      <c r="F93" s="103"/>
      <c r="G93" s="103"/>
      <c r="H93" s="99">
        <f t="shared" si="59"/>
        <v>0</v>
      </c>
      <c r="I93" s="46"/>
      <c r="J93" s="47">
        <f t="shared" ref="J93:U93" si="62">J118</f>
        <v>0</v>
      </c>
      <c r="K93" s="47">
        <f t="shared" si="62"/>
        <v>0</v>
      </c>
      <c r="L93" s="47">
        <f t="shared" si="62"/>
        <v>0</v>
      </c>
      <c r="M93" s="47">
        <f t="shared" si="62"/>
        <v>0</v>
      </c>
      <c r="N93" s="47">
        <f t="shared" si="62"/>
        <v>0</v>
      </c>
      <c r="O93" s="47">
        <f t="shared" si="62"/>
        <v>0</v>
      </c>
      <c r="P93" s="47">
        <f t="shared" si="62"/>
        <v>0</v>
      </c>
      <c r="Q93" s="47">
        <f t="shared" si="62"/>
        <v>0</v>
      </c>
      <c r="R93" s="47">
        <f t="shared" si="62"/>
        <v>0</v>
      </c>
      <c r="S93" s="47">
        <f t="shared" si="62"/>
        <v>0</v>
      </c>
      <c r="T93" s="47">
        <f t="shared" si="62"/>
        <v>0</v>
      </c>
      <c r="U93" s="48">
        <f t="shared" si="62"/>
        <v>0</v>
      </c>
    </row>
    <row r="94" spans="1:21" x14ac:dyDescent="0.25">
      <c r="A94" s="11"/>
      <c r="B94" s="105" t="s">
        <v>60</v>
      </c>
      <c r="C94" s="331" t="s">
        <v>194</v>
      </c>
      <c r="D94" s="332" t="s">
        <v>59</v>
      </c>
      <c r="E94" s="103"/>
      <c r="F94" s="103"/>
      <c r="G94" s="103"/>
      <c r="H94" s="99">
        <f t="shared" si="59"/>
        <v>0</v>
      </c>
      <c r="J94" s="47">
        <f t="shared" ref="J94:U94" si="63">J119</f>
        <v>0</v>
      </c>
      <c r="K94" s="47">
        <f t="shared" si="63"/>
        <v>0</v>
      </c>
      <c r="L94" s="47">
        <f t="shared" si="63"/>
        <v>0</v>
      </c>
      <c r="M94" s="47">
        <f t="shared" si="63"/>
        <v>0</v>
      </c>
      <c r="N94" s="47">
        <f t="shared" si="63"/>
        <v>0</v>
      </c>
      <c r="O94" s="47">
        <f t="shared" si="63"/>
        <v>0</v>
      </c>
      <c r="P94" s="47">
        <f t="shared" si="63"/>
        <v>0</v>
      </c>
      <c r="Q94" s="47">
        <f t="shared" si="63"/>
        <v>0</v>
      </c>
      <c r="R94" s="47">
        <f t="shared" si="63"/>
        <v>0</v>
      </c>
      <c r="S94" s="47">
        <f t="shared" si="63"/>
        <v>0</v>
      </c>
      <c r="T94" s="47">
        <f t="shared" si="63"/>
        <v>0</v>
      </c>
      <c r="U94" s="48">
        <f t="shared" si="63"/>
        <v>0</v>
      </c>
    </row>
    <row r="95" spans="1:21" x14ac:dyDescent="0.25">
      <c r="A95" s="11"/>
      <c r="B95" s="105" t="s">
        <v>80</v>
      </c>
      <c r="C95" s="331" t="s">
        <v>194</v>
      </c>
      <c r="D95" s="332" t="s">
        <v>59</v>
      </c>
      <c r="E95" s="103"/>
      <c r="F95" s="103"/>
      <c r="G95" s="103"/>
      <c r="H95" s="99">
        <f t="shared" si="59"/>
        <v>0</v>
      </c>
      <c r="J95" s="47">
        <f t="shared" ref="J95:U95" si="64">J120</f>
        <v>0</v>
      </c>
      <c r="K95" s="47">
        <f t="shared" si="64"/>
        <v>0</v>
      </c>
      <c r="L95" s="47">
        <f t="shared" si="64"/>
        <v>0</v>
      </c>
      <c r="M95" s="47">
        <f t="shared" si="64"/>
        <v>0</v>
      </c>
      <c r="N95" s="47">
        <f t="shared" si="64"/>
        <v>0</v>
      </c>
      <c r="O95" s="47">
        <f t="shared" si="64"/>
        <v>0</v>
      </c>
      <c r="P95" s="47">
        <f t="shared" si="64"/>
        <v>0</v>
      </c>
      <c r="Q95" s="47">
        <f t="shared" si="64"/>
        <v>0</v>
      </c>
      <c r="R95" s="47">
        <f t="shared" si="64"/>
        <v>0</v>
      </c>
      <c r="S95" s="47">
        <f t="shared" si="64"/>
        <v>0</v>
      </c>
      <c r="T95" s="47">
        <f t="shared" si="64"/>
        <v>0</v>
      </c>
      <c r="U95" s="48">
        <f t="shared" si="64"/>
        <v>0</v>
      </c>
    </row>
    <row r="96" spans="1:21" x14ac:dyDescent="0.25">
      <c r="A96" s="11"/>
      <c r="B96" s="105" t="s">
        <v>230</v>
      </c>
      <c r="C96" s="104">
        <v>305</v>
      </c>
      <c r="D96" s="332" t="s">
        <v>61</v>
      </c>
      <c r="E96" s="103"/>
      <c r="F96" s="103"/>
      <c r="G96" s="103"/>
      <c r="H96" s="99">
        <f t="shared" si="59"/>
        <v>0</v>
      </c>
      <c r="J96" s="364"/>
      <c r="K96" s="364"/>
      <c r="L96" s="364"/>
      <c r="M96" s="364"/>
      <c r="N96" s="364"/>
      <c r="O96" s="364"/>
      <c r="P96" s="364"/>
      <c r="Q96" s="364"/>
      <c r="R96" s="364"/>
      <c r="S96" s="364"/>
      <c r="T96" s="364"/>
      <c r="U96" s="365"/>
    </row>
    <row r="97" spans="1:23" x14ac:dyDescent="0.25">
      <c r="A97" s="11"/>
      <c r="B97" s="105" t="s">
        <v>231</v>
      </c>
      <c r="C97" s="104">
        <v>306</v>
      </c>
      <c r="D97" s="332" t="s">
        <v>61</v>
      </c>
      <c r="E97" s="4"/>
      <c r="F97" s="103"/>
      <c r="G97" s="103"/>
      <c r="H97" s="99">
        <f t="shared" si="59"/>
        <v>0</v>
      </c>
      <c r="J97" s="364"/>
      <c r="K97" s="364"/>
      <c r="L97" s="364"/>
      <c r="M97" s="364"/>
      <c r="N97" s="364"/>
      <c r="O97" s="364"/>
      <c r="P97" s="364"/>
      <c r="Q97" s="364"/>
      <c r="R97" s="364"/>
      <c r="S97" s="364"/>
      <c r="T97" s="364"/>
      <c r="U97" s="365"/>
    </row>
    <row r="98" spans="1:23" x14ac:dyDescent="0.25">
      <c r="A98" s="11"/>
      <c r="B98" s="105" t="s">
        <v>232</v>
      </c>
      <c r="C98" s="334" t="s">
        <v>195</v>
      </c>
      <c r="D98" s="332" t="s">
        <v>62</v>
      </c>
      <c r="E98" s="103"/>
      <c r="F98" s="103"/>
      <c r="G98" s="103"/>
      <c r="H98" s="99">
        <f t="shared" si="59"/>
        <v>0</v>
      </c>
      <c r="J98" s="364"/>
      <c r="K98" s="364"/>
      <c r="L98" s="364"/>
      <c r="M98" s="364"/>
      <c r="N98" s="364"/>
      <c r="O98" s="364"/>
      <c r="P98" s="364"/>
      <c r="Q98" s="364"/>
      <c r="R98" s="364"/>
      <c r="S98" s="364"/>
      <c r="T98" s="364"/>
      <c r="U98" s="365"/>
    </row>
    <row r="99" spans="1:23" x14ac:dyDescent="0.25">
      <c r="A99" s="11"/>
      <c r="B99" s="105" t="s">
        <v>233</v>
      </c>
      <c r="C99" s="334" t="s">
        <v>196</v>
      </c>
      <c r="D99" s="332" t="s">
        <v>62</v>
      </c>
      <c r="E99" s="103"/>
      <c r="F99" s="103"/>
      <c r="G99" s="103"/>
      <c r="H99" s="99">
        <f t="shared" si="59"/>
        <v>0</v>
      </c>
      <c r="J99" s="364"/>
      <c r="K99" s="364"/>
      <c r="L99" s="364"/>
      <c r="M99" s="364"/>
      <c r="N99" s="364"/>
      <c r="O99" s="364"/>
      <c r="P99" s="364"/>
      <c r="Q99" s="364"/>
      <c r="R99" s="364"/>
      <c r="S99" s="364"/>
      <c r="T99" s="364"/>
      <c r="U99" s="365"/>
    </row>
    <row r="100" spans="1:23" x14ac:dyDescent="0.25">
      <c r="A100" s="11"/>
      <c r="B100" s="105" t="s">
        <v>235</v>
      </c>
      <c r="C100" s="334" t="s">
        <v>197</v>
      </c>
      <c r="D100" s="332" t="s">
        <v>63</v>
      </c>
      <c r="E100" s="103"/>
      <c r="F100" s="103"/>
      <c r="G100" s="103"/>
      <c r="H100" s="99">
        <f t="shared" si="59"/>
        <v>0</v>
      </c>
      <c r="J100" s="364"/>
      <c r="K100" s="364"/>
      <c r="L100" s="364"/>
      <c r="M100" s="364"/>
      <c r="N100" s="364"/>
      <c r="O100" s="364"/>
      <c r="P100" s="364"/>
      <c r="Q100" s="364"/>
      <c r="R100" s="364"/>
      <c r="S100" s="364"/>
      <c r="T100" s="364"/>
      <c r="U100" s="365"/>
    </row>
    <row r="101" spans="1:23" x14ac:dyDescent="0.25">
      <c r="A101" s="11"/>
      <c r="B101" s="105" t="s">
        <v>64</v>
      </c>
      <c r="C101" s="334" t="s">
        <v>198</v>
      </c>
      <c r="D101" s="332" t="s">
        <v>63</v>
      </c>
      <c r="E101" s="104"/>
      <c r="F101" s="103"/>
      <c r="G101" s="400" t="e">
        <f>H101/$W$16</f>
        <v>#DIV/0!</v>
      </c>
      <c r="H101" s="99">
        <f t="shared" si="59"/>
        <v>0</v>
      </c>
      <c r="J101" s="364"/>
      <c r="K101" s="364"/>
      <c r="L101" s="364"/>
      <c r="M101" s="364"/>
      <c r="N101" s="364"/>
      <c r="O101" s="364"/>
      <c r="P101" s="364"/>
      <c r="Q101" s="364"/>
      <c r="R101" s="364"/>
      <c r="S101" s="364"/>
      <c r="T101" s="364"/>
      <c r="U101" s="365"/>
    </row>
    <row r="102" spans="1:23" x14ac:dyDescent="0.25">
      <c r="A102" s="11"/>
      <c r="B102" s="105" t="s">
        <v>65</v>
      </c>
      <c r="C102" s="334" t="s">
        <v>199</v>
      </c>
      <c r="D102" s="332" t="s">
        <v>63</v>
      </c>
      <c r="E102" s="104">
        <v>365</v>
      </c>
      <c r="F102" s="103"/>
      <c r="G102" s="103"/>
      <c r="H102" s="99">
        <f t="shared" si="59"/>
        <v>0</v>
      </c>
      <c r="J102" s="364"/>
      <c r="K102" s="364"/>
      <c r="L102" s="364"/>
      <c r="M102" s="364"/>
      <c r="N102" s="364"/>
      <c r="O102" s="364"/>
      <c r="P102" s="364"/>
      <c r="Q102" s="364"/>
      <c r="R102" s="364"/>
      <c r="S102" s="364"/>
      <c r="T102" s="364"/>
      <c r="U102" s="365"/>
    </row>
    <row r="103" spans="1:23" x14ac:dyDescent="0.25">
      <c r="A103" s="11"/>
      <c r="B103" s="105" t="s">
        <v>66</v>
      </c>
      <c r="C103" s="334" t="s">
        <v>200</v>
      </c>
      <c r="D103" s="332" t="s">
        <v>67</v>
      </c>
      <c r="E103" s="103">
        <v>338</v>
      </c>
      <c r="F103" s="103"/>
      <c r="G103" s="398">
        <v>0.33</v>
      </c>
      <c r="H103" s="99">
        <f t="shared" si="59"/>
        <v>0</v>
      </c>
      <c r="I103" s="46"/>
      <c r="J103" s="47">
        <f t="shared" ref="J103:U103" si="65">$G$103*J16</f>
        <v>0</v>
      </c>
      <c r="K103" s="47">
        <f t="shared" si="65"/>
        <v>0</v>
      </c>
      <c r="L103" s="47">
        <f t="shared" si="65"/>
        <v>0</v>
      </c>
      <c r="M103" s="47">
        <f t="shared" si="65"/>
        <v>0</v>
      </c>
      <c r="N103" s="47">
        <f t="shared" si="65"/>
        <v>0</v>
      </c>
      <c r="O103" s="47">
        <f t="shared" si="65"/>
        <v>0</v>
      </c>
      <c r="P103" s="47">
        <f t="shared" si="65"/>
        <v>0</v>
      </c>
      <c r="Q103" s="47">
        <f t="shared" si="65"/>
        <v>0</v>
      </c>
      <c r="R103" s="47">
        <f t="shared" si="65"/>
        <v>0</v>
      </c>
      <c r="S103" s="47">
        <f t="shared" si="65"/>
        <v>0</v>
      </c>
      <c r="T103" s="47">
        <f t="shared" si="65"/>
        <v>0</v>
      </c>
      <c r="U103" s="48">
        <f t="shared" si="65"/>
        <v>0</v>
      </c>
    </row>
    <row r="104" spans="1:23" x14ac:dyDescent="0.25">
      <c r="A104" s="11"/>
      <c r="B104" s="105" t="s">
        <v>234</v>
      </c>
      <c r="C104" s="104">
        <v>351</v>
      </c>
      <c r="D104" s="332" t="s">
        <v>67</v>
      </c>
      <c r="E104" s="103">
        <v>324</v>
      </c>
      <c r="F104" s="103"/>
      <c r="G104" s="399">
        <v>1.6000000000000001E-3</v>
      </c>
      <c r="H104" s="99">
        <f t="shared" si="59"/>
        <v>0</v>
      </c>
      <c r="J104" s="47">
        <f t="shared" ref="J104:U104" si="66">$G$104*J46/100</f>
        <v>0</v>
      </c>
      <c r="K104" s="47">
        <f t="shared" si="66"/>
        <v>0</v>
      </c>
      <c r="L104" s="47">
        <f t="shared" si="66"/>
        <v>0</v>
      </c>
      <c r="M104" s="47">
        <f t="shared" si="66"/>
        <v>0</v>
      </c>
      <c r="N104" s="47">
        <f t="shared" si="66"/>
        <v>0</v>
      </c>
      <c r="O104" s="47">
        <f t="shared" si="66"/>
        <v>0</v>
      </c>
      <c r="P104" s="47">
        <f t="shared" si="66"/>
        <v>0</v>
      </c>
      <c r="Q104" s="47">
        <f t="shared" si="66"/>
        <v>0</v>
      </c>
      <c r="R104" s="47">
        <f t="shared" si="66"/>
        <v>0</v>
      </c>
      <c r="S104" s="47">
        <f t="shared" si="66"/>
        <v>0</v>
      </c>
      <c r="T104" s="47">
        <f t="shared" si="66"/>
        <v>0</v>
      </c>
      <c r="U104" s="48">
        <f t="shared" si="66"/>
        <v>0</v>
      </c>
    </row>
    <row r="105" spans="1:23" ht="15.75" thickBot="1" x14ac:dyDescent="0.3">
      <c r="A105" s="11"/>
      <c r="B105" s="106" t="s">
        <v>68</v>
      </c>
      <c r="C105" s="333" t="s">
        <v>201</v>
      </c>
      <c r="D105" s="335" t="s">
        <v>67</v>
      </c>
      <c r="E105" s="108"/>
      <c r="F105" s="108"/>
      <c r="G105" s="398">
        <v>3.75</v>
      </c>
      <c r="H105" s="99">
        <f t="shared" si="59"/>
        <v>0</v>
      </c>
      <c r="J105" s="350">
        <f t="shared" ref="J105:U105" si="67">$G$105*J16</f>
        <v>0</v>
      </c>
      <c r="K105" s="350">
        <f t="shared" si="67"/>
        <v>0</v>
      </c>
      <c r="L105" s="350">
        <f t="shared" si="67"/>
        <v>0</v>
      </c>
      <c r="M105" s="350">
        <f t="shared" si="67"/>
        <v>0</v>
      </c>
      <c r="N105" s="350">
        <f t="shared" si="67"/>
        <v>0</v>
      </c>
      <c r="O105" s="350">
        <f t="shared" si="67"/>
        <v>0</v>
      </c>
      <c r="P105" s="350">
        <f t="shared" si="67"/>
        <v>0</v>
      </c>
      <c r="Q105" s="350">
        <f t="shared" si="67"/>
        <v>0</v>
      </c>
      <c r="R105" s="350">
        <f t="shared" si="67"/>
        <v>0</v>
      </c>
      <c r="S105" s="350">
        <f t="shared" si="67"/>
        <v>0</v>
      </c>
      <c r="T105" s="350">
        <f t="shared" si="67"/>
        <v>0</v>
      </c>
      <c r="U105" s="351">
        <f t="shared" si="67"/>
        <v>0</v>
      </c>
    </row>
    <row r="106" spans="1:23" x14ac:dyDescent="0.25">
      <c r="B106" s="11"/>
      <c r="U106" s="109"/>
    </row>
    <row r="107" spans="1:23" ht="15.75" thickBot="1" x14ac:dyDescent="0.3">
      <c r="A107" s="11"/>
      <c r="B107" s="110" t="s">
        <v>69</v>
      </c>
      <c r="C107" s="33"/>
      <c r="D107" s="33"/>
      <c r="E107" s="33"/>
      <c r="F107" s="33"/>
      <c r="G107" s="111" t="e">
        <f>H107/B127</f>
        <v>#DIV/0!</v>
      </c>
      <c r="H107" s="64">
        <f>SUM(H82:H105)</f>
        <v>0</v>
      </c>
      <c r="I107" s="112"/>
      <c r="J107" s="64">
        <f t="shared" ref="J107:U107" si="68">SUM(J82:J105)</f>
        <v>0</v>
      </c>
      <c r="K107" s="64">
        <f t="shared" si="68"/>
        <v>0</v>
      </c>
      <c r="L107" s="64">
        <f t="shared" si="68"/>
        <v>0</v>
      </c>
      <c r="M107" s="64">
        <f t="shared" si="68"/>
        <v>0</v>
      </c>
      <c r="N107" s="64">
        <f t="shared" si="68"/>
        <v>0</v>
      </c>
      <c r="O107" s="64">
        <f t="shared" si="68"/>
        <v>0</v>
      </c>
      <c r="P107" s="64">
        <f t="shared" si="68"/>
        <v>0</v>
      </c>
      <c r="Q107" s="64">
        <f t="shared" si="68"/>
        <v>0</v>
      </c>
      <c r="R107" s="64">
        <f t="shared" si="68"/>
        <v>0</v>
      </c>
      <c r="S107" s="64">
        <f t="shared" si="68"/>
        <v>0</v>
      </c>
      <c r="T107" s="64">
        <f t="shared" si="68"/>
        <v>0</v>
      </c>
      <c r="U107" s="66">
        <f t="shared" si="68"/>
        <v>0</v>
      </c>
    </row>
    <row r="108" spans="1:23" ht="15.75" thickBot="1" x14ac:dyDescent="0.3"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</row>
    <row r="109" spans="1:23" ht="16.5" thickTop="1" thickBot="1" x14ac:dyDescent="0.3">
      <c r="B109" s="113" t="s">
        <v>70</v>
      </c>
      <c r="C109" s="114"/>
      <c r="D109" s="114"/>
      <c r="E109" s="114"/>
      <c r="F109" s="114"/>
      <c r="G109" s="115"/>
      <c r="H109" s="116">
        <f>H51+H78+H107</f>
        <v>0</v>
      </c>
      <c r="I109" s="115"/>
      <c r="J109" s="116">
        <f t="shared" ref="J109:U109" si="69">J51+J78+J107</f>
        <v>0</v>
      </c>
      <c r="K109" s="116">
        <f t="shared" si="69"/>
        <v>0</v>
      </c>
      <c r="L109" s="116">
        <f t="shared" si="69"/>
        <v>0</v>
      </c>
      <c r="M109" s="116">
        <f t="shared" si="69"/>
        <v>0</v>
      </c>
      <c r="N109" s="116">
        <f t="shared" si="69"/>
        <v>0</v>
      </c>
      <c r="O109" s="116">
        <f t="shared" si="69"/>
        <v>0</v>
      </c>
      <c r="P109" s="116">
        <f t="shared" si="69"/>
        <v>0</v>
      </c>
      <c r="Q109" s="116">
        <f t="shared" si="69"/>
        <v>0</v>
      </c>
      <c r="R109" s="116">
        <f t="shared" si="69"/>
        <v>0</v>
      </c>
      <c r="S109" s="116">
        <f t="shared" si="69"/>
        <v>0</v>
      </c>
      <c r="T109" s="116">
        <f t="shared" si="69"/>
        <v>0</v>
      </c>
      <c r="U109" s="117">
        <f t="shared" si="69"/>
        <v>0</v>
      </c>
      <c r="W109" s="67">
        <f>SUM(J109:U109)</f>
        <v>0</v>
      </c>
    </row>
    <row r="110" spans="1:23" ht="15.75" thickBot="1" x14ac:dyDescent="0.3"/>
    <row r="111" spans="1:23" ht="16.5" thickTop="1" thickBot="1" x14ac:dyDescent="0.3">
      <c r="B111" s="113" t="s">
        <v>71</v>
      </c>
      <c r="C111" s="114"/>
      <c r="D111" s="114"/>
      <c r="E111" s="114"/>
      <c r="F111" s="114"/>
      <c r="G111" s="114"/>
      <c r="H111" s="116">
        <f>H46-H109</f>
        <v>0</v>
      </c>
      <c r="I111" s="115"/>
      <c r="J111" s="116">
        <f t="shared" ref="J111:U111" si="70">J46-J109</f>
        <v>0</v>
      </c>
      <c r="K111" s="116">
        <f t="shared" si="70"/>
        <v>0</v>
      </c>
      <c r="L111" s="116">
        <f t="shared" si="70"/>
        <v>0</v>
      </c>
      <c r="M111" s="116">
        <f t="shared" si="70"/>
        <v>0</v>
      </c>
      <c r="N111" s="116">
        <f t="shared" si="70"/>
        <v>0</v>
      </c>
      <c r="O111" s="116">
        <f t="shared" si="70"/>
        <v>0</v>
      </c>
      <c r="P111" s="116">
        <f t="shared" si="70"/>
        <v>0</v>
      </c>
      <c r="Q111" s="116">
        <f t="shared" si="70"/>
        <v>0</v>
      </c>
      <c r="R111" s="116">
        <f t="shared" si="70"/>
        <v>0</v>
      </c>
      <c r="S111" s="116">
        <f t="shared" si="70"/>
        <v>0</v>
      </c>
      <c r="T111" s="116">
        <f t="shared" si="70"/>
        <v>0</v>
      </c>
      <c r="U111" s="117">
        <f t="shared" si="70"/>
        <v>0</v>
      </c>
      <c r="W111" s="67">
        <f>SUM(J111:U111)</f>
        <v>0</v>
      </c>
    </row>
    <row r="112" spans="1:23" ht="15.75" thickBot="1" x14ac:dyDescent="0.3"/>
    <row r="113" spans="2:21" x14ac:dyDescent="0.25">
      <c r="B113" s="71" t="s">
        <v>72</v>
      </c>
      <c r="C113" s="80" t="s">
        <v>44</v>
      </c>
      <c r="D113" s="42" t="s">
        <v>220</v>
      </c>
      <c r="E113" s="42" t="s">
        <v>203</v>
      </c>
      <c r="F113" s="42" t="s">
        <v>240</v>
      </c>
      <c r="G113" s="42" t="s">
        <v>239</v>
      </c>
      <c r="H113" s="9"/>
      <c r="I113" s="118"/>
      <c r="J113" s="448" t="s">
        <v>73</v>
      </c>
      <c r="K113" s="448"/>
      <c r="L113" s="448"/>
      <c r="M113" s="448"/>
      <c r="N113" s="448"/>
      <c r="O113" s="448"/>
      <c r="P113" s="448"/>
      <c r="Q113" s="448"/>
      <c r="R113" s="448"/>
      <c r="S113" s="448"/>
      <c r="T113" s="448"/>
      <c r="U113" s="449"/>
    </row>
    <row r="114" spans="2:21" x14ac:dyDescent="0.25">
      <c r="B114" s="119" t="s">
        <v>74</v>
      </c>
      <c r="C114" s="340">
        <v>720</v>
      </c>
      <c r="D114" s="120" t="s">
        <v>59</v>
      </c>
      <c r="E114" s="121" t="s">
        <v>75</v>
      </c>
      <c r="F114" s="401"/>
      <c r="G114" s="345">
        <f t="shared" ref="G114:G122" si="71">IFERROR(H114/F114,0)</f>
        <v>0</v>
      </c>
      <c r="H114" s="345">
        <f t="shared" ref="H114:H122" si="72">SUM(J114:U114)</f>
        <v>0</v>
      </c>
      <c r="J114" s="366"/>
      <c r="K114" s="366"/>
      <c r="L114" s="366"/>
      <c r="M114" s="366"/>
      <c r="N114" s="366"/>
      <c r="O114" s="366"/>
      <c r="P114" s="366"/>
      <c r="Q114" s="366"/>
      <c r="R114" s="366"/>
      <c r="S114" s="366"/>
      <c r="T114" s="366"/>
      <c r="U114" s="367"/>
    </row>
    <row r="115" spans="2:21" x14ac:dyDescent="0.25">
      <c r="B115" s="119" t="s">
        <v>76</v>
      </c>
      <c r="C115" s="340">
        <v>720</v>
      </c>
      <c r="D115" s="120" t="s">
        <v>59</v>
      </c>
      <c r="E115" s="121" t="s">
        <v>75</v>
      </c>
      <c r="F115" s="401"/>
      <c r="G115" s="345">
        <f t="shared" si="71"/>
        <v>0</v>
      </c>
      <c r="H115" s="345">
        <f t="shared" si="72"/>
        <v>0</v>
      </c>
      <c r="J115" s="366"/>
      <c r="K115" s="366"/>
      <c r="L115" s="366"/>
      <c r="M115" s="366"/>
      <c r="N115" s="366"/>
      <c r="O115" s="366"/>
      <c r="P115" s="366"/>
      <c r="Q115" s="366"/>
      <c r="R115" s="366"/>
      <c r="S115" s="366"/>
      <c r="T115" s="366"/>
      <c r="U115" s="368"/>
    </row>
    <row r="116" spans="2:21" x14ac:dyDescent="0.25">
      <c r="B116" s="119" t="s">
        <v>77</v>
      </c>
      <c r="C116" s="340">
        <v>720</v>
      </c>
      <c r="D116" s="120" t="s">
        <v>59</v>
      </c>
      <c r="E116" s="121" t="s">
        <v>75</v>
      </c>
      <c r="F116" s="401"/>
      <c r="G116" s="345">
        <f t="shared" si="71"/>
        <v>0</v>
      </c>
      <c r="H116" s="345">
        <f t="shared" si="72"/>
        <v>0</v>
      </c>
      <c r="J116" s="366"/>
      <c r="K116" s="366"/>
      <c r="L116" s="366"/>
      <c r="M116" s="366"/>
      <c r="N116" s="366"/>
      <c r="O116" s="366"/>
      <c r="P116" s="366"/>
      <c r="Q116" s="366"/>
      <c r="R116" s="366"/>
      <c r="S116" s="366"/>
      <c r="T116" s="366"/>
      <c r="U116" s="368"/>
    </row>
    <row r="117" spans="2:21" x14ac:dyDescent="0.25">
      <c r="B117" s="119" t="s">
        <v>78</v>
      </c>
      <c r="C117" s="340">
        <v>720</v>
      </c>
      <c r="D117" s="120" t="s">
        <v>59</v>
      </c>
      <c r="E117" s="121" t="s">
        <v>75</v>
      </c>
      <c r="F117" s="401"/>
      <c r="G117" s="345">
        <f t="shared" si="71"/>
        <v>0</v>
      </c>
      <c r="H117" s="345">
        <f t="shared" si="72"/>
        <v>0</v>
      </c>
      <c r="J117" s="366"/>
      <c r="K117" s="366"/>
      <c r="L117" s="366"/>
      <c r="M117" s="366"/>
      <c r="N117" s="366"/>
      <c r="O117" s="366"/>
      <c r="P117" s="366"/>
      <c r="Q117" s="366"/>
      <c r="R117" s="366"/>
      <c r="S117" s="366"/>
      <c r="T117" s="366"/>
      <c r="U117" s="368"/>
    </row>
    <row r="118" spans="2:21" x14ac:dyDescent="0.25">
      <c r="B118" s="119" t="s">
        <v>205</v>
      </c>
      <c r="C118" s="340">
        <v>720</v>
      </c>
      <c r="D118" s="120" t="s">
        <v>59</v>
      </c>
      <c r="E118" s="121" t="s">
        <v>206</v>
      </c>
      <c r="F118" s="401"/>
      <c r="G118" s="345">
        <f t="shared" si="71"/>
        <v>0</v>
      </c>
      <c r="H118" s="345">
        <f t="shared" si="72"/>
        <v>0</v>
      </c>
      <c r="J118" s="366"/>
      <c r="K118" s="366"/>
      <c r="L118" s="366"/>
      <c r="M118" s="366"/>
      <c r="N118" s="366"/>
      <c r="O118" s="366"/>
      <c r="P118" s="366"/>
      <c r="Q118" s="366"/>
      <c r="R118" s="366"/>
      <c r="S118" s="366"/>
      <c r="T118" s="366"/>
      <c r="U118" s="368"/>
    </row>
    <row r="119" spans="2:21" x14ac:dyDescent="0.25">
      <c r="B119" s="119" t="s">
        <v>60</v>
      </c>
      <c r="C119" s="341" t="s">
        <v>194</v>
      </c>
      <c r="D119" s="120" t="s">
        <v>59</v>
      </c>
      <c r="E119" s="121" t="s">
        <v>79</v>
      </c>
      <c r="F119" s="401"/>
      <c r="G119" s="345">
        <f t="shared" si="71"/>
        <v>0</v>
      </c>
      <c r="H119" s="345">
        <f t="shared" si="72"/>
        <v>0</v>
      </c>
      <c r="J119" s="366"/>
      <c r="K119" s="366"/>
      <c r="L119" s="366"/>
      <c r="M119" s="366"/>
      <c r="N119" s="366"/>
      <c r="O119" s="366"/>
      <c r="P119" s="366"/>
      <c r="Q119" s="366"/>
      <c r="R119" s="366"/>
      <c r="S119" s="366"/>
      <c r="T119" s="366"/>
      <c r="U119" s="368"/>
    </row>
    <row r="120" spans="2:21" x14ac:dyDescent="0.25">
      <c r="B120" s="119" t="s">
        <v>80</v>
      </c>
      <c r="C120" s="341" t="s">
        <v>194</v>
      </c>
      <c r="D120" s="120" t="s">
        <v>59</v>
      </c>
      <c r="E120" s="121" t="s">
        <v>81</v>
      </c>
      <c r="F120" s="401"/>
      <c r="G120" s="345">
        <f t="shared" si="71"/>
        <v>0</v>
      </c>
      <c r="H120" s="345">
        <f t="shared" si="72"/>
        <v>0</v>
      </c>
      <c r="J120" s="366"/>
      <c r="K120" s="366"/>
      <c r="L120" s="366"/>
      <c r="M120" s="366"/>
      <c r="N120" s="366"/>
      <c r="O120" s="366"/>
      <c r="P120" s="366"/>
      <c r="Q120" s="366"/>
      <c r="R120" s="366"/>
      <c r="S120" s="366"/>
      <c r="T120" s="366"/>
      <c r="U120" s="368"/>
    </row>
    <row r="121" spans="2:21" x14ac:dyDescent="0.25">
      <c r="B121" s="336" t="s">
        <v>237</v>
      </c>
      <c r="C121" s="342" t="s">
        <v>195</v>
      </c>
      <c r="D121" s="337" t="s">
        <v>62</v>
      </c>
      <c r="E121" s="338" t="s">
        <v>79</v>
      </c>
      <c r="F121" s="402"/>
      <c r="G121" s="345">
        <f t="shared" si="71"/>
        <v>0</v>
      </c>
      <c r="H121" s="345">
        <f t="shared" si="72"/>
        <v>0</v>
      </c>
      <c r="J121" s="366"/>
      <c r="K121" s="366"/>
      <c r="L121" s="366"/>
      <c r="M121" s="366"/>
      <c r="N121" s="366"/>
      <c r="O121" s="366"/>
      <c r="P121" s="366"/>
      <c r="Q121" s="366"/>
      <c r="R121" s="366"/>
      <c r="S121" s="366"/>
      <c r="T121" s="366"/>
      <c r="U121" s="369"/>
    </row>
    <row r="122" spans="2:21" ht="15.75" thickBot="1" x14ac:dyDescent="0.3">
      <c r="B122" s="125" t="s">
        <v>236</v>
      </c>
      <c r="C122" s="343" t="s">
        <v>195</v>
      </c>
      <c r="D122" s="126" t="s">
        <v>62</v>
      </c>
      <c r="E122" s="127" t="s">
        <v>81</v>
      </c>
      <c r="F122" s="403"/>
      <c r="G122" s="437">
        <f t="shared" si="71"/>
        <v>0</v>
      </c>
      <c r="H122" s="346">
        <f t="shared" si="72"/>
        <v>0</v>
      </c>
      <c r="I122" s="33"/>
      <c r="J122" s="370"/>
      <c r="K122" s="370"/>
      <c r="L122" s="370"/>
      <c r="M122" s="370"/>
      <c r="N122" s="370"/>
      <c r="O122" s="370"/>
      <c r="P122" s="370"/>
      <c r="Q122" s="370"/>
      <c r="R122" s="370"/>
      <c r="S122" s="370"/>
      <c r="T122" s="370"/>
      <c r="U122" s="371"/>
    </row>
    <row r="123" spans="2:21" x14ac:dyDescent="0.25">
      <c r="J123" s="131"/>
      <c r="K123" s="131"/>
      <c r="L123" s="131"/>
      <c r="M123" s="131"/>
      <c r="N123" s="131"/>
      <c r="O123" s="131"/>
      <c r="P123" s="131"/>
      <c r="Q123" s="131"/>
      <c r="R123" s="131"/>
      <c r="S123" s="131"/>
      <c r="T123" s="131"/>
      <c r="U123" s="131"/>
    </row>
    <row r="124" spans="2:21" ht="15.75" thickBot="1" x14ac:dyDescent="0.3">
      <c r="J124" s="131"/>
      <c r="K124" s="131"/>
      <c r="L124" s="131"/>
      <c r="M124" s="131"/>
      <c r="N124" s="131"/>
      <c r="O124" s="131"/>
      <c r="P124" s="131"/>
      <c r="Q124" s="131"/>
      <c r="R124" s="131"/>
      <c r="S124" s="131"/>
      <c r="T124" s="131"/>
      <c r="U124" s="131"/>
    </row>
    <row r="125" spans="2:21" x14ac:dyDescent="0.25">
      <c r="B125" s="71" t="s">
        <v>82</v>
      </c>
      <c r="C125" s="9"/>
      <c r="D125" s="9"/>
      <c r="E125" s="9"/>
      <c r="F125" s="9"/>
      <c r="G125" s="40"/>
      <c r="J125" s="131"/>
      <c r="K125" s="131"/>
      <c r="L125" s="131"/>
      <c r="M125" s="131"/>
      <c r="N125" s="131"/>
      <c r="O125" s="131"/>
      <c r="P125" s="131"/>
      <c r="Q125" s="131"/>
      <c r="R125" s="131"/>
      <c r="S125" s="131"/>
      <c r="T125" s="131"/>
      <c r="U125" s="131"/>
    </row>
    <row r="126" spans="2:21" x14ac:dyDescent="0.25">
      <c r="B126" s="132" t="s">
        <v>83</v>
      </c>
      <c r="C126" s="43" t="s">
        <v>84</v>
      </c>
      <c r="D126"/>
      <c r="E126"/>
      <c r="F126" s="450" t="s">
        <v>85</v>
      </c>
      <c r="G126" s="451"/>
      <c r="I126" s="131"/>
      <c r="J126" s="131"/>
      <c r="K126" s="131"/>
      <c r="L126" s="131"/>
      <c r="M126" s="131"/>
      <c r="N126" s="131"/>
      <c r="O126" s="131"/>
      <c r="P126" s="131"/>
      <c r="Q126" s="131"/>
      <c r="R126" s="131"/>
      <c r="S126" s="131"/>
      <c r="T126" s="131"/>
    </row>
    <row r="127" spans="2:21" ht="18.75" x14ac:dyDescent="0.3">
      <c r="B127" s="133">
        <f>W16</f>
        <v>0</v>
      </c>
      <c r="C127" s="134"/>
      <c r="D127" s="134"/>
      <c r="E127" s="134"/>
      <c r="F127" s="135"/>
      <c r="G127" s="136"/>
      <c r="I127" s="131"/>
      <c r="J127" s="131"/>
      <c r="K127" s="131"/>
      <c r="L127" s="131"/>
      <c r="M127" s="131"/>
      <c r="N127" s="131"/>
      <c r="O127" s="131"/>
      <c r="P127" s="131"/>
      <c r="Q127" s="131"/>
      <c r="R127" s="131"/>
      <c r="S127" s="131"/>
      <c r="T127" s="131"/>
    </row>
    <row r="128" spans="2:21" x14ac:dyDescent="0.25">
      <c r="B128" s="137" t="s">
        <v>86</v>
      </c>
      <c r="C128" s="134"/>
      <c r="D128" s="134"/>
      <c r="E128" s="138">
        <f>H46</f>
        <v>0</v>
      </c>
      <c r="F128" s="135"/>
      <c r="G128" s="139" t="e">
        <f>E128/$B$127</f>
        <v>#DIV/0!</v>
      </c>
      <c r="I128" s="131"/>
      <c r="J128" s="131"/>
      <c r="K128" s="131"/>
      <c r="L128" s="131"/>
      <c r="M128" s="131"/>
      <c r="N128" s="131"/>
      <c r="O128" s="131"/>
      <c r="P128" s="131"/>
      <c r="Q128" s="131"/>
      <c r="R128" s="131"/>
      <c r="S128" s="131"/>
      <c r="T128" s="131"/>
    </row>
    <row r="129" spans="2:21" ht="9" customHeight="1" x14ac:dyDescent="0.25">
      <c r="B129" s="11"/>
      <c r="C129" s="134"/>
      <c r="D129" s="134"/>
      <c r="E129" s="134"/>
      <c r="F129" s="135"/>
      <c r="G129" s="136"/>
      <c r="I129" s="131"/>
      <c r="J129" s="131"/>
      <c r="K129" s="131"/>
      <c r="L129" s="131"/>
      <c r="M129" s="131"/>
      <c r="N129" s="131"/>
      <c r="O129" s="131"/>
      <c r="P129" s="131"/>
      <c r="Q129" s="131"/>
      <c r="R129" s="131"/>
      <c r="S129" s="131"/>
      <c r="T129" s="131"/>
    </row>
    <row r="130" spans="2:21" x14ac:dyDescent="0.25">
      <c r="B130" s="137" t="s">
        <v>87</v>
      </c>
      <c r="C130" s="134"/>
      <c r="D130" s="134"/>
      <c r="E130" s="134"/>
      <c r="F130" s="135"/>
      <c r="G130" s="136"/>
      <c r="I130" s="131"/>
      <c r="J130" s="131"/>
      <c r="K130" s="131"/>
      <c r="L130" s="131"/>
      <c r="M130" s="131"/>
      <c r="N130" s="131"/>
      <c r="O130" s="131"/>
      <c r="P130" s="131"/>
      <c r="Q130" s="131"/>
      <c r="R130" s="131"/>
      <c r="S130" s="131"/>
      <c r="T130" s="131"/>
    </row>
    <row r="131" spans="2:21" x14ac:dyDescent="0.25">
      <c r="B131" s="24" t="s">
        <v>88</v>
      </c>
      <c r="C131" s="138">
        <f>H51+SUM(H82:H89)</f>
        <v>0</v>
      </c>
      <c r="D131" s="138"/>
      <c r="E131" s="134"/>
      <c r="F131" s="140" t="e">
        <f t="shared" ref="F131:F138" si="73">C131/$B$127</f>
        <v>#DIV/0!</v>
      </c>
      <c r="G131" s="136"/>
      <c r="I131" s="131"/>
      <c r="J131" s="131"/>
      <c r="K131" s="131"/>
      <c r="L131" s="131"/>
      <c r="M131" s="131"/>
      <c r="N131" s="131"/>
      <c r="O131" s="131"/>
      <c r="P131" s="131"/>
      <c r="Q131" s="131"/>
      <c r="R131" s="131"/>
      <c r="S131" s="131"/>
      <c r="T131" s="131"/>
    </row>
    <row r="132" spans="2:21" x14ac:dyDescent="0.25">
      <c r="B132" s="24" t="s">
        <v>89</v>
      </c>
      <c r="C132" s="138">
        <f>H78</f>
        <v>0</v>
      </c>
      <c r="D132" s="138"/>
      <c r="E132" s="134"/>
      <c r="F132" s="140" t="e">
        <f t="shared" si="73"/>
        <v>#DIV/0!</v>
      </c>
      <c r="G132" s="136"/>
      <c r="I132" s="131"/>
      <c r="J132" s="131"/>
      <c r="K132" s="131"/>
      <c r="L132" s="131"/>
      <c r="M132" s="131"/>
      <c r="N132" s="131"/>
      <c r="O132" s="131"/>
      <c r="P132" s="131"/>
      <c r="Q132" s="131"/>
      <c r="R132" s="131"/>
      <c r="S132" s="131"/>
      <c r="T132" s="131"/>
    </row>
    <row r="133" spans="2:21" x14ac:dyDescent="0.25">
      <c r="B133" s="24" t="s">
        <v>59</v>
      </c>
      <c r="C133" s="138">
        <f>SUM(H90:H95)</f>
        <v>0</v>
      </c>
      <c r="D133" s="138"/>
      <c r="E133" s="134"/>
      <c r="F133" s="140" t="e">
        <f t="shared" si="73"/>
        <v>#DIV/0!</v>
      </c>
      <c r="G133" s="136"/>
      <c r="I133" s="131"/>
      <c r="J133" s="131"/>
      <c r="K133" s="131"/>
      <c r="L133" s="131"/>
      <c r="M133" s="131"/>
      <c r="N133" s="131"/>
      <c r="O133" s="131"/>
      <c r="P133" s="131"/>
      <c r="Q133" s="148"/>
      <c r="R133" s="131"/>
      <c r="S133" s="131"/>
      <c r="T133" s="131"/>
    </row>
    <row r="134" spans="2:21" x14ac:dyDescent="0.25">
      <c r="B134" s="24" t="s">
        <v>90</v>
      </c>
      <c r="C134" s="138">
        <f>SUM(H96:H97)</f>
        <v>0</v>
      </c>
      <c r="D134" s="138"/>
      <c r="E134" s="134"/>
      <c r="F134" s="140" t="e">
        <f t="shared" si="73"/>
        <v>#DIV/0!</v>
      </c>
      <c r="G134" s="136"/>
      <c r="I134" s="131"/>
      <c r="J134" s="131"/>
      <c r="K134" s="131"/>
      <c r="L134" s="131"/>
      <c r="M134" s="131"/>
      <c r="N134" s="131"/>
      <c r="O134" s="131"/>
      <c r="P134" s="131"/>
      <c r="Q134" s="131"/>
      <c r="R134" s="131"/>
      <c r="S134" s="131"/>
      <c r="T134" s="131"/>
    </row>
    <row r="135" spans="2:21" x14ac:dyDescent="0.25">
      <c r="B135" s="24" t="s">
        <v>91</v>
      </c>
      <c r="C135" s="138">
        <f>SUM(H98:H99)</f>
        <v>0</v>
      </c>
      <c r="D135" s="138"/>
      <c r="E135" s="134"/>
      <c r="F135" s="140" t="e">
        <f t="shared" si="73"/>
        <v>#DIV/0!</v>
      </c>
      <c r="G135" s="136"/>
      <c r="I135" s="131"/>
      <c r="J135" s="131"/>
      <c r="K135" s="131"/>
      <c r="L135" s="131"/>
      <c r="M135" s="131"/>
      <c r="N135" s="131"/>
      <c r="O135" s="131"/>
      <c r="P135" s="131"/>
      <c r="Q135" s="131"/>
      <c r="R135" s="131"/>
      <c r="S135" s="131"/>
      <c r="T135" s="131"/>
    </row>
    <row r="136" spans="2:21" x14ac:dyDescent="0.25">
      <c r="B136" s="24" t="s">
        <v>63</v>
      </c>
      <c r="C136" s="138">
        <f>SUM(H100:H102)</f>
        <v>0</v>
      </c>
      <c r="D136" s="138"/>
      <c r="E136" s="134"/>
      <c r="F136" s="140" t="e">
        <f t="shared" si="73"/>
        <v>#DIV/0!</v>
      </c>
      <c r="G136" s="136"/>
      <c r="I136" s="131"/>
      <c r="J136" s="131"/>
      <c r="K136" s="131"/>
      <c r="L136" s="131"/>
      <c r="M136" s="131"/>
      <c r="N136" s="131"/>
      <c r="O136" s="131"/>
      <c r="P136" s="131"/>
      <c r="Q136" s="131"/>
      <c r="R136" s="131"/>
      <c r="S136" s="131"/>
      <c r="T136" s="131"/>
    </row>
    <row r="137" spans="2:21" x14ac:dyDescent="0.25">
      <c r="B137" s="24" t="s">
        <v>68</v>
      </c>
      <c r="C137" s="138">
        <f>H105</f>
        <v>0</v>
      </c>
      <c r="D137" s="138"/>
      <c r="E137" s="134"/>
      <c r="F137" s="140" t="e">
        <f t="shared" si="73"/>
        <v>#DIV/0!</v>
      </c>
      <c r="G137" s="136"/>
      <c r="I137" s="131"/>
      <c r="J137" s="131"/>
      <c r="K137" s="131"/>
      <c r="L137" s="131"/>
      <c r="M137" s="131"/>
      <c r="N137" s="131"/>
      <c r="O137" s="131"/>
      <c r="P137" s="131"/>
      <c r="Q137" s="131"/>
      <c r="R137" s="131"/>
      <c r="S137" s="131"/>
      <c r="T137" s="131"/>
    </row>
    <row r="138" spans="2:21" x14ac:dyDescent="0.25">
      <c r="B138" s="24" t="s">
        <v>92</v>
      </c>
      <c r="C138" s="141">
        <f>SUM(H103:H104)</f>
        <v>0</v>
      </c>
      <c r="D138" s="141"/>
      <c r="E138" s="141">
        <f>SUM(C131:C138)</f>
        <v>0</v>
      </c>
      <c r="F138" s="142" t="e">
        <f t="shared" si="73"/>
        <v>#DIV/0!</v>
      </c>
      <c r="G138" s="143" t="e">
        <f>SUM(F131:F138)</f>
        <v>#DIV/0!</v>
      </c>
      <c r="I138" s="131"/>
      <c r="J138" s="131"/>
      <c r="K138" s="131"/>
      <c r="L138" s="131"/>
      <c r="M138" s="131"/>
      <c r="N138" s="131"/>
      <c r="O138" s="131"/>
      <c r="P138" s="131"/>
      <c r="Q138" s="131"/>
      <c r="R138" s="131"/>
      <c r="S138" s="131"/>
      <c r="T138" s="131"/>
    </row>
    <row r="139" spans="2:21" ht="19.5" thickBot="1" x14ac:dyDescent="0.35">
      <c r="B139" s="32"/>
      <c r="C139" s="144"/>
      <c r="D139" s="144"/>
      <c r="E139" s="145">
        <f>E128-E138</f>
        <v>0</v>
      </c>
      <c r="F139" s="146"/>
      <c r="G139" s="147" t="e">
        <f>G128-G138</f>
        <v>#DIV/0!</v>
      </c>
      <c r="I139" s="131"/>
      <c r="J139" s="131"/>
      <c r="K139" s="131"/>
      <c r="L139" s="131"/>
      <c r="M139" s="131"/>
      <c r="N139" s="131"/>
      <c r="O139" s="131"/>
      <c r="P139" s="131"/>
      <c r="Q139" s="131"/>
      <c r="R139" s="131"/>
      <c r="S139" s="131"/>
      <c r="T139" s="131"/>
    </row>
    <row r="140" spans="2:21" x14ac:dyDescent="0.25">
      <c r="J140" s="131"/>
      <c r="K140" s="131"/>
      <c r="L140" s="131"/>
      <c r="M140" s="131"/>
      <c r="N140" s="131"/>
      <c r="O140" s="131"/>
      <c r="P140" s="131"/>
      <c r="Q140" s="131"/>
      <c r="R140" s="131"/>
      <c r="S140" s="131"/>
      <c r="T140" s="131"/>
      <c r="U140" s="131"/>
    </row>
    <row r="141" spans="2:21" x14ac:dyDescent="0.25">
      <c r="J141" s="131"/>
      <c r="K141" s="131"/>
      <c r="L141" s="131"/>
      <c r="M141" s="131"/>
      <c r="N141" s="131"/>
      <c r="O141" s="131"/>
      <c r="P141" s="131"/>
      <c r="Q141" s="131"/>
      <c r="R141" s="131"/>
      <c r="S141" s="131"/>
      <c r="T141" s="131"/>
      <c r="U141" s="131"/>
    </row>
    <row r="142" spans="2:21" x14ac:dyDescent="0.25">
      <c r="J142" s="131"/>
      <c r="K142" s="131"/>
      <c r="L142" s="131"/>
      <c r="M142" s="148"/>
      <c r="N142" s="131"/>
      <c r="O142" s="131"/>
      <c r="P142" s="131"/>
      <c r="Q142" s="131"/>
      <c r="R142" s="131"/>
      <c r="S142" s="131"/>
      <c r="T142" s="131"/>
      <c r="U142" s="131"/>
    </row>
  </sheetData>
  <sheetProtection algorithmName="SHA-512" hashValue="seebmBdicctd0PfL8bTFtZnyukNdwagMTeymBngvLNSTJWvjDeII91j44wPjyLq1MurEOSKUVdphNKcC9UDklw==" saltValue="gtwUEUFhIYMlbRoaWVWYMQ==" spinCount="100000" sheet="1" objects="1" scenarios="1" selectLockedCells="1"/>
  <protectedRanges>
    <protectedRange sqref="J7:U13" name="Production_1"/>
    <protectedRange sqref="J4:U6" name="Production_1_1"/>
    <protectedRange sqref="F41:G41" name="JAS converions_1"/>
    <protectedRange sqref="G56:G77" name="Log transport costs_1"/>
    <protectedRange sqref="C20:C40" name="Grade mix_1"/>
    <protectedRange sqref="F20:G40" name="JAS converions_1_1"/>
  </protectedRanges>
  <mergeCells count="6">
    <mergeCell ref="J113:U113"/>
    <mergeCell ref="F126:G126"/>
    <mergeCell ref="I10:I12"/>
    <mergeCell ref="I13:I16"/>
    <mergeCell ref="I4:I6"/>
    <mergeCell ref="I7:I9"/>
  </mergeCells>
  <conditionalFormatting sqref="C42">
    <cfRule type="cellIs" dxfId="11" priority="1" operator="greaterThan">
      <formula>0.99</formula>
    </cfRule>
  </conditionalFormatting>
  <dataValidations count="1">
    <dataValidation type="whole" errorStyle="warning" allowBlank="1" showInputMessage="1" showErrorMessage="1" errorTitle="High number of skids" error="Are you sure you are going to build this many skids?" sqref="J119:U122" xr:uid="{760956B9-831B-487B-BA2A-87A522EC74DC}">
      <formula1>0</formula1>
      <formula2>10</formula2>
    </dataValidation>
  </dataValidations>
  <pageMargins left="0.70866141732283472" right="0.70866141732283472" top="0.74803149606299213" bottom="0.74803149606299213" header="0.31496062992125984" footer="0.31496062992125984"/>
  <pageSetup paperSize="8" scale="36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FAF96-383C-4489-82A3-47CDA0A9EAF6}">
  <sheetPr codeName="Sheet9">
    <tabColor rgb="FF92D050"/>
    <pageSetUpPr fitToPage="1"/>
  </sheetPr>
  <dimension ref="A1:X173"/>
  <sheetViews>
    <sheetView zoomScale="80" zoomScaleNormal="80" workbookViewId="0">
      <pane xSplit="8" ySplit="19" topLeftCell="I20" activePane="bottomRight" state="frozen"/>
      <selection activeCell="I2" sqref="I2"/>
      <selection pane="topRight" activeCell="I2" sqref="I2"/>
      <selection pane="bottomLeft" activeCell="I2" sqref="I2"/>
      <selection pane="bottomRight" activeCell="I2" sqref="I2"/>
    </sheetView>
  </sheetViews>
  <sheetFormatPr defaultColWidth="9" defaultRowHeight="15" x14ac:dyDescent="0.25"/>
  <cols>
    <col min="1" max="1" width="2.28515625" style="1" customWidth="1"/>
    <col min="2" max="2" width="39.7109375" style="1" customWidth="1"/>
    <col min="3" max="3" width="13.85546875" style="1" customWidth="1"/>
    <col min="4" max="4" width="14.7109375" style="1" customWidth="1"/>
    <col min="5" max="5" width="19.7109375" style="1" customWidth="1"/>
    <col min="6" max="6" width="12.42578125" style="1" customWidth="1"/>
    <col min="7" max="7" width="13.28515625" style="1" bestFit="1" customWidth="1"/>
    <col min="8" max="8" width="20.42578125" style="1" customWidth="1"/>
    <col min="9" max="9" width="8.7109375" style="1" customWidth="1"/>
    <col min="10" max="21" width="15.7109375" style="1" bestFit="1" customWidth="1"/>
    <col min="22" max="22" width="5" style="1" customWidth="1"/>
    <col min="23" max="23" width="15.28515625" style="4" bestFit="1" customWidth="1"/>
    <col min="24" max="24" width="17.5703125" style="1" customWidth="1"/>
    <col min="25" max="16384" width="9" style="1"/>
  </cols>
  <sheetData>
    <row r="1" spans="2:24" ht="15.75" thickBot="1" x14ac:dyDescent="0.3">
      <c r="C1" s="2">
        <f>'Whakatikei Budget'!C1</f>
        <v>2025</v>
      </c>
      <c r="D1" s="3" t="s">
        <v>0</v>
      </c>
    </row>
    <row r="2" spans="2:24" ht="27" thickBot="1" x14ac:dyDescent="0.45">
      <c r="B2" s="5" t="str">
        <f>'Whakatikei Budget'!B2</f>
        <v>Whakatikei</v>
      </c>
      <c r="H2" s="43" t="s">
        <v>209</v>
      </c>
      <c r="I2" s="404"/>
      <c r="W2" s="6"/>
      <c r="X2" s="7"/>
    </row>
    <row r="3" spans="2:24" ht="15.75" x14ac:dyDescent="0.25">
      <c r="B3" s="8" t="s">
        <v>1</v>
      </c>
      <c r="C3" s="9"/>
      <c r="D3" s="9"/>
      <c r="E3" s="9"/>
      <c r="F3" s="9"/>
      <c r="G3" s="9" t="s">
        <v>241</v>
      </c>
      <c r="H3" s="10"/>
      <c r="I3" s="304">
        <f>IF(NOT(ISBLANK(J5)), J5, IF(NOT(ISBLANK(J8)), J8, IF(NOT(ISBLANK(J11)), J11, 0)))+IF(NOT(ISBLANK(K5)), K5, IF(NOT(ISBLANK(K8)), K8, IF(NOT(ISBLANK(K11)), K11, 0)))+IF(NOT(ISBLANK(L5)), L5, IF(NOT(ISBLANK(L8)), L8, IF(NOT(ISBLANK(L11)), L11, 0)))+IF(NOT(ISBLANK(M5)), M5, IF(NOT(ISBLANK(M8)), M8, IF(NOT(ISBLANK(M11)), M11, 0)))+IF(NOT(ISBLANK(N5)), N5, IF(NOT(ISBLANK(N8)), N8, IF(NOT(ISBLANK(N11)), N11, 0)))+IF(NOT(ISBLANK(O5)), O5, IF(NOT(ISBLANK(O8)), O8, IF(NOT(ISBLANK(O11)), O11, 0)))+IF(NOT(ISBLANK(P5)), P5, IF(NOT(ISBLANK(P8)), P8, IF(NOT(ISBLANK(P11)), P11, 0)))+IF(NOT(ISBLANK(Q5)), Q5, IF(NOT(ISBLANK(Q8)), Q8, IF(NOT(ISBLANK(Q11)), Q11, 0)))+IF(NOT(ISBLANK(R5)), R5, IF(NOT(ISBLANK(R8)), R8, IF(NOT(ISBLANK(R11)), R11, 0)))+IF(NOT(ISBLANK(S5)), S5, IF(NOT(ISBLANK(S8)), S8, IF(NOT(ISBLANK(S11)), S11, 0)))+IF(NOT(ISBLANK(T5)), T5, IF(NOT(ISBLANK(T8)), T8, IF(NOT(ISBLANK(T11)), T11, 0)))+IF(NOT(ISBLANK(U5)), U5, IF(NOT(ISBLANK(U8)), U8, IF(NOT(ISBLANK(U11)), U11, 0)))</f>
        <v>0</v>
      </c>
      <c r="J3" s="178">
        <v>45658</v>
      </c>
      <c r="K3" s="178">
        <v>45689</v>
      </c>
      <c r="L3" s="178">
        <v>45717</v>
      </c>
      <c r="M3" s="178">
        <v>45748</v>
      </c>
      <c r="N3" s="178">
        <v>45778</v>
      </c>
      <c r="O3" s="178">
        <v>45809</v>
      </c>
      <c r="P3" s="178">
        <v>45839</v>
      </c>
      <c r="Q3" s="178">
        <v>45870</v>
      </c>
      <c r="R3" s="178">
        <v>45901</v>
      </c>
      <c r="S3" s="178">
        <v>45931</v>
      </c>
      <c r="T3" s="178">
        <v>45962</v>
      </c>
      <c r="U3" s="178">
        <v>45992</v>
      </c>
      <c r="W3" s="6"/>
      <c r="X3" s="7"/>
    </row>
    <row r="4" spans="2:24" x14ac:dyDescent="0.25">
      <c r="B4" s="11"/>
      <c r="G4" s="12" t="s">
        <v>3</v>
      </c>
      <c r="H4" s="301" t="s">
        <v>242</v>
      </c>
      <c r="I4" s="458">
        <f>IFERROR(SUM(J4:U4)/$W$16,0)</f>
        <v>0</v>
      </c>
      <c r="J4" s="13"/>
      <c r="K4" s="13"/>
      <c r="L4" s="13"/>
      <c r="M4" s="14"/>
      <c r="N4" s="14"/>
      <c r="O4" s="14"/>
      <c r="P4" s="14"/>
      <c r="Q4" s="14"/>
      <c r="R4" s="14"/>
      <c r="S4" s="14"/>
      <c r="T4" s="14"/>
      <c r="U4" s="15"/>
      <c r="W4" s="6"/>
      <c r="X4" s="7"/>
    </row>
    <row r="5" spans="2:24" x14ac:dyDescent="0.25">
      <c r="B5" s="11"/>
      <c r="G5" s="16"/>
      <c r="H5" s="1" t="s">
        <v>5</v>
      </c>
      <c r="I5" s="459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5"/>
      <c r="W5" s="6"/>
      <c r="X5" s="7"/>
    </row>
    <row r="6" spans="2:24" ht="15.75" thickBot="1" x14ac:dyDescent="0.3">
      <c r="B6" s="11"/>
      <c r="G6" s="17"/>
      <c r="H6" s="302" t="s">
        <v>6</v>
      </c>
      <c r="I6" s="460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380"/>
      <c r="W6" s="6"/>
      <c r="X6" s="7"/>
    </row>
    <row r="7" spans="2:24" x14ac:dyDescent="0.25">
      <c r="B7" s="11"/>
      <c r="G7" s="12" t="s">
        <v>7</v>
      </c>
      <c r="H7" s="301" t="s">
        <v>242</v>
      </c>
      <c r="I7" s="458">
        <f>IFERROR(SUM(J7:U7)/$W$16,0)</f>
        <v>0</v>
      </c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20"/>
      <c r="W7" s="6"/>
      <c r="X7" s="7"/>
    </row>
    <row r="8" spans="2:24" x14ac:dyDescent="0.25">
      <c r="B8" s="11"/>
      <c r="G8" s="16"/>
      <c r="H8" s="1" t="s">
        <v>5</v>
      </c>
      <c r="I8" s="459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5"/>
      <c r="W8" s="6"/>
      <c r="X8" s="7"/>
    </row>
    <row r="9" spans="2:24" ht="15.75" thickBot="1" x14ac:dyDescent="0.3">
      <c r="B9" s="11"/>
      <c r="G9" s="17"/>
      <c r="H9" s="302" t="s">
        <v>6</v>
      </c>
      <c r="I9" s="460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2"/>
      <c r="W9" s="6"/>
      <c r="X9" s="7"/>
    </row>
    <row r="10" spans="2:24" x14ac:dyDescent="0.25">
      <c r="B10" s="11"/>
      <c r="G10" s="12" t="s">
        <v>8</v>
      </c>
      <c r="H10" s="301" t="s">
        <v>242</v>
      </c>
      <c r="I10" s="458">
        <f>IFERROR(SUM(J10:U10)/$W$16,0)</f>
        <v>0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5"/>
      <c r="W10" s="6"/>
      <c r="X10" s="7"/>
    </row>
    <row r="11" spans="2:24" x14ac:dyDescent="0.25">
      <c r="B11" s="11"/>
      <c r="G11" s="16"/>
      <c r="H11" s="1" t="s">
        <v>5</v>
      </c>
      <c r="I11" s="459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5"/>
      <c r="W11" s="6"/>
      <c r="X11" s="7"/>
    </row>
    <row r="12" spans="2:24" ht="15.75" thickBot="1" x14ac:dyDescent="0.3">
      <c r="B12" s="11"/>
      <c r="G12" s="17"/>
      <c r="H12" s="302" t="s">
        <v>6</v>
      </c>
      <c r="I12" s="460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2"/>
      <c r="V12" s="7"/>
      <c r="W12" s="6"/>
      <c r="X12" s="7"/>
    </row>
    <row r="13" spans="2:24" x14ac:dyDescent="0.25">
      <c r="B13" s="11"/>
      <c r="G13" s="1" t="s">
        <v>2</v>
      </c>
      <c r="H13" s="1" t="s">
        <v>244</v>
      </c>
      <c r="I13" s="461">
        <f>SUM(I4:I12)</f>
        <v>0</v>
      </c>
      <c r="J13" s="412">
        <f t="shared" ref="J13:U13" si="0">J4+J7+J10</f>
        <v>0</v>
      </c>
      <c r="K13" s="412">
        <f t="shared" si="0"/>
        <v>0</v>
      </c>
      <c r="L13" s="412">
        <f t="shared" si="0"/>
        <v>0</v>
      </c>
      <c r="M13" s="412">
        <f t="shared" si="0"/>
        <v>0</v>
      </c>
      <c r="N13" s="412">
        <f t="shared" si="0"/>
        <v>0</v>
      </c>
      <c r="O13" s="412">
        <f t="shared" si="0"/>
        <v>0</v>
      </c>
      <c r="P13" s="412">
        <f t="shared" si="0"/>
        <v>0</v>
      </c>
      <c r="Q13" s="412">
        <f t="shared" si="0"/>
        <v>0</v>
      </c>
      <c r="R13" s="412">
        <f t="shared" si="0"/>
        <v>0</v>
      </c>
      <c r="S13" s="412">
        <f t="shared" si="0"/>
        <v>0</v>
      </c>
      <c r="T13" s="412">
        <f t="shared" si="0"/>
        <v>0</v>
      </c>
      <c r="U13" s="413">
        <f t="shared" si="0"/>
        <v>0</v>
      </c>
      <c r="V13" s="7"/>
      <c r="W13" s="28">
        <f>I3</f>
        <v>0</v>
      </c>
      <c r="X13" s="306" t="s">
        <v>208</v>
      </c>
    </row>
    <row r="14" spans="2:24" x14ac:dyDescent="0.25">
      <c r="B14" s="24"/>
      <c r="C14" s="25"/>
      <c r="D14" s="26"/>
      <c r="H14" t="s">
        <v>245</v>
      </c>
      <c r="I14" s="462"/>
      <c r="J14" s="414">
        <f t="shared" ref="J14:U14" si="1">J13-J16</f>
        <v>0</v>
      </c>
      <c r="K14" s="414">
        <f t="shared" si="1"/>
        <v>0</v>
      </c>
      <c r="L14" s="414">
        <f t="shared" si="1"/>
        <v>0</v>
      </c>
      <c r="M14" s="414">
        <f t="shared" si="1"/>
        <v>0</v>
      </c>
      <c r="N14" s="414">
        <f t="shared" si="1"/>
        <v>0</v>
      </c>
      <c r="O14" s="414">
        <f t="shared" si="1"/>
        <v>0</v>
      </c>
      <c r="P14" s="414">
        <f t="shared" si="1"/>
        <v>0</v>
      </c>
      <c r="Q14" s="414">
        <f t="shared" si="1"/>
        <v>0</v>
      </c>
      <c r="R14" s="414">
        <f t="shared" si="1"/>
        <v>0</v>
      </c>
      <c r="S14" s="414">
        <f t="shared" si="1"/>
        <v>0</v>
      </c>
      <c r="T14" s="414">
        <f t="shared" si="1"/>
        <v>0</v>
      </c>
      <c r="U14" s="415">
        <f t="shared" si="1"/>
        <v>0</v>
      </c>
      <c r="W14" s="28">
        <f>SUM(J14:U14)</f>
        <v>0</v>
      </c>
      <c r="X14" s="306" t="str">
        <f>H14</f>
        <v>Variance Tones</v>
      </c>
    </row>
    <row r="15" spans="2:24" x14ac:dyDescent="0.25">
      <c r="B15" s="24"/>
      <c r="C15" s="29"/>
      <c r="D15" s="30"/>
      <c r="G15" s="1" t="s">
        <v>2</v>
      </c>
      <c r="H15" s="1" t="s">
        <v>207</v>
      </c>
      <c r="I15" s="462"/>
      <c r="J15" s="412">
        <f t="shared" ref="J15:U15" si="2">IFERROR(J13/$I$2,0)</f>
        <v>0</v>
      </c>
      <c r="K15" s="412">
        <f t="shared" si="2"/>
        <v>0</v>
      </c>
      <c r="L15" s="412">
        <f t="shared" si="2"/>
        <v>0</v>
      </c>
      <c r="M15" s="412">
        <f t="shared" si="2"/>
        <v>0</v>
      </c>
      <c r="N15" s="412">
        <f t="shared" si="2"/>
        <v>0</v>
      </c>
      <c r="O15" s="412">
        <f t="shared" si="2"/>
        <v>0</v>
      </c>
      <c r="P15" s="412">
        <f t="shared" si="2"/>
        <v>0</v>
      </c>
      <c r="Q15" s="412">
        <f t="shared" si="2"/>
        <v>0</v>
      </c>
      <c r="R15" s="412">
        <f t="shared" si="2"/>
        <v>0</v>
      </c>
      <c r="S15" s="412">
        <f t="shared" si="2"/>
        <v>0</v>
      </c>
      <c r="T15" s="412">
        <f t="shared" si="2"/>
        <v>0</v>
      </c>
      <c r="U15" s="413">
        <f t="shared" si="2"/>
        <v>0</v>
      </c>
      <c r="V15" s="31"/>
      <c r="W15" s="28">
        <f>SUM(J15:U15)</f>
        <v>0</v>
      </c>
      <c r="X15" s="306" t="str">
        <f>H15</f>
        <v>Hectare (ha)</v>
      </c>
    </row>
    <row r="16" spans="2:24" ht="15.75" thickBot="1" x14ac:dyDescent="0.3">
      <c r="B16" s="32"/>
      <c r="C16" s="33"/>
      <c r="D16" s="33"/>
      <c r="E16" s="33"/>
      <c r="F16" s="33"/>
      <c r="G16" s="33" t="s">
        <v>2</v>
      </c>
      <c r="H16" s="33" t="s">
        <v>243</v>
      </c>
      <c r="I16" s="463"/>
      <c r="J16" s="416">
        <f>Volume_3!D27</f>
        <v>0</v>
      </c>
      <c r="K16" s="416">
        <f>Volume_3!H27</f>
        <v>0</v>
      </c>
      <c r="L16" s="416">
        <f>Volume_3!L27</f>
        <v>0</v>
      </c>
      <c r="M16" s="416">
        <f>Volume_3!P27</f>
        <v>0</v>
      </c>
      <c r="N16" s="416">
        <f>Volume_3!T27</f>
        <v>0</v>
      </c>
      <c r="O16" s="416">
        <f>Volume_3!X27</f>
        <v>0</v>
      </c>
      <c r="P16" s="416">
        <f>Volume_3!AB27</f>
        <v>0</v>
      </c>
      <c r="Q16" s="416">
        <f>Volume_3!AF27</f>
        <v>0</v>
      </c>
      <c r="R16" s="416">
        <f>Volume_3!AJ27</f>
        <v>0</v>
      </c>
      <c r="S16" s="416">
        <f>Volume_3!AN27</f>
        <v>0</v>
      </c>
      <c r="T16" s="416">
        <f>Volume_3!AR27</f>
        <v>0</v>
      </c>
      <c r="U16" s="417">
        <f>Volume_3!AV27</f>
        <v>0</v>
      </c>
      <c r="W16" s="28">
        <f>SUM(J16:U16)</f>
        <v>0</v>
      </c>
      <c r="X16" s="35" t="str">
        <f>H16</f>
        <v>Invoice Tonnes</v>
      </c>
    </row>
    <row r="17" spans="1:24" ht="25.5" customHeight="1" thickBot="1" x14ac:dyDescent="0.3">
      <c r="C17" s="7"/>
      <c r="D17" s="7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7"/>
      <c r="W17" s="38"/>
    </row>
    <row r="18" spans="1:24" ht="16.5" thickBot="1" x14ac:dyDescent="0.3">
      <c r="B18" s="8" t="s">
        <v>12</v>
      </c>
      <c r="C18" s="9"/>
      <c r="D18" s="9"/>
      <c r="E18" s="9"/>
      <c r="F18" s="9"/>
      <c r="G18" s="9"/>
      <c r="H18" s="9"/>
      <c r="I18" s="9"/>
      <c r="J18" s="39"/>
      <c r="K18" s="9"/>
      <c r="L18" s="9"/>
      <c r="M18" s="9"/>
      <c r="N18" s="9"/>
      <c r="O18" s="9"/>
      <c r="P18" s="9"/>
      <c r="Q18" s="9"/>
      <c r="R18" s="9"/>
      <c r="S18" s="9"/>
      <c r="T18" s="9"/>
      <c r="U18" s="40"/>
    </row>
    <row r="19" spans="1:24" x14ac:dyDescent="0.25">
      <c r="B19" s="41" t="s">
        <v>13</v>
      </c>
      <c r="C19" s="42" t="s">
        <v>14</v>
      </c>
      <c r="D19" s="42" t="s">
        <v>210</v>
      </c>
      <c r="E19" s="42" t="s">
        <v>15</v>
      </c>
      <c r="F19" s="42" t="s">
        <v>16</v>
      </c>
      <c r="G19" s="42" t="s">
        <v>17</v>
      </c>
      <c r="H19" s="42" t="s">
        <v>18</v>
      </c>
      <c r="I19" s="43"/>
      <c r="J19" s="178">
        <v>45658</v>
      </c>
      <c r="K19" s="178">
        <v>45689</v>
      </c>
      <c r="L19" s="178">
        <v>45717</v>
      </c>
      <c r="M19" s="178">
        <v>45748</v>
      </c>
      <c r="N19" s="178">
        <v>45778</v>
      </c>
      <c r="O19" s="178">
        <v>45809</v>
      </c>
      <c r="P19" s="178">
        <v>45839</v>
      </c>
      <c r="Q19" s="178">
        <v>45870</v>
      </c>
      <c r="R19" s="178">
        <v>45901</v>
      </c>
      <c r="S19" s="178">
        <v>45931</v>
      </c>
      <c r="T19" s="178">
        <v>45962</v>
      </c>
      <c r="U19" s="178">
        <v>45992</v>
      </c>
    </row>
    <row r="20" spans="1:24" x14ac:dyDescent="0.25">
      <c r="A20" s="11"/>
      <c r="B20" s="239" t="s">
        <v>20</v>
      </c>
      <c r="C20" s="240"/>
      <c r="D20" s="240"/>
      <c r="E20" s="409" t="s">
        <v>21</v>
      </c>
      <c r="F20" s="241"/>
      <c r="G20" s="241"/>
      <c r="H20" s="418">
        <f t="shared" ref="H20:H41" si="3">SUM(J20:U20)</f>
        <v>0</v>
      </c>
      <c r="I20" s="419"/>
      <c r="J20" s="420">
        <f>Volume_3!G4</f>
        <v>0</v>
      </c>
      <c r="K20" s="420">
        <f>Volume_3!K4</f>
        <v>0</v>
      </c>
      <c r="L20" s="420">
        <f>Volume_3!O4</f>
        <v>0</v>
      </c>
      <c r="M20" s="420">
        <f>Volume_3!S4</f>
        <v>0</v>
      </c>
      <c r="N20" s="420">
        <f>Volume_3!W4</f>
        <v>0</v>
      </c>
      <c r="O20" s="420">
        <f>Volume_3!AA4</f>
        <v>0</v>
      </c>
      <c r="P20" s="420">
        <f>Volume_3!AE4</f>
        <v>0</v>
      </c>
      <c r="Q20" s="420">
        <f>Volume_3!AI4</f>
        <v>0</v>
      </c>
      <c r="R20" s="420">
        <f>Volume_3!AM4</f>
        <v>0</v>
      </c>
      <c r="S20" s="420">
        <f>Volume_3!AQ4</f>
        <v>0</v>
      </c>
      <c r="T20" s="420">
        <f>Volume_3!AU4</f>
        <v>0</v>
      </c>
      <c r="U20" s="420">
        <f>Volume_3!AY4</f>
        <v>0</v>
      </c>
      <c r="W20" s="38"/>
    </row>
    <row r="21" spans="1:24" x14ac:dyDescent="0.25">
      <c r="A21" s="11"/>
      <c r="B21" s="239" t="s">
        <v>22</v>
      </c>
      <c r="C21" s="240"/>
      <c r="D21" s="240"/>
      <c r="E21" s="409" t="s">
        <v>21</v>
      </c>
      <c r="F21" s="241"/>
      <c r="G21" s="241"/>
      <c r="H21" s="418">
        <f t="shared" si="3"/>
        <v>0</v>
      </c>
      <c r="I21" s="419"/>
      <c r="J21" s="420">
        <f>Volume_3!G5</f>
        <v>0</v>
      </c>
      <c r="K21" s="420">
        <f>Volume_3!K5</f>
        <v>0</v>
      </c>
      <c r="L21" s="420">
        <f>Volume_3!O5</f>
        <v>0</v>
      </c>
      <c r="M21" s="420">
        <f>Volume_3!S5</f>
        <v>0</v>
      </c>
      <c r="N21" s="420">
        <f>Volume_3!W5</f>
        <v>0</v>
      </c>
      <c r="O21" s="420">
        <f>Volume_3!AA5</f>
        <v>0</v>
      </c>
      <c r="P21" s="420">
        <f>Volume_3!AE5</f>
        <v>0</v>
      </c>
      <c r="Q21" s="420">
        <f>Volume_3!AI5</f>
        <v>0</v>
      </c>
      <c r="R21" s="420">
        <f>Volume_3!AM5</f>
        <v>0</v>
      </c>
      <c r="S21" s="420">
        <f>Volume_3!AQ5</f>
        <v>0</v>
      </c>
      <c r="T21" s="420">
        <f>Volume_3!AU5</f>
        <v>0</v>
      </c>
      <c r="U21" s="420">
        <f>Volume_3!AY5</f>
        <v>0</v>
      </c>
      <c r="W21" s="38"/>
    </row>
    <row r="22" spans="1:24" x14ac:dyDescent="0.25">
      <c r="A22" s="11"/>
      <c r="B22" s="239" t="s">
        <v>25</v>
      </c>
      <c r="C22" s="240"/>
      <c r="D22" s="240"/>
      <c r="E22" s="409" t="s">
        <v>21</v>
      </c>
      <c r="F22" s="241"/>
      <c r="G22" s="241"/>
      <c r="H22" s="418">
        <f t="shared" si="3"/>
        <v>0</v>
      </c>
      <c r="I22" s="419"/>
      <c r="J22" s="420">
        <f>Volume_3!G6</f>
        <v>0</v>
      </c>
      <c r="K22" s="420">
        <f>Volume_3!K6</f>
        <v>0</v>
      </c>
      <c r="L22" s="420">
        <f>Volume_3!O6</f>
        <v>0</v>
      </c>
      <c r="M22" s="420">
        <f>Volume_3!S6</f>
        <v>0</v>
      </c>
      <c r="N22" s="420">
        <f>Volume_3!W6</f>
        <v>0</v>
      </c>
      <c r="O22" s="420">
        <f>Volume_3!AA6</f>
        <v>0</v>
      </c>
      <c r="P22" s="420">
        <f>Volume_3!AE6</f>
        <v>0</v>
      </c>
      <c r="Q22" s="420">
        <f>Volume_3!AI6</f>
        <v>0</v>
      </c>
      <c r="R22" s="420">
        <f>Volume_3!AM6</f>
        <v>0</v>
      </c>
      <c r="S22" s="420">
        <f>Volume_3!AQ6</f>
        <v>0</v>
      </c>
      <c r="T22" s="420">
        <f>Volume_3!AU6</f>
        <v>0</v>
      </c>
      <c r="U22" s="420">
        <f>Volume_3!AY6</f>
        <v>0</v>
      </c>
      <c r="W22" s="38"/>
      <c r="X22"/>
    </row>
    <row r="23" spans="1:24" x14ac:dyDescent="0.25">
      <c r="A23" s="11"/>
      <c r="B23" s="242" t="s">
        <v>30</v>
      </c>
      <c r="C23" s="240"/>
      <c r="D23" s="240"/>
      <c r="E23" s="409" t="s">
        <v>21</v>
      </c>
      <c r="F23" s="241"/>
      <c r="G23" s="241"/>
      <c r="H23" s="418">
        <f t="shared" si="3"/>
        <v>0</v>
      </c>
      <c r="I23" s="419"/>
      <c r="J23" s="420">
        <f>Volume_3!G7</f>
        <v>0</v>
      </c>
      <c r="K23" s="420">
        <f>Volume_3!K7</f>
        <v>0</v>
      </c>
      <c r="L23" s="420">
        <f>Volume_3!O7</f>
        <v>0</v>
      </c>
      <c r="M23" s="420">
        <f>Volume_3!S7</f>
        <v>0</v>
      </c>
      <c r="N23" s="420">
        <f>Volume_3!W7</f>
        <v>0</v>
      </c>
      <c r="O23" s="420">
        <f>Volume_3!AA7</f>
        <v>0</v>
      </c>
      <c r="P23" s="420">
        <f>Volume_3!AE7</f>
        <v>0</v>
      </c>
      <c r="Q23" s="420">
        <f>Volume_3!AI7</f>
        <v>0</v>
      </c>
      <c r="R23" s="420">
        <f>Volume_3!AM7</f>
        <v>0</v>
      </c>
      <c r="S23" s="420">
        <f>Volume_3!AQ7</f>
        <v>0</v>
      </c>
      <c r="T23" s="420">
        <f>Volume_3!AU7</f>
        <v>0</v>
      </c>
      <c r="U23" s="420">
        <f>Volume_3!AY7</f>
        <v>0</v>
      </c>
      <c r="W23" s="38"/>
    </row>
    <row r="24" spans="1:24" x14ac:dyDescent="0.25">
      <c r="A24" s="11"/>
      <c r="B24" s="242" t="s">
        <v>222</v>
      </c>
      <c r="C24" s="240"/>
      <c r="D24" s="240"/>
      <c r="E24" s="409" t="s">
        <v>21</v>
      </c>
      <c r="F24" s="241"/>
      <c r="G24" s="241"/>
      <c r="H24" s="418">
        <f t="shared" si="3"/>
        <v>0</v>
      </c>
      <c r="I24" s="419"/>
      <c r="J24" s="420">
        <f>Volume_3!G8</f>
        <v>0</v>
      </c>
      <c r="K24" s="420">
        <f>Volume_3!K8</f>
        <v>0</v>
      </c>
      <c r="L24" s="420">
        <f>Volume_3!O8</f>
        <v>0</v>
      </c>
      <c r="M24" s="420">
        <f>Volume_3!S8</f>
        <v>0</v>
      </c>
      <c r="N24" s="420">
        <f>Volume_3!W8</f>
        <v>0</v>
      </c>
      <c r="O24" s="420">
        <f>Volume_3!AA8</f>
        <v>0</v>
      </c>
      <c r="P24" s="420">
        <f>Volume_3!AE8</f>
        <v>0</v>
      </c>
      <c r="Q24" s="420">
        <f>Volume_3!AI8</f>
        <v>0</v>
      </c>
      <c r="R24" s="420">
        <f>Volume_3!AM8</f>
        <v>0</v>
      </c>
      <c r="S24" s="420">
        <f>Volume_3!AQ8</f>
        <v>0</v>
      </c>
      <c r="T24" s="420">
        <f>Volume_3!AU8</f>
        <v>0</v>
      </c>
      <c r="U24" s="420">
        <f>Volume_3!AY8</f>
        <v>0</v>
      </c>
      <c r="W24" s="38"/>
    </row>
    <row r="25" spans="1:24" x14ac:dyDescent="0.25">
      <c r="A25" s="11"/>
      <c r="B25" s="242" t="s">
        <v>34</v>
      </c>
      <c r="C25" s="240"/>
      <c r="D25" s="240"/>
      <c r="E25" s="409" t="s">
        <v>21</v>
      </c>
      <c r="F25" s="241"/>
      <c r="G25" s="241"/>
      <c r="H25" s="418">
        <f t="shared" si="3"/>
        <v>0</v>
      </c>
      <c r="I25" s="419"/>
      <c r="J25" s="420">
        <f>Volume_3!G9</f>
        <v>0</v>
      </c>
      <c r="K25" s="420">
        <f>Volume_3!K9</f>
        <v>0</v>
      </c>
      <c r="L25" s="420">
        <f>Volume_3!O9</f>
        <v>0</v>
      </c>
      <c r="M25" s="420">
        <f>Volume_3!S9</f>
        <v>0</v>
      </c>
      <c r="N25" s="420">
        <f>Volume_3!W9</f>
        <v>0</v>
      </c>
      <c r="O25" s="420">
        <f>Volume_3!AA9</f>
        <v>0</v>
      </c>
      <c r="P25" s="420">
        <f>Volume_3!AE9</f>
        <v>0</v>
      </c>
      <c r="Q25" s="420">
        <f>Volume_3!AI9</f>
        <v>0</v>
      </c>
      <c r="R25" s="420">
        <f>Volume_3!AM9</f>
        <v>0</v>
      </c>
      <c r="S25" s="420">
        <f>Volume_3!AQ9</f>
        <v>0</v>
      </c>
      <c r="T25" s="420">
        <f>Volume_3!AU9</f>
        <v>0</v>
      </c>
      <c r="U25" s="420">
        <f>Volume_3!AY9</f>
        <v>0</v>
      </c>
      <c r="W25" s="38"/>
    </row>
    <row r="26" spans="1:24" x14ac:dyDescent="0.25">
      <c r="A26" s="11"/>
      <c r="B26" s="242" t="s">
        <v>37</v>
      </c>
      <c r="C26" s="240"/>
      <c r="D26" s="240"/>
      <c r="E26" s="409" t="s">
        <v>21</v>
      </c>
      <c r="F26" s="241"/>
      <c r="G26" s="241"/>
      <c r="H26" s="418">
        <f t="shared" si="3"/>
        <v>0</v>
      </c>
      <c r="I26" s="419"/>
      <c r="J26" s="420">
        <f>Volume_3!G10</f>
        <v>0</v>
      </c>
      <c r="K26" s="420">
        <f>Volume_3!K10</f>
        <v>0</v>
      </c>
      <c r="L26" s="420">
        <f>Volume_3!O10</f>
        <v>0</v>
      </c>
      <c r="M26" s="420">
        <f>Volume_3!S10</f>
        <v>0</v>
      </c>
      <c r="N26" s="420">
        <f>Volume_3!W10</f>
        <v>0</v>
      </c>
      <c r="O26" s="420">
        <f>Volume_3!AA10</f>
        <v>0</v>
      </c>
      <c r="P26" s="420">
        <f>Volume_3!AE10</f>
        <v>0</v>
      </c>
      <c r="Q26" s="420">
        <f>Volume_3!AI10</f>
        <v>0</v>
      </c>
      <c r="R26" s="420">
        <f>Volume_3!AM10</f>
        <v>0</v>
      </c>
      <c r="S26" s="420">
        <f>Volume_3!AQ10</f>
        <v>0</v>
      </c>
      <c r="T26" s="420">
        <f>Volume_3!AU10</f>
        <v>0</v>
      </c>
      <c r="U26" s="420">
        <f>Volume_3!AY10</f>
        <v>0</v>
      </c>
      <c r="W26" s="38"/>
    </row>
    <row r="27" spans="1:24" x14ac:dyDescent="0.25">
      <c r="A27" s="11"/>
      <c r="B27" s="242" t="s">
        <v>174</v>
      </c>
      <c r="C27" s="240"/>
      <c r="D27" s="240"/>
      <c r="E27" s="409" t="s">
        <v>21</v>
      </c>
      <c r="F27" s="241"/>
      <c r="G27" s="241"/>
      <c r="H27" s="418">
        <f t="shared" si="3"/>
        <v>0</v>
      </c>
      <c r="I27" s="419"/>
      <c r="J27" s="420">
        <f>Volume_3!G11</f>
        <v>0</v>
      </c>
      <c r="K27" s="420">
        <f>Volume_3!K11</f>
        <v>0</v>
      </c>
      <c r="L27" s="420">
        <f>Volume_3!O11</f>
        <v>0</v>
      </c>
      <c r="M27" s="420">
        <f>Volume_3!S11</f>
        <v>0</v>
      </c>
      <c r="N27" s="420">
        <f>Volume_3!W11</f>
        <v>0</v>
      </c>
      <c r="O27" s="420">
        <f>Volume_3!AA11</f>
        <v>0</v>
      </c>
      <c r="P27" s="420">
        <f>Volume_3!AE11</f>
        <v>0</v>
      </c>
      <c r="Q27" s="420">
        <f>Volume_3!AI11</f>
        <v>0</v>
      </c>
      <c r="R27" s="420">
        <f>Volume_3!AM11</f>
        <v>0</v>
      </c>
      <c r="S27" s="420">
        <f>Volume_3!AQ11</f>
        <v>0</v>
      </c>
      <c r="T27" s="420">
        <f>Volume_3!AU11</f>
        <v>0</v>
      </c>
      <c r="U27" s="420">
        <f>Volume_3!AY11</f>
        <v>0</v>
      </c>
      <c r="W27" s="38"/>
    </row>
    <row r="28" spans="1:24" x14ac:dyDescent="0.25">
      <c r="A28" s="11"/>
      <c r="B28" s="376" t="s">
        <v>202</v>
      </c>
      <c r="C28" s="377"/>
      <c r="D28" s="377"/>
      <c r="E28" s="390" t="s">
        <v>21</v>
      </c>
      <c r="F28" s="44"/>
      <c r="G28" s="44"/>
      <c r="H28" s="418">
        <f t="shared" si="3"/>
        <v>0</v>
      </c>
      <c r="I28" s="419"/>
      <c r="J28" s="420">
        <f>Volume_3!G12</f>
        <v>0</v>
      </c>
      <c r="K28" s="420">
        <f>Volume_3!K12</f>
        <v>0</v>
      </c>
      <c r="L28" s="420">
        <f>Volume_3!O12</f>
        <v>0</v>
      </c>
      <c r="M28" s="420">
        <f>Volume_3!S12</f>
        <v>0</v>
      </c>
      <c r="N28" s="420">
        <f>Volume_3!W12</f>
        <v>0</v>
      </c>
      <c r="O28" s="420">
        <f>Volume_3!AA12</f>
        <v>0</v>
      </c>
      <c r="P28" s="420">
        <f>Volume_3!AE12</f>
        <v>0</v>
      </c>
      <c r="Q28" s="420">
        <f>Volume_3!AI12</f>
        <v>0</v>
      </c>
      <c r="R28" s="420">
        <f>Volume_3!AM12</f>
        <v>0</v>
      </c>
      <c r="S28" s="420">
        <f>Volume_3!AQ12</f>
        <v>0</v>
      </c>
      <c r="T28" s="420">
        <f>Volume_3!AU12</f>
        <v>0</v>
      </c>
      <c r="U28" s="420">
        <f>Volume_3!AY12</f>
        <v>0</v>
      </c>
      <c r="W28" s="38"/>
    </row>
    <row r="29" spans="1:24" x14ac:dyDescent="0.25">
      <c r="A29" s="11"/>
      <c r="B29" s="243" t="s">
        <v>175</v>
      </c>
      <c r="C29" s="244"/>
      <c r="D29" s="244"/>
      <c r="E29" s="410" t="s">
        <v>19</v>
      </c>
      <c r="F29" s="245"/>
      <c r="G29" s="245"/>
      <c r="H29" s="418">
        <f t="shared" si="3"/>
        <v>0</v>
      </c>
      <c r="I29" s="419"/>
      <c r="J29" s="420">
        <f>Volume_3!G13</f>
        <v>0</v>
      </c>
      <c r="K29" s="420">
        <f>Volume_3!K13</f>
        <v>0</v>
      </c>
      <c r="L29" s="420">
        <f>Volume_3!O13</f>
        <v>0</v>
      </c>
      <c r="M29" s="420">
        <f>Volume_3!S13</f>
        <v>0</v>
      </c>
      <c r="N29" s="420">
        <f>Volume_3!W13</f>
        <v>0</v>
      </c>
      <c r="O29" s="420">
        <f>Volume_3!AA13</f>
        <v>0</v>
      </c>
      <c r="P29" s="420">
        <f>Volume_3!AE13</f>
        <v>0</v>
      </c>
      <c r="Q29" s="420">
        <f>Volume_3!AI13</f>
        <v>0</v>
      </c>
      <c r="R29" s="420">
        <f>Volume_3!AM13</f>
        <v>0</v>
      </c>
      <c r="S29" s="420">
        <f>Volume_3!AQ13</f>
        <v>0</v>
      </c>
      <c r="T29" s="420">
        <f>Volume_3!AU13</f>
        <v>0</v>
      </c>
      <c r="U29" s="420">
        <f>Volume_3!AY13</f>
        <v>0</v>
      </c>
      <c r="W29" s="38"/>
    </row>
    <row r="30" spans="1:24" x14ac:dyDescent="0.25">
      <c r="A30" s="11"/>
      <c r="B30" s="243" t="s">
        <v>176</v>
      </c>
      <c r="C30" s="244"/>
      <c r="D30" s="244"/>
      <c r="E30" s="410" t="s">
        <v>19</v>
      </c>
      <c r="F30" s="245"/>
      <c r="G30" s="245"/>
      <c r="H30" s="418">
        <f t="shared" si="3"/>
        <v>0</v>
      </c>
      <c r="I30" s="419"/>
      <c r="J30" s="420">
        <f>Volume_3!G14</f>
        <v>0</v>
      </c>
      <c r="K30" s="420">
        <f>Volume_3!K14</f>
        <v>0</v>
      </c>
      <c r="L30" s="420">
        <f>Volume_3!O14</f>
        <v>0</v>
      </c>
      <c r="M30" s="420">
        <f>Volume_3!S14</f>
        <v>0</v>
      </c>
      <c r="N30" s="420">
        <f>Volume_3!W14</f>
        <v>0</v>
      </c>
      <c r="O30" s="420">
        <f>Volume_3!AA14</f>
        <v>0</v>
      </c>
      <c r="P30" s="420">
        <f>Volume_3!AE14</f>
        <v>0</v>
      </c>
      <c r="Q30" s="420">
        <f>Volume_3!AI14</f>
        <v>0</v>
      </c>
      <c r="R30" s="420">
        <f>Volume_3!AM14</f>
        <v>0</v>
      </c>
      <c r="S30" s="420">
        <f>Volume_3!AQ14</f>
        <v>0</v>
      </c>
      <c r="T30" s="420">
        <f>Volume_3!AU14</f>
        <v>0</v>
      </c>
      <c r="U30" s="420">
        <f>Volume_3!AY14</f>
        <v>0</v>
      </c>
      <c r="W30" s="38"/>
    </row>
    <row r="31" spans="1:24" x14ac:dyDescent="0.25">
      <c r="A31" s="11"/>
      <c r="B31" s="243" t="s">
        <v>23</v>
      </c>
      <c r="C31" s="244"/>
      <c r="D31" s="244"/>
      <c r="E31" s="411" t="s">
        <v>19</v>
      </c>
      <c r="F31" s="245"/>
      <c r="G31" s="245"/>
      <c r="H31" s="418">
        <f t="shared" si="3"/>
        <v>0</v>
      </c>
      <c r="I31" s="419"/>
      <c r="J31" s="420">
        <f>Volume_3!G15</f>
        <v>0</v>
      </c>
      <c r="K31" s="420">
        <f>Volume_3!K15</f>
        <v>0</v>
      </c>
      <c r="L31" s="420">
        <f>Volume_3!O15</f>
        <v>0</v>
      </c>
      <c r="M31" s="420">
        <f>Volume_3!S15</f>
        <v>0</v>
      </c>
      <c r="N31" s="420">
        <f>Volume_3!W15</f>
        <v>0</v>
      </c>
      <c r="O31" s="420">
        <f>Volume_3!AA15</f>
        <v>0</v>
      </c>
      <c r="P31" s="420">
        <f>Volume_3!AE15</f>
        <v>0</v>
      </c>
      <c r="Q31" s="420">
        <f>Volume_3!AI15</f>
        <v>0</v>
      </c>
      <c r="R31" s="420">
        <f>Volume_3!AM15</f>
        <v>0</v>
      </c>
      <c r="S31" s="420">
        <f>Volume_3!AQ15</f>
        <v>0</v>
      </c>
      <c r="T31" s="420">
        <f>Volume_3!AU15</f>
        <v>0</v>
      </c>
      <c r="U31" s="420">
        <f>Volume_3!AY15</f>
        <v>0</v>
      </c>
      <c r="W31" s="38"/>
    </row>
    <row r="32" spans="1:24" x14ac:dyDescent="0.25">
      <c r="A32" s="11"/>
      <c r="B32" s="246" t="s">
        <v>24</v>
      </c>
      <c r="C32" s="244"/>
      <c r="D32" s="244"/>
      <c r="E32" s="411" t="s">
        <v>19</v>
      </c>
      <c r="F32" s="245"/>
      <c r="G32" s="245"/>
      <c r="H32" s="418">
        <f t="shared" si="3"/>
        <v>0</v>
      </c>
      <c r="I32" s="419"/>
      <c r="J32" s="420">
        <f>Volume_3!G16</f>
        <v>0</v>
      </c>
      <c r="K32" s="420">
        <f>Volume_3!K16</f>
        <v>0</v>
      </c>
      <c r="L32" s="420">
        <f>Volume_3!O16</f>
        <v>0</v>
      </c>
      <c r="M32" s="420">
        <f>Volume_3!S16</f>
        <v>0</v>
      </c>
      <c r="N32" s="420">
        <f>Volume_3!W16</f>
        <v>0</v>
      </c>
      <c r="O32" s="420">
        <f>Volume_3!AA16</f>
        <v>0</v>
      </c>
      <c r="P32" s="420">
        <f>Volume_3!AE16</f>
        <v>0</v>
      </c>
      <c r="Q32" s="420">
        <f>Volume_3!AI16</f>
        <v>0</v>
      </c>
      <c r="R32" s="420">
        <f>Volume_3!AM16</f>
        <v>0</v>
      </c>
      <c r="S32" s="420">
        <f>Volume_3!AQ16</f>
        <v>0</v>
      </c>
      <c r="T32" s="420">
        <f>Volume_3!AU16</f>
        <v>0</v>
      </c>
      <c r="U32" s="420">
        <f>Volume_3!AY16</f>
        <v>0</v>
      </c>
      <c r="W32" s="38"/>
    </row>
    <row r="33" spans="1:23" x14ac:dyDescent="0.25">
      <c r="A33" s="11"/>
      <c r="B33" s="246" t="s">
        <v>26</v>
      </c>
      <c r="C33" s="244"/>
      <c r="D33" s="244"/>
      <c r="E33" s="411" t="s">
        <v>19</v>
      </c>
      <c r="F33" s="245"/>
      <c r="G33" s="245"/>
      <c r="H33" s="418">
        <f t="shared" si="3"/>
        <v>0</v>
      </c>
      <c r="I33" s="419"/>
      <c r="J33" s="420">
        <f>Volume_3!G17</f>
        <v>0</v>
      </c>
      <c r="K33" s="420">
        <f>Volume_3!K17</f>
        <v>0</v>
      </c>
      <c r="L33" s="420">
        <f>Volume_3!O17</f>
        <v>0</v>
      </c>
      <c r="M33" s="420">
        <f>Volume_3!S17</f>
        <v>0</v>
      </c>
      <c r="N33" s="420">
        <f>Volume_3!W17</f>
        <v>0</v>
      </c>
      <c r="O33" s="420">
        <f>Volume_3!AA17</f>
        <v>0</v>
      </c>
      <c r="P33" s="420">
        <f>Volume_3!AE17</f>
        <v>0</v>
      </c>
      <c r="Q33" s="420">
        <f>Volume_3!AI17</f>
        <v>0</v>
      </c>
      <c r="R33" s="420">
        <f>Volume_3!AM17</f>
        <v>0</v>
      </c>
      <c r="S33" s="420">
        <f>Volume_3!AQ17</f>
        <v>0</v>
      </c>
      <c r="T33" s="420">
        <f>Volume_3!AU17</f>
        <v>0</v>
      </c>
      <c r="U33" s="420">
        <f>Volume_3!AY17</f>
        <v>0</v>
      </c>
      <c r="W33" s="38"/>
    </row>
    <row r="34" spans="1:23" x14ac:dyDescent="0.25">
      <c r="A34" s="11"/>
      <c r="B34" s="246" t="s">
        <v>27</v>
      </c>
      <c r="C34" s="244"/>
      <c r="D34" s="244"/>
      <c r="E34" s="410" t="s">
        <v>19</v>
      </c>
      <c r="F34" s="245"/>
      <c r="G34" s="245"/>
      <c r="H34" s="418">
        <f t="shared" si="3"/>
        <v>0</v>
      </c>
      <c r="I34" s="419"/>
      <c r="J34" s="420">
        <f>Volume_3!G18</f>
        <v>0</v>
      </c>
      <c r="K34" s="420">
        <f>Volume_3!K18</f>
        <v>0</v>
      </c>
      <c r="L34" s="420">
        <f>Volume_3!O18</f>
        <v>0</v>
      </c>
      <c r="M34" s="420">
        <f>Volume_3!S18</f>
        <v>0</v>
      </c>
      <c r="N34" s="420">
        <f>Volume_3!W18</f>
        <v>0</v>
      </c>
      <c r="O34" s="420">
        <f>Volume_3!AA18</f>
        <v>0</v>
      </c>
      <c r="P34" s="420">
        <f>Volume_3!AE18</f>
        <v>0</v>
      </c>
      <c r="Q34" s="420">
        <f>Volume_3!AI18</f>
        <v>0</v>
      </c>
      <c r="R34" s="420">
        <f>Volume_3!AM18</f>
        <v>0</v>
      </c>
      <c r="S34" s="420">
        <f>Volume_3!AQ18</f>
        <v>0</v>
      </c>
      <c r="T34" s="420">
        <f>Volume_3!AU18</f>
        <v>0</v>
      </c>
      <c r="U34" s="420">
        <f>Volume_3!AY18</f>
        <v>0</v>
      </c>
      <c r="W34" s="38"/>
    </row>
    <row r="35" spans="1:23" x14ac:dyDescent="0.25">
      <c r="A35" s="11"/>
      <c r="B35" s="243" t="s">
        <v>29</v>
      </c>
      <c r="C35" s="244"/>
      <c r="D35" s="244"/>
      <c r="E35" s="411" t="s">
        <v>19</v>
      </c>
      <c r="F35" s="245"/>
      <c r="G35" s="245"/>
      <c r="H35" s="418">
        <f t="shared" si="3"/>
        <v>0</v>
      </c>
      <c r="I35" s="419"/>
      <c r="J35" s="420">
        <f>Volume_3!G19</f>
        <v>0</v>
      </c>
      <c r="K35" s="420">
        <f>Volume_3!K19</f>
        <v>0</v>
      </c>
      <c r="L35" s="420">
        <f>Volume_3!O19</f>
        <v>0</v>
      </c>
      <c r="M35" s="420">
        <f>Volume_3!S19</f>
        <v>0</v>
      </c>
      <c r="N35" s="420">
        <f>Volume_3!W19</f>
        <v>0</v>
      </c>
      <c r="O35" s="420">
        <f>Volume_3!AA19</f>
        <v>0</v>
      </c>
      <c r="P35" s="420">
        <f>Volume_3!AE19</f>
        <v>0</v>
      </c>
      <c r="Q35" s="420">
        <f>Volume_3!AI19</f>
        <v>0</v>
      </c>
      <c r="R35" s="420">
        <f>Volume_3!AM19</f>
        <v>0</v>
      </c>
      <c r="S35" s="420">
        <f>Volume_3!AQ19</f>
        <v>0</v>
      </c>
      <c r="T35" s="420">
        <f>Volume_3!AU19</f>
        <v>0</v>
      </c>
      <c r="U35" s="420">
        <f>Volume_3!AY19</f>
        <v>0</v>
      </c>
      <c r="W35" s="38"/>
    </row>
    <row r="36" spans="1:23" x14ac:dyDescent="0.25">
      <c r="A36" s="11"/>
      <c r="B36" s="243" t="s">
        <v>28</v>
      </c>
      <c r="C36" s="244"/>
      <c r="D36" s="244"/>
      <c r="E36" s="411" t="s">
        <v>19</v>
      </c>
      <c r="F36" s="245"/>
      <c r="G36" s="245"/>
      <c r="H36" s="418">
        <f t="shared" si="3"/>
        <v>0</v>
      </c>
      <c r="I36" s="419"/>
      <c r="J36" s="420">
        <f>Volume_3!G20</f>
        <v>0</v>
      </c>
      <c r="K36" s="420">
        <f>Volume_3!K20</f>
        <v>0</v>
      </c>
      <c r="L36" s="420">
        <f>Volume_3!O20</f>
        <v>0</v>
      </c>
      <c r="M36" s="420">
        <f>Volume_3!S20</f>
        <v>0</v>
      </c>
      <c r="N36" s="420">
        <f>Volume_3!W20</f>
        <v>0</v>
      </c>
      <c r="O36" s="420">
        <f>Volume_3!AA20</f>
        <v>0</v>
      </c>
      <c r="P36" s="420">
        <f>Volume_3!AE20</f>
        <v>0</v>
      </c>
      <c r="Q36" s="420">
        <f>Volume_3!AI20</f>
        <v>0</v>
      </c>
      <c r="R36" s="420">
        <f>Volume_3!AM20</f>
        <v>0</v>
      </c>
      <c r="S36" s="420">
        <f>Volume_3!AQ20</f>
        <v>0</v>
      </c>
      <c r="T36" s="420">
        <f>Volume_3!AU20</f>
        <v>0</v>
      </c>
      <c r="U36" s="420">
        <f>Volume_3!AY20</f>
        <v>0</v>
      </c>
      <c r="W36" s="38"/>
    </row>
    <row r="37" spans="1:23" x14ac:dyDescent="0.25">
      <c r="A37" s="11"/>
      <c r="B37" s="246" t="s">
        <v>31</v>
      </c>
      <c r="C37" s="244"/>
      <c r="D37" s="244"/>
      <c r="E37" s="411" t="s">
        <v>19</v>
      </c>
      <c r="F37" s="245"/>
      <c r="G37" s="245"/>
      <c r="H37" s="418">
        <f t="shared" si="3"/>
        <v>0</v>
      </c>
      <c r="I37" s="419"/>
      <c r="J37" s="420">
        <f>Volume_3!G21</f>
        <v>0</v>
      </c>
      <c r="K37" s="420">
        <f>Volume_3!K21</f>
        <v>0</v>
      </c>
      <c r="L37" s="420">
        <f>Volume_3!O21</f>
        <v>0</v>
      </c>
      <c r="M37" s="420">
        <f>Volume_3!S21</f>
        <v>0</v>
      </c>
      <c r="N37" s="420">
        <f>Volume_3!W21</f>
        <v>0</v>
      </c>
      <c r="O37" s="420">
        <f>Volume_3!AA21</f>
        <v>0</v>
      </c>
      <c r="P37" s="420">
        <f>Volume_3!AE21</f>
        <v>0</v>
      </c>
      <c r="Q37" s="420">
        <f>Volume_3!AI21</f>
        <v>0</v>
      </c>
      <c r="R37" s="420">
        <f>Volume_3!AM21</f>
        <v>0</v>
      </c>
      <c r="S37" s="420">
        <f>Volume_3!AQ21</f>
        <v>0</v>
      </c>
      <c r="T37" s="420">
        <f>Volume_3!AU21</f>
        <v>0</v>
      </c>
      <c r="U37" s="420">
        <f>Volume_3!AY21</f>
        <v>0</v>
      </c>
      <c r="W37" s="38"/>
    </row>
    <row r="38" spans="1:23" x14ac:dyDescent="0.25">
      <c r="A38" s="11"/>
      <c r="B38" s="246" t="s">
        <v>32</v>
      </c>
      <c r="C38" s="244"/>
      <c r="D38" s="244"/>
      <c r="E38" s="411" t="s">
        <v>19</v>
      </c>
      <c r="F38" s="245"/>
      <c r="G38" s="245"/>
      <c r="H38" s="418">
        <f t="shared" si="3"/>
        <v>0</v>
      </c>
      <c r="I38" s="419"/>
      <c r="J38" s="420">
        <f>Volume_3!G22</f>
        <v>0</v>
      </c>
      <c r="K38" s="420">
        <f>Volume_3!K22</f>
        <v>0</v>
      </c>
      <c r="L38" s="420">
        <f>Volume_3!O22</f>
        <v>0</v>
      </c>
      <c r="M38" s="420">
        <f>Volume_3!S22</f>
        <v>0</v>
      </c>
      <c r="N38" s="420">
        <f>Volume_3!W22</f>
        <v>0</v>
      </c>
      <c r="O38" s="420">
        <f>Volume_3!AA22</f>
        <v>0</v>
      </c>
      <c r="P38" s="420">
        <f>Volume_3!AE22</f>
        <v>0</v>
      </c>
      <c r="Q38" s="420">
        <f>Volume_3!AI22</f>
        <v>0</v>
      </c>
      <c r="R38" s="420">
        <f>Volume_3!AM22</f>
        <v>0</v>
      </c>
      <c r="S38" s="420">
        <f>Volume_3!AQ22</f>
        <v>0</v>
      </c>
      <c r="T38" s="420">
        <f>Volume_3!AU22</f>
        <v>0</v>
      </c>
      <c r="U38" s="420">
        <f>Volume_3!AY22</f>
        <v>0</v>
      </c>
      <c r="W38" s="38"/>
    </row>
    <row r="39" spans="1:23" x14ac:dyDescent="0.25">
      <c r="A39" s="11"/>
      <c r="B39" s="246" t="s">
        <v>33</v>
      </c>
      <c r="C39" s="244"/>
      <c r="D39" s="244"/>
      <c r="E39" s="411" t="s">
        <v>19</v>
      </c>
      <c r="F39" s="245"/>
      <c r="G39" s="245"/>
      <c r="H39" s="418">
        <f t="shared" si="3"/>
        <v>0</v>
      </c>
      <c r="I39" s="419"/>
      <c r="J39" s="420">
        <f>Volume_3!G23</f>
        <v>0</v>
      </c>
      <c r="K39" s="420">
        <f>Volume_3!K23</f>
        <v>0</v>
      </c>
      <c r="L39" s="420">
        <f>Volume_3!O23</f>
        <v>0</v>
      </c>
      <c r="M39" s="420">
        <f>Volume_3!S23</f>
        <v>0</v>
      </c>
      <c r="N39" s="420">
        <f>Volume_3!W23</f>
        <v>0</v>
      </c>
      <c r="O39" s="420">
        <f>Volume_3!AA23</f>
        <v>0</v>
      </c>
      <c r="P39" s="420">
        <f>Volume_3!AE23</f>
        <v>0</v>
      </c>
      <c r="Q39" s="420">
        <f>Volume_3!AI23</f>
        <v>0</v>
      </c>
      <c r="R39" s="420">
        <f>Volume_3!AM23</f>
        <v>0</v>
      </c>
      <c r="S39" s="420">
        <f>Volume_3!AQ23</f>
        <v>0</v>
      </c>
      <c r="T39" s="420">
        <f>Volume_3!AU23</f>
        <v>0</v>
      </c>
      <c r="U39" s="420">
        <f>Volume_3!AY23</f>
        <v>0</v>
      </c>
      <c r="W39" s="38"/>
    </row>
    <row r="40" spans="1:23" x14ac:dyDescent="0.25">
      <c r="A40" s="11"/>
      <c r="B40" s="246" t="s">
        <v>35</v>
      </c>
      <c r="C40" s="244"/>
      <c r="D40" s="244"/>
      <c r="E40" s="411" t="s">
        <v>19</v>
      </c>
      <c r="F40" s="245"/>
      <c r="G40" s="245"/>
      <c r="H40" s="418">
        <f t="shared" si="3"/>
        <v>0</v>
      </c>
      <c r="I40" s="419"/>
      <c r="J40" s="420">
        <f>Volume_3!G24</f>
        <v>0</v>
      </c>
      <c r="K40" s="420">
        <f>Volume_3!K24</f>
        <v>0</v>
      </c>
      <c r="L40" s="420">
        <f>Volume_3!O24</f>
        <v>0</v>
      </c>
      <c r="M40" s="420">
        <f>Volume_3!S24</f>
        <v>0</v>
      </c>
      <c r="N40" s="420">
        <f>Volume_3!W24</f>
        <v>0</v>
      </c>
      <c r="O40" s="420">
        <f>Volume_3!AA24</f>
        <v>0</v>
      </c>
      <c r="P40" s="420">
        <f>Volume_3!AE24</f>
        <v>0</v>
      </c>
      <c r="Q40" s="420">
        <f>Volume_3!AI24</f>
        <v>0</v>
      </c>
      <c r="R40" s="420">
        <f>Volume_3!AM24</f>
        <v>0</v>
      </c>
      <c r="S40" s="420">
        <f>Volume_3!AQ24</f>
        <v>0</v>
      </c>
      <c r="T40" s="420">
        <f>Volume_3!AU24</f>
        <v>0</v>
      </c>
      <c r="U40" s="420">
        <f>Volume_3!AY24</f>
        <v>0</v>
      </c>
      <c r="W40" s="38"/>
    </row>
    <row r="41" spans="1:23" x14ac:dyDescent="0.25">
      <c r="A41" s="11"/>
      <c r="B41" s="243" t="s">
        <v>36</v>
      </c>
      <c r="C41" s="244"/>
      <c r="D41" s="244"/>
      <c r="E41" s="411" t="s">
        <v>19</v>
      </c>
      <c r="F41" s="245"/>
      <c r="G41" s="245"/>
      <c r="H41" s="418">
        <f t="shared" si="3"/>
        <v>0</v>
      </c>
      <c r="I41" s="419"/>
      <c r="J41" s="420">
        <f>Volume_3!G25</f>
        <v>0</v>
      </c>
      <c r="K41" s="420">
        <f>Volume_3!K25</f>
        <v>0</v>
      </c>
      <c r="L41" s="420">
        <f>Volume_3!O25</f>
        <v>0</v>
      </c>
      <c r="M41" s="420">
        <f>Volume_3!S25</f>
        <v>0</v>
      </c>
      <c r="N41" s="420">
        <f>Volume_3!W25</f>
        <v>0</v>
      </c>
      <c r="O41" s="420">
        <f>Volume_3!AA25</f>
        <v>0</v>
      </c>
      <c r="P41" s="420">
        <f>Volume_3!AE25</f>
        <v>0</v>
      </c>
      <c r="Q41" s="420">
        <f>Volume_3!AI25</f>
        <v>0</v>
      </c>
      <c r="R41" s="420">
        <f>Volume_3!AM25</f>
        <v>0</v>
      </c>
      <c r="S41" s="420">
        <f>Volume_3!AQ25</f>
        <v>0</v>
      </c>
      <c r="T41" s="420">
        <f>Volume_3!AU25</f>
        <v>0</v>
      </c>
      <c r="U41" s="420">
        <f>Volume_3!AY25</f>
        <v>0</v>
      </c>
      <c r="W41" s="38"/>
    </row>
    <row r="42" spans="1:23" ht="15.75" thickBot="1" x14ac:dyDescent="0.3">
      <c r="A42" s="11"/>
      <c r="B42" s="49"/>
      <c r="C42" s="50">
        <f>SUM(C20:C41)</f>
        <v>0</v>
      </c>
      <c r="D42" s="51"/>
      <c r="E42" s="52"/>
      <c r="F42" s="53"/>
      <c r="G42" s="54"/>
      <c r="H42" s="421"/>
      <c r="I42" s="419"/>
      <c r="J42" s="419"/>
      <c r="K42" s="419"/>
      <c r="L42" s="419"/>
      <c r="M42" s="419"/>
      <c r="N42" s="419"/>
      <c r="O42" s="419"/>
      <c r="P42" s="419"/>
      <c r="Q42" s="419"/>
      <c r="R42" s="419"/>
      <c r="S42" s="419"/>
      <c r="T42" s="419"/>
      <c r="U42" s="422"/>
    </row>
    <row r="43" spans="1:23" ht="15.75" thickTop="1" x14ac:dyDescent="0.25">
      <c r="A43" s="11"/>
      <c r="B43" s="55" t="s">
        <v>39</v>
      </c>
      <c r="C43" s="51">
        <f>SUMIF(E20:E41,"JAS",C20:C41)</f>
        <v>0</v>
      </c>
      <c r="D43" s="51"/>
      <c r="E43" s="52"/>
      <c r="F43" s="53"/>
      <c r="G43" s="421"/>
      <c r="H43" s="418">
        <f>SUM(J43:U43)</f>
        <v>0</v>
      </c>
      <c r="I43" s="419"/>
      <c r="J43" s="423">
        <f t="shared" ref="J43:U43" si="4">SUM(J28:J41)</f>
        <v>0</v>
      </c>
      <c r="K43" s="423">
        <f t="shared" si="4"/>
        <v>0</v>
      </c>
      <c r="L43" s="423">
        <f t="shared" si="4"/>
        <v>0</v>
      </c>
      <c r="M43" s="423">
        <f t="shared" si="4"/>
        <v>0</v>
      </c>
      <c r="N43" s="423">
        <f t="shared" si="4"/>
        <v>0</v>
      </c>
      <c r="O43" s="423">
        <f t="shared" si="4"/>
        <v>0</v>
      </c>
      <c r="P43" s="423">
        <f t="shared" si="4"/>
        <v>0</v>
      </c>
      <c r="Q43" s="423">
        <f t="shared" si="4"/>
        <v>0</v>
      </c>
      <c r="R43" s="423">
        <f t="shared" si="4"/>
        <v>0</v>
      </c>
      <c r="S43" s="423">
        <f t="shared" si="4"/>
        <v>0</v>
      </c>
      <c r="T43" s="423">
        <f t="shared" si="4"/>
        <v>0</v>
      </c>
      <c r="U43" s="423">
        <f t="shared" si="4"/>
        <v>0</v>
      </c>
      <c r="W43" s="38"/>
    </row>
    <row r="44" spans="1:23" x14ac:dyDescent="0.25">
      <c r="A44" s="11"/>
      <c r="B44" s="55" t="s">
        <v>40</v>
      </c>
      <c r="C44" s="51">
        <f>SUMIF(E20:E41,"Tonnes",C20:C41)</f>
        <v>0</v>
      </c>
      <c r="D44" s="51"/>
      <c r="E44" s="52"/>
      <c r="F44" s="53"/>
      <c r="G44" s="421"/>
      <c r="H44" s="418">
        <f>SUM(J44:U44)</f>
        <v>0</v>
      </c>
      <c r="I44" s="419"/>
      <c r="J44" s="423">
        <f t="shared" ref="J44:U44" si="5">SUM(J20:J27)</f>
        <v>0</v>
      </c>
      <c r="K44" s="423">
        <f t="shared" si="5"/>
        <v>0</v>
      </c>
      <c r="L44" s="423">
        <f t="shared" si="5"/>
        <v>0</v>
      </c>
      <c r="M44" s="423">
        <f t="shared" si="5"/>
        <v>0</v>
      </c>
      <c r="N44" s="423">
        <f t="shared" si="5"/>
        <v>0</v>
      </c>
      <c r="O44" s="423">
        <f t="shared" si="5"/>
        <v>0</v>
      </c>
      <c r="P44" s="423">
        <f t="shared" si="5"/>
        <v>0</v>
      </c>
      <c r="Q44" s="423">
        <f t="shared" si="5"/>
        <v>0</v>
      </c>
      <c r="R44" s="423">
        <f t="shared" si="5"/>
        <v>0</v>
      </c>
      <c r="S44" s="423">
        <f t="shared" si="5"/>
        <v>0</v>
      </c>
      <c r="T44" s="423">
        <f t="shared" si="5"/>
        <v>0</v>
      </c>
      <c r="U44" s="423">
        <f t="shared" si="5"/>
        <v>0</v>
      </c>
    </row>
    <row r="45" spans="1:23" ht="15.75" thickBot="1" x14ac:dyDescent="0.3">
      <c r="A45" s="11"/>
      <c r="B45" s="49"/>
      <c r="C45" s="51"/>
      <c r="D45" s="51"/>
      <c r="E45" s="52"/>
      <c r="F45" s="53"/>
      <c r="G45" s="421"/>
      <c r="H45" s="421"/>
      <c r="I45" s="419"/>
      <c r="J45" s="421"/>
      <c r="K45" s="421"/>
      <c r="L45" s="421"/>
      <c r="M45" s="421"/>
      <c r="N45" s="421"/>
      <c r="O45" s="421"/>
      <c r="P45" s="421"/>
      <c r="Q45" s="421"/>
      <c r="R45" s="421"/>
      <c r="S45" s="421"/>
      <c r="T45" s="421"/>
      <c r="U45" s="424"/>
    </row>
    <row r="46" spans="1:23" ht="16.5" thickTop="1" thickBot="1" x14ac:dyDescent="0.3">
      <c r="A46" s="11"/>
      <c r="B46" s="59" t="s">
        <v>18</v>
      </c>
      <c r="C46" s="60"/>
      <c r="D46" s="60"/>
      <c r="E46" s="61"/>
      <c r="F46" s="62"/>
      <c r="G46" s="427" t="e">
        <f>H46/W16</f>
        <v>#DIV/0!</v>
      </c>
      <c r="H46" s="425">
        <f>SUM(H20:H41)</f>
        <v>0</v>
      </c>
      <c r="I46" s="65"/>
      <c r="J46" s="425">
        <f t="shared" ref="J46:U46" si="6">SUM(J20:J41)</f>
        <v>0</v>
      </c>
      <c r="K46" s="425">
        <f t="shared" si="6"/>
        <v>0</v>
      </c>
      <c r="L46" s="425">
        <f t="shared" si="6"/>
        <v>0</v>
      </c>
      <c r="M46" s="425">
        <f t="shared" si="6"/>
        <v>0</v>
      </c>
      <c r="N46" s="425">
        <f t="shared" si="6"/>
        <v>0</v>
      </c>
      <c r="O46" s="425">
        <f t="shared" si="6"/>
        <v>0</v>
      </c>
      <c r="P46" s="425">
        <f t="shared" si="6"/>
        <v>0</v>
      </c>
      <c r="Q46" s="425">
        <f t="shared" si="6"/>
        <v>0</v>
      </c>
      <c r="R46" s="425">
        <f t="shared" si="6"/>
        <v>0</v>
      </c>
      <c r="S46" s="425">
        <f t="shared" si="6"/>
        <v>0</v>
      </c>
      <c r="T46" s="425">
        <f t="shared" si="6"/>
        <v>0</v>
      </c>
      <c r="U46" s="426">
        <f t="shared" si="6"/>
        <v>0</v>
      </c>
      <c r="W46" s="67">
        <f>SUM(J46:U46)</f>
        <v>0</v>
      </c>
    </row>
    <row r="47" spans="1:23" x14ac:dyDescent="0.25">
      <c r="A47" s="11"/>
      <c r="B47" s="68"/>
      <c r="G47" s="52"/>
      <c r="H47" s="69"/>
      <c r="I47" s="69"/>
    </row>
    <row r="48" spans="1:23" ht="16.5" thickBot="1" x14ac:dyDescent="0.3">
      <c r="A48" s="11"/>
      <c r="B48" s="70" t="s">
        <v>41</v>
      </c>
      <c r="C48" s="80" t="s">
        <v>44</v>
      </c>
      <c r="D48" s="42" t="s">
        <v>220</v>
      </c>
    </row>
    <row r="49" spans="1:23" ht="15.75" thickBot="1" x14ac:dyDescent="0.3">
      <c r="A49" s="11"/>
      <c r="B49" s="71" t="s">
        <v>42</v>
      </c>
      <c r="C49" s="321" t="s">
        <v>193</v>
      </c>
      <c r="D49" s="324" t="s">
        <v>53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40"/>
    </row>
    <row r="50" spans="1:23" ht="15.75" thickBot="1" x14ac:dyDescent="0.3">
      <c r="A50" s="11"/>
      <c r="B50" s="72"/>
      <c r="C50" s="43"/>
      <c r="D50" s="43"/>
      <c r="E50" s="43"/>
      <c r="F50" s="43"/>
      <c r="G50" s="43"/>
      <c r="H50" s="42" t="s">
        <v>18</v>
      </c>
      <c r="I50" s="43"/>
      <c r="J50" s="178">
        <v>45658</v>
      </c>
      <c r="K50" s="178">
        <v>45689</v>
      </c>
      <c r="L50" s="178">
        <v>45717</v>
      </c>
      <c r="M50" s="178">
        <v>45748</v>
      </c>
      <c r="N50" s="178">
        <v>45778</v>
      </c>
      <c r="O50" s="178">
        <v>45809</v>
      </c>
      <c r="P50" s="178">
        <v>45839</v>
      </c>
      <c r="Q50" s="178">
        <v>45870</v>
      </c>
      <c r="R50" s="178">
        <v>45901</v>
      </c>
      <c r="S50" s="178">
        <v>45931</v>
      </c>
      <c r="T50" s="178">
        <v>45962</v>
      </c>
      <c r="U50" s="178">
        <v>45992</v>
      </c>
    </row>
    <row r="51" spans="1:23" ht="16.5" thickTop="1" thickBot="1" x14ac:dyDescent="0.3">
      <c r="A51" s="11"/>
      <c r="B51" s="73"/>
      <c r="C51" s="74"/>
      <c r="D51" s="74"/>
      <c r="E51" s="74"/>
      <c r="F51" s="74"/>
      <c r="G51" s="433" t="e">
        <f>H51/W16</f>
        <v>#DIV/0!</v>
      </c>
      <c r="H51" s="434">
        <f>SUM(J51:U51)</f>
        <v>0</v>
      </c>
      <c r="I51" s="76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2"/>
      <c r="W51" s="67">
        <f>SUM(J51:U51)</f>
        <v>0</v>
      </c>
    </row>
    <row r="52" spans="1:23" x14ac:dyDescent="0.25">
      <c r="A52" s="11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</row>
    <row r="53" spans="1:23" ht="15.75" thickBot="1" x14ac:dyDescent="0.3">
      <c r="A53" s="11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</row>
    <row r="54" spans="1:23" ht="15.75" thickBot="1" x14ac:dyDescent="0.3">
      <c r="A54" s="11"/>
      <c r="B54" s="71" t="s">
        <v>43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40"/>
    </row>
    <row r="55" spans="1:23" x14ac:dyDescent="0.25">
      <c r="A55" s="11"/>
      <c r="B55" s="41" t="s">
        <v>13</v>
      </c>
      <c r="C55" s="80" t="s">
        <v>44</v>
      </c>
      <c r="D55" s="42" t="s">
        <v>220</v>
      </c>
      <c r="E55" s="80" t="s">
        <v>45</v>
      </c>
      <c r="F55" s="80" t="s">
        <v>45</v>
      </c>
      <c r="G55" s="80" t="s">
        <v>46</v>
      </c>
      <c r="H55" s="81" t="s">
        <v>18</v>
      </c>
      <c r="I55" s="43"/>
      <c r="J55" s="178">
        <v>45658</v>
      </c>
      <c r="K55" s="178">
        <v>45689</v>
      </c>
      <c r="L55" s="178">
        <v>45717</v>
      </c>
      <c r="M55" s="178">
        <v>45748</v>
      </c>
      <c r="N55" s="178">
        <v>45778</v>
      </c>
      <c r="O55" s="178">
        <v>45809</v>
      </c>
      <c r="P55" s="178">
        <v>45839</v>
      </c>
      <c r="Q55" s="178">
        <v>45870</v>
      </c>
      <c r="R55" s="178">
        <v>45901</v>
      </c>
      <c r="S55" s="178">
        <v>45931</v>
      </c>
      <c r="T55" s="178">
        <v>45962</v>
      </c>
      <c r="U55" s="178">
        <v>45992</v>
      </c>
    </row>
    <row r="56" spans="1:23" x14ac:dyDescent="0.25">
      <c r="A56" s="11"/>
      <c r="B56" s="203" t="s">
        <v>20</v>
      </c>
      <c r="C56" s="83" t="s">
        <v>192</v>
      </c>
      <c r="D56" s="83" t="s">
        <v>47</v>
      </c>
      <c r="E56" s="438" t="s">
        <v>172</v>
      </c>
      <c r="F56" s="439" t="s">
        <v>250</v>
      </c>
      <c r="G56" s="206">
        <v>14.74</v>
      </c>
      <c r="H56" s="435">
        <f>SUM(J56:U56)</f>
        <v>0</v>
      </c>
      <c r="I56" s="54"/>
      <c r="J56" s="428"/>
      <c r="K56" s="428"/>
      <c r="L56" s="428"/>
      <c r="M56" s="428"/>
      <c r="N56" s="428"/>
      <c r="O56" s="428"/>
      <c r="P56" s="428"/>
      <c r="Q56" s="428"/>
      <c r="R56" s="428"/>
      <c r="S56" s="428"/>
      <c r="T56" s="428"/>
      <c r="U56" s="428"/>
    </row>
    <row r="57" spans="1:23" x14ac:dyDescent="0.25">
      <c r="A57" s="11"/>
      <c r="B57" s="102" t="s">
        <v>22</v>
      </c>
      <c r="C57" s="207" t="s">
        <v>192</v>
      </c>
      <c r="D57" s="207" t="s">
        <v>47</v>
      </c>
      <c r="E57" s="208" t="s">
        <v>172</v>
      </c>
      <c r="F57" s="209" t="s">
        <v>249</v>
      </c>
      <c r="G57" s="206">
        <v>17</v>
      </c>
      <c r="H57" s="435">
        <v>0</v>
      </c>
      <c r="I57" s="54"/>
      <c r="J57" s="428"/>
      <c r="K57" s="428"/>
      <c r="L57" s="428"/>
      <c r="M57" s="428"/>
      <c r="N57" s="428"/>
      <c r="O57" s="428"/>
      <c r="P57" s="428"/>
      <c r="Q57" s="428"/>
      <c r="R57" s="428"/>
      <c r="S57" s="428"/>
      <c r="T57" s="428"/>
      <c r="U57" s="428"/>
    </row>
    <row r="58" spans="1:23" x14ac:dyDescent="0.25">
      <c r="A58" s="11"/>
      <c r="B58" s="102" t="s">
        <v>25</v>
      </c>
      <c r="C58" s="207" t="s">
        <v>192</v>
      </c>
      <c r="D58" s="207" t="s">
        <v>47</v>
      </c>
      <c r="E58" s="440" t="s">
        <v>172</v>
      </c>
      <c r="F58" s="441"/>
      <c r="G58" s="206">
        <v>14.19</v>
      </c>
      <c r="H58" s="435">
        <f t="shared" ref="H58:H77" si="7">SUM(J58:U58)</f>
        <v>0</v>
      </c>
      <c r="I58" s="54"/>
      <c r="J58" s="428"/>
      <c r="K58" s="428"/>
      <c r="L58" s="428"/>
      <c r="M58" s="428"/>
      <c r="N58" s="428"/>
      <c r="O58" s="428"/>
      <c r="P58" s="428"/>
      <c r="Q58" s="428"/>
      <c r="R58" s="428"/>
      <c r="S58" s="428"/>
      <c r="T58" s="428"/>
      <c r="U58" s="428"/>
    </row>
    <row r="59" spans="1:23" x14ac:dyDescent="0.25">
      <c r="A59" s="11"/>
      <c r="B59" s="102" t="s">
        <v>30</v>
      </c>
      <c r="C59" s="207" t="s">
        <v>192</v>
      </c>
      <c r="D59" s="207" t="s">
        <v>47</v>
      </c>
      <c r="E59" s="440" t="s">
        <v>172</v>
      </c>
      <c r="F59" s="441" t="s">
        <v>223</v>
      </c>
      <c r="G59" s="206">
        <v>36.54</v>
      </c>
      <c r="H59" s="435">
        <f t="shared" si="7"/>
        <v>0</v>
      </c>
      <c r="I59" s="54"/>
      <c r="J59" s="428"/>
      <c r="K59" s="428"/>
      <c r="L59" s="428"/>
      <c r="M59" s="428"/>
      <c r="N59" s="428"/>
      <c r="O59" s="428"/>
      <c r="P59" s="428"/>
      <c r="Q59" s="428"/>
      <c r="R59" s="428"/>
      <c r="S59" s="428"/>
      <c r="T59" s="428"/>
      <c r="U59" s="428"/>
    </row>
    <row r="60" spans="1:23" x14ac:dyDescent="0.25">
      <c r="A60" s="11"/>
      <c r="B60" s="102" t="s">
        <v>222</v>
      </c>
      <c r="C60" s="207" t="s">
        <v>192</v>
      </c>
      <c r="D60" s="207" t="s">
        <v>47</v>
      </c>
      <c r="E60" s="440" t="s">
        <v>172</v>
      </c>
      <c r="F60" s="441" t="s">
        <v>223</v>
      </c>
      <c r="G60" s="206">
        <v>36.54</v>
      </c>
      <c r="H60" s="435">
        <f t="shared" si="7"/>
        <v>0</v>
      </c>
      <c r="I60" s="54"/>
      <c r="J60" s="428"/>
      <c r="K60" s="428"/>
      <c r="L60" s="428"/>
      <c r="M60" s="428"/>
      <c r="N60" s="428"/>
      <c r="O60" s="428"/>
      <c r="P60" s="428"/>
      <c r="Q60" s="428"/>
      <c r="R60" s="428"/>
      <c r="S60" s="428"/>
      <c r="T60" s="428"/>
      <c r="U60" s="428"/>
    </row>
    <row r="61" spans="1:23" x14ac:dyDescent="0.25">
      <c r="A61" s="11"/>
      <c r="B61" s="102" t="s">
        <v>34</v>
      </c>
      <c r="C61" s="207" t="s">
        <v>192</v>
      </c>
      <c r="D61" s="207" t="s">
        <v>47</v>
      </c>
      <c r="E61" s="440" t="s">
        <v>172</v>
      </c>
      <c r="F61" s="441"/>
      <c r="G61" s="206"/>
      <c r="H61" s="435">
        <f t="shared" si="7"/>
        <v>0</v>
      </c>
      <c r="I61" s="54"/>
      <c r="J61" s="428"/>
      <c r="K61" s="428"/>
      <c r="L61" s="428"/>
      <c r="M61" s="428"/>
      <c r="N61" s="428"/>
      <c r="O61" s="428"/>
      <c r="P61" s="428"/>
      <c r="Q61" s="428"/>
      <c r="R61" s="428"/>
      <c r="S61" s="428"/>
      <c r="T61" s="428"/>
      <c r="U61" s="428"/>
    </row>
    <row r="62" spans="1:23" x14ac:dyDescent="0.25">
      <c r="A62" s="11"/>
      <c r="B62" s="102" t="s">
        <v>37</v>
      </c>
      <c r="C62" s="207" t="s">
        <v>192</v>
      </c>
      <c r="D62" s="207" t="s">
        <v>47</v>
      </c>
      <c r="E62" s="440" t="s">
        <v>172</v>
      </c>
      <c r="F62" s="441"/>
      <c r="G62" s="206"/>
      <c r="H62" s="435">
        <f t="shared" si="7"/>
        <v>0</v>
      </c>
      <c r="I62" s="54"/>
      <c r="J62" s="428"/>
      <c r="K62" s="428"/>
      <c r="L62" s="428"/>
      <c r="M62" s="428"/>
      <c r="N62" s="428"/>
      <c r="O62" s="428"/>
      <c r="P62" s="428"/>
      <c r="Q62" s="428"/>
      <c r="R62" s="428"/>
      <c r="S62" s="428"/>
      <c r="T62" s="428"/>
      <c r="U62" s="428"/>
    </row>
    <row r="63" spans="1:23" x14ac:dyDescent="0.25">
      <c r="A63" s="11"/>
      <c r="B63" s="102" t="s">
        <v>174</v>
      </c>
      <c r="C63" s="207" t="s">
        <v>192</v>
      </c>
      <c r="D63" s="207" t="s">
        <v>47</v>
      </c>
      <c r="E63" s="440" t="s">
        <v>172</v>
      </c>
      <c r="F63" s="441"/>
      <c r="G63" s="206"/>
      <c r="H63" s="435">
        <f t="shared" si="7"/>
        <v>0</v>
      </c>
      <c r="I63" s="54"/>
      <c r="J63" s="428"/>
      <c r="K63" s="428"/>
      <c r="L63" s="428"/>
      <c r="M63" s="428"/>
      <c r="N63" s="428"/>
      <c r="O63" s="428"/>
      <c r="P63" s="428"/>
      <c r="Q63" s="428"/>
      <c r="R63" s="428"/>
      <c r="S63" s="428"/>
      <c r="T63" s="428"/>
      <c r="U63" s="428"/>
    </row>
    <row r="64" spans="1:23" x14ac:dyDescent="0.25">
      <c r="A64" s="11"/>
      <c r="B64" s="102" t="s">
        <v>175</v>
      </c>
      <c r="C64" s="207" t="s">
        <v>192</v>
      </c>
      <c r="D64" s="207" t="s">
        <v>47</v>
      </c>
      <c r="E64" s="440" t="s">
        <v>221</v>
      </c>
      <c r="F64" s="441" t="s">
        <v>224</v>
      </c>
      <c r="G64" s="206">
        <v>24.13</v>
      </c>
      <c r="H64" s="435">
        <f t="shared" si="7"/>
        <v>0</v>
      </c>
      <c r="I64" s="54"/>
      <c r="J64" s="428"/>
      <c r="K64" s="428"/>
      <c r="L64" s="428"/>
      <c r="M64" s="428"/>
      <c r="N64" s="428"/>
      <c r="O64" s="428"/>
      <c r="P64" s="428"/>
      <c r="Q64" s="428"/>
      <c r="R64" s="428"/>
      <c r="S64" s="428"/>
      <c r="T64" s="428"/>
      <c r="U64" s="428"/>
    </row>
    <row r="65" spans="1:23" x14ac:dyDescent="0.25">
      <c r="A65" s="11"/>
      <c r="B65" s="102" t="s">
        <v>176</v>
      </c>
      <c r="C65" s="207" t="s">
        <v>192</v>
      </c>
      <c r="D65" s="207" t="s">
        <v>47</v>
      </c>
      <c r="E65" s="440" t="s">
        <v>221</v>
      </c>
      <c r="F65" s="441" t="s">
        <v>224</v>
      </c>
      <c r="G65" s="206">
        <v>24.13</v>
      </c>
      <c r="H65" s="435">
        <f t="shared" si="7"/>
        <v>0</v>
      </c>
      <c r="I65" s="54"/>
      <c r="J65" s="428"/>
      <c r="K65" s="428"/>
      <c r="L65" s="428"/>
      <c r="M65" s="428"/>
      <c r="N65" s="428"/>
      <c r="O65" s="428"/>
      <c r="P65" s="428"/>
      <c r="Q65" s="428"/>
      <c r="R65" s="428"/>
      <c r="S65" s="428"/>
      <c r="T65" s="428"/>
      <c r="U65" s="428"/>
    </row>
    <row r="66" spans="1:23" x14ac:dyDescent="0.25">
      <c r="A66" s="11"/>
      <c r="B66" s="102" t="s">
        <v>23</v>
      </c>
      <c r="C66" s="207" t="s">
        <v>192</v>
      </c>
      <c r="D66" s="207" t="s">
        <v>47</v>
      </c>
      <c r="E66" s="440" t="s">
        <v>221</v>
      </c>
      <c r="F66" s="441" t="s">
        <v>224</v>
      </c>
      <c r="G66" s="206">
        <v>24.13</v>
      </c>
      <c r="H66" s="435">
        <f t="shared" si="7"/>
        <v>0</v>
      </c>
      <c r="I66" s="54"/>
      <c r="J66" s="428"/>
      <c r="K66" s="428"/>
      <c r="L66" s="428"/>
      <c r="M66" s="428"/>
      <c r="N66" s="428"/>
      <c r="O66" s="428"/>
      <c r="P66" s="428"/>
      <c r="Q66" s="428"/>
      <c r="R66" s="428"/>
      <c r="S66" s="428"/>
      <c r="T66" s="428"/>
      <c r="U66" s="428"/>
    </row>
    <row r="67" spans="1:23" x14ac:dyDescent="0.25">
      <c r="A67" s="11"/>
      <c r="B67" s="102" t="s">
        <v>24</v>
      </c>
      <c r="C67" s="207" t="s">
        <v>192</v>
      </c>
      <c r="D67" s="207" t="s">
        <v>47</v>
      </c>
      <c r="E67" s="208" t="s">
        <v>221</v>
      </c>
      <c r="F67" s="441" t="s">
        <v>224</v>
      </c>
      <c r="G67" s="206">
        <v>24.13</v>
      </c>
      <c r="H67" s="435">
        <f t="shared" si="7"/>
        <v>0</v>
      </c>
      <c r="I67" s="54"/>
      <c r="J67" s="428"/>
      <c r="K67" s="428"/>
      <c r="L67" s="428"/>
      <c r="M67" s="428"/>
      <c r="N67" s="428"/>
      <c r="O67" s="428"/>
      <c r="P67" s="428"/>
      <c r="Q67" s="428"/>
      <c r="R67" s="428"/>
      <c r="S67" s="428"/>
      <c r="T67" s="428"/>
      <c r="U67" s="428"/>
    </row>
    <row r="68" spans="1:23" x14ac:dyDescent="0.25">
      <c r="A68" s="11"/>
      <c r="B68" s="212" t="s">
        <v>26</v>
      </c>
      <c r="C68" s="207" t="s">
        <v>192</v>
      </c>
      <c r="D68" s="207" t="s">
        <v>47</v>
      </c>
      <c r="E68" s="440" t="s">
        <v>221</v>
      </c>
      <c r="F68" s="441" t="s">
        <v>224</v>
      </c>
      <c r="G68" s="206">
        <v>24.13</v>
      </c>
      <c r="H68" s="435">
        <f t="shared" si="7"/>
        <v>0</v>
      </c>
      <c r="I68" s="54"/>
      <c r="J68" s="428"/>
      <c r="K68" s="428"/>
      <c r="L68" s="428"/>
      <c r="M68" s="428"/>
      <c r="N68" s="428"/>
      <c r="O68" s="428"/>
      <c r="P68" s="428"/>
      <c r="Q68" s="428"/>
      <c r="R68" s="428"/>
      <c r="S68" s="428"/>
      <c r="T68" s="428"/>
      <c r="U68" s="428"/>
    </row>
    <row r="69" spans="1:23" x14ac:dyDescent="0.25">
      <c r="A69" s="11"/>
      <c r="B69" s="102" t="s">
        <v>27</v>
      </c>
      <c r="C69" s="207" t="s">
        <v>192</v>
      </c>
      <c r="D69" s="207" t="s">
        <v>47</v>
      </c>
      <c r="E69" s="440" t="s">
        <v>221</v>
      </c>
      <c r="F69" s="441" t="s">
        <v>224</v>
      </c>
      <c r="G69" s="206">
        <v>24.13</v>
      </c>
      <c r="H69" s="435">
        <f t="shared" si="7"/>
        <v>0</v>
      </c>
      <c r="I69" s="54"/>
      <c r="J69" s="428"/>
      <c r="K69" s="428"/>
      <c r="L69" s="428"/>
      <c r="M69" s="428"/>
      <c r="N69" s="428"/>
      <c r="O69" s="428"/>
      <c r="P69" s="428"/>
      <c r="Q69" s="428"/>
      <c r="R69" s="428"/>
      <c r="S69" s="428"/>
      <c r="T69" s="428"/>
      <c r="U69" s="428"/>
    </row>
    <row r="70" spans="1:23" x14ac:dyDescent="0.25">
      <c r="A70" s="11"/>
      <c r="B70" s="102" t="s">
        <v>28</v>
      </c>
      <c r="C70" s="207" t="s">
        <v>192</v>
      </c>
      <c r="D70" s="207" t="s">
        <v>47</v>
      </c>
      <c r="E70" s="440" t="s">
        <v>221</v>
      </c>
      <c r="F70" s="441" t="s">
        <v>224</v>
      </c>
      <c r="G70" s="206">
        <v>24.13</v>
      </c>
      <c r="H70" s="435">
        <f t="shared" si="7"/>
        <v>0</v>
      </c>
      <c r="I70" s="54"/>
      <c r="J70" s="428"/>
      <c r="K70" s="428"/>
      <c r="L70" s="428"/>
      <c r="M70" s="428"/>
      <c r="N70" s="428"/>
      <c r="O70" s="428"/>
      <c r="P70" s="428"/>
      <c r="Q70" s="428"/>
      <c r="R70" s="428"/>
      <c r="S70" s="428"/>
      <c r="T70" s="428"/>
      <c r="U70" s="428"/>
    </row>
    <row r="71" spans="1:23" x14ac:dyDescent="0.25">
      <c r="A71" s="11"/>
      <c r="B71" s="212" t="s">
        <v>29</v>
      </c>
      <c r="C71" s="207" t="s">
        <v>192</v>
      </c>
      <c r="D71" s="207" t="s">
        <v>47</v>
      </c>
      <c r="E71" s="208" t="s">
        <v>221</v>
      </c>
      <c r="F71" s="441" t="s">
        <v>224</v>
      </c>
      <c r="G71" s="206">
        <v>24.13</v>
      </c>
      <c r="H71" s="435">
        <f t="shared" si="7"/>
        <v>0</v>
      </c>
      <c r="I71" s="54"/>
      <c r="J71" s="428"/>
      <c r="K71" s="428"/>
      <c r="L71" s="428"/>
      <c r="M71" s="428"/>
      <c r="N71" s="428"/>
      <c r="O71" s="428"/>
      <c r="P71" s="428"/>
      <c r="Q71" s="428"/>
      <c r="R71" s="428"/>
      <c r="S71" s="428"/>
      <c r="T71" s="428"/>
      <c r="U71" s="428"/>
    </row>
    <row r="72" spans="1:23" x14ac:dyDescent="0.25">
      <c r="A72" s="11"/>
      <c r="B72" s="212" t="s">
        <v>31</v>
      </c>
      <c r="C72" s="207" t="s">
        <v>192</v>
      </c>
      <c r="D72" s="207" t="s">
        <v>47</v>
      </c>
      <c r="E72" s="208" t="s">
        <v>221</v>
      </c>
      <c r="F72" s="441" t="s">
        <v>224</v>
      </c>
      <c r="G72" s="206">
        <v>24.13</v>
      </c>
      <c r="H72" s="435">
        <f t="shared" si="7"/>
        <v>0</v>
      </c>
      <c r="I72" s="54"/>
      <c r="J72" s="428"/>
      <c r="K72" s="428"/>
      <c r="L72" s="428"/>
      <c r="M72" s="428"/>
      <c r="N72" s="428"/>
      <c r="O72" s="428"/>
      <c r="P72" s="428"/>
      <c r="Q72" s="428"/>
      <c r="R72" s="428"/>
      <c r="S72" s="428"/>
      <c r="T72" s="428"/>
      <c r="U72" s="428"/>
    </row>
    <row r="73" spans="1:23" x14ac:dyDescent="0.25">
      <c r="A73" s="11"/>
      <c r="B73" s="212" t="s">
        <v>32</v>
      </c>
      <c r="C73" s="207" t="s">
        <v>192</v>
      </c>
      <c r="D73" s="207" t="s">
        <v>47</v>
      </c>
      <c r="E73" s="440" t="s">
        <v>221</v>
      </c>
      <c r="F73" s="441" t="s">
        <v>224</v>
      </c>
      <c r="G73" s="206">
        <v>24.13</v>
      </c>
      <c r="H73" s="435">
        <f t="shared" si="7"/>
        <v>0</v>
      </c>
      <c r="I73" s="54"/>
      <c r="J73" s="428"/>
      <c r="K73" s="428"/>
      <c r="L73" s="428"/>
      <c r="M73" s="428"/>
      <c r="N73" s="428"/>
      <c r="O73" s="428"/>
      <c r="P73" s="428"/>
      <c r="Q73" s="428"/>
      <c r="R73" s="428"/>
      <c r="S73" s="428"/>
      <c r="T73" s="428"/>
      <c r="U73" s="428"/>
    </row>
    <row r="74" spans="1:23" x14ac:dyDescent="0.25">
      <c r="A74" s="11"/>
      <c r="B74" s="102" t="s">
        <v>33</v>
      </c>
      <c r="C74" s="207" t="s">
        <v>192</v>
      </c>
      <c r="D74" s="207" t="s">
        <v>47</v>
      </c>
      <c r="E74" s="440" t="s">
        <v>221</v>
      </c>
      <c r="F74" s="441" t="s">
        <v>224</v>
      </c>
      <c r="G74" s="206">
        <v>24.13</v>
      </c>
      <c r="H74" s="435">
        <f t="shared" si="7"/>
        <v>0</v>
      </c>
      <c r="I74" s="54"/>
      <c r="J74" s="428"/>
      <c r="K74" s="428"/>
      <c r="L74" s="428"/>
      <c r="M74" s="428"/>
      <c r="N74" s="428"/>
      <c r="O74" s="428"/>
      <c r="P74" s="428"/>
      <c r="Q74" s="428"/>
      <c r="R74" s="428"/>
      <c r="S74" s="428"/>
      <c r="T74" s="428"/>
      <c r="U74" s="428"/>
    </row>
    <row r="75" spans="1:23" x14ac:dyDescent="0.25">
      <c r="A75" s="11"/>
      <c r="B75" s="212" t="s">
        <v>35</v>
      </c>
      <c r="C75" s="207" t="s">
        <v>192</v>
      </c>
      <c r="D75" s="207" t="s">
        <v>47</v>
      </c>
      <c r="E75" s="208"/>
      <c r="F75" s="213"/>
      <c r="G75" s="206"/>
      <c r="H75" s="435">
        <f t="shared" si="7"/>
        <v>0</v>
      </c>
      <c r="I75" s="54"/>
      <c r="J75" s="428"/>
      <c r="K75" s="428"/>
      <c r="L75" s="428"/>
      <c r="M75" s="428"/>
      <c r="N75" s="428"/>
      <c r="O75" s="428"/>
      <c r="P75" s="428"/>
      <c r="Q75" s="428"/>
      <c r="R75" s="428"/>
      <c r="S75" s="428"/>
      <c r="T75" s="428"/>
      <c r="U75" s="428"/>
    </row>
    <row r="76" spans="1:23" x14ac:dyDescent="0.25">
      <c r="A76" s="11"/>
      <c r="B76" s="212" t="s">
        <v>36</v>
      </c>
      <c r="C76" s="207" t="s">
        <v>192</v>
      </c>
      <c r="D76" s="207" t="s">
        <v>47</v>
      </c>
      <c r="E76" s="208"/>
      <c r="F76" s="209"/>
      <c r="G76" s="206"/>
      <c r="H76" s="435">
        <f t="shared" si="7"/>
        <v>0</v>
      </c>
      <c r="I76" s="54"/>
      <c r="J76" s="428"/>
      <c r="K76" s="428"/>
      <c r="L76" s="428"/>
      <c r="M76" s="428"/>
      <c r="N76" s="428"/>
      <c r="O76" s="428"/>
      <c r="P76" s="428"/>
      <c r="Q76" s="428"/>
      <c r="R76" s="428"/>
      <c r="S76" s="428"/>
      <c r="T76" s="428"/>
      <c r="U76" s="428"/>
    </row>
    <row r="77" spans="1:23" ht="15.75" thickBot="1" x14ac:dyDescent="0.3">
      <c r="A77" s="84"/>
      <c r="B77" s="214" t="s">
        <v>38</v>
      </c>
      <c r="C77" s="215" t="s">
        <v>192</v>
      </c>
      <c r="D77" s="215" t="s">
        <v>47</v>
      </c>
      <c r="E77" s="216"/>
      <c r="F77" s="217"/>
      <c r="G77" s="206"/>
      <c r="H77" s="435">
        <f t="shared" si="7"/>
        <v>0</v>
      </c>
      <c r="I77" s="54"/>
      <c r="J77" s="428"/>
      <c r="K77" s="428"/>
      <c r="L77" s="428"/>
      <c r="M77" s="428"/>
      <c r="N77" s="428"/>
      <c r="O77" s="428"/>
      <c r="P77" s="428"/>
      <c r="Q77" s="428"/>
      <c r="R77" s="428"/>
      <c r="S77" s="428"/>
      <c r="T77" s="428"/>
      <c r="U77" s="428"/>
    </row>
    <row r="78" spans="1:23" ht="16.5" thickTop="1" thickBot="1" x14ac:dyDescent="0.3">
      <c r="A78" s="11"/>
      <c r="B78" s="85"/>
      <c r="C78" s="86"/>
      <c r="D78" s="86"/>
      <c r="E78" s="87"/>
      <c r="F78" s="88"/>
      <c r="G78" s="89" t="e">
        <f>H78/W16</f>
        <v>#DIV/0!</v>
      </c>
      <c r="H78" s="434">
        <f>SUM(H56:H77)</f>
        <v>0</v>
      </c>
      <c r="I78" s="76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2"/>
      <c r="W78" s="67">
        <f>SUM(J78:U78)</f>
        <v>0</v>
      </c>
    </row>
    <row r="79" spans="1:23" ht="15.75" thickBot="1" x14ac:dyDescent="0.3">
      <c r="A79" s="11"/>
      <c r="B79" s="84"/>
      <c r="C79" s="84"/>
      <c r="D79" s="84"/>
      <c r="E79" s="52"/>
      <c r="F79" s="90"/>
      <c r="G79" s="91"/>
      <c r="H79" s="92"/>
      <c r="I79" s="46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</row>
    <row r="80" spans="1:23" ht="15.75" thickBot="1" x14ac:dyDescent="0.3">
      <c r="A80" s="11"/>
      <c r="B80" s="93" t="s">
        <v>48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40"/>
    </row>
    <row r="81" spans="1:21" x14ac:dyDescent="0.25">
      <c r="A81" s="11"/>
      <c r="B81" s="94" t="s">
        <v>49</v>
      </c>
      <c r="C81" s="80" t="s">
        <v>44</v>
      </c>
      <c r="D81" s="42" t="s">
        <v>220</v>
      </c>
      <c r="E81" s="80" t="s">
        <v>50</v>
      </c>
      <c r="F81" s="80" t="s">
        <v>51</v>
      </c>
      <c r="G81" s="80" t="s">
        <v>45</v>
      </c>
      <c r="H81" s="42" t="s">
        <v>18</v>
      </c>
      <c r="I81" s="43"/>
      <c r="J81" s="178">
        <v>45658</v>
      </c>
      <c r="K81" s="178">
        <v>45689</v>
      </c>
      <c r="L81" s="178">
        <v>45717</v>
      </c>
      <c r="M81" s="178">
        <v>45748</v>
      </c>
      <c r="N81" s="178">
        <v>45778</v>
      </c>
      <c r="O81" s="178">
        <v>45809</v>
      </c>
      <c r="P81" s="178">
        <v>45839</v>
      </c>
      <c r="Q81" s="178">
        <v>45870</v>
      </c>
      <c r="R81" s="178">
        <v>45901</v>
      </c>
      <c r="S81" s="178">
        <v>45931</v>
      </c>
      <c r="T81" s="178">
        <v>45962</v>
      </c>
      <c r="U81" s="178">
        <v>45992</v>
      </c>
    </row>
    <row r="82" spans="1:21" x14ac:dyDescent="0.25">
      <c r="A82" s="11"/>
      <c r="B82" s="95" t="s">
        <v>52</v>
      </c>
      <c r="C82" s="330" t="s">
        <v>212</v>
      </c>
      <c r="D82" s="97" t="s">
        <v>53</v>
      </c>
      <c r="E82" s="98"/>
      <c r="F82" s="98"/>
      <c r="G82" s="96"/>
      <c r="H82" s="430">
        <f t="shared" ref="H82:H105" si="8">SUM(J82:U82)</f>
        <v>0</v>
      </c>
      <c r="J82" s="100"/>
      <c r="K82" s="100"/>
      <c r="L82" s="100"/>
      <c r="M82" s="100"/>
      <c r="N82" s="100"/>
      <c r="O82" s="100"/>
      <c r="P82" s="100"/>
      <c r="Q82" s="100"/>
      <c r="R82" s="100"/>
      <c r="S82" s="100"/>
      <c r="T82" s="100"/>
      <c r="U82" s="101"/>
    </row>
    <row r="83" spans="1:21" x14ac:dyDescent="0.25">
      <c r="A83" s="11"/>
      <c r="B83" s="102" t="s">
        <v>227</v>
      </c>
      <c r="C83" s="331" t="s">
        <v>213</v>
      </c>
      <c r="D83" s="104" t="s">
        <v>53</v>
      </c>
      <c r="E83" s="103">
        <v>699</v>
      </c>
      <c r="F83" s="103">
        <v>3675</v>
      </c>
      <c r="G83" s="103"/>
      <c r="H83" s="430">
        <f t="shared" si="8"/>
        <v>0</v>
      </c>
      <c r="I83" s="46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1"/>
    </row>
    <row r="84" spans="1:21" x14ac:dyDescent="0.25">
      <c r="A84" s="11"/>
      <c r="B84" s="102" t="s">
        <v>54</v>
      </c>
      <c r="C84" s="331" t="s">
        <v>216</v>
      </c>
      <c r="D84" s="104" t="s">
        <v>53</v>
      </c>
      <c r="E84" s="103">
        <v>699</v>
      </c>
      <c r="F84" s="103">
        <v>3691</v>
      </c>
      <c r="G84" s="103"/>
      <c r="H84" s="430">
        <f t="shared" si="8"/>
        <v>0</v>
      </c>
      <c r="I84" s="46"/>
      <c r="J84" s="100"/>
      <c r="K84" s="100"/>
      <c r="L84" s="100"/>
      <c r="M84" s="100"/>
      <c r="N84" s="100"/>
      <c r="O84" s="100"/>
      <c r="P84" s="100"/>
      <c r="Q84" s="100"/>
      <c r="R84" s="100"/>
      <c r="S84" s="100"/>
      <c r="T84" s="100"/>
      <c r="U84" s="101"/>
    </row>
    <row r="85" spans="1:21" x14ac:dyDescent="0.25">
      <c r="A85" s="11"/>
      <c r="B85" s="102" t="s">
        <v>55</v>
      </c>
      <c r="C85" s="331" t="s">
        <v>217</v>
      </c>
      <c r="D85" s="104" t="s">
        <v>53</v>
      </c>
      <c r="E85" s="103">
        <v>699</v>
      </c>
      <c r="F85" s="103">
        <v>3677</v>
      </c>
      <c r="G85" s="103"/>
      <c r="H85" s="430">
        <f t="shared" si="8"/>
        <v>0</v>
      </c>
      <c r="J85" s="100"/>
      <c r="K85" s="100"/>
      <c r="L85" s="100"/>
      <c r="M85" s="100"/>
      <c r="N85" s="100"/>
      <c r="O85" s="100"/>
      <c r="P85" s="100"/>
      <c r="Q85" s="100"/>
      <c r="R85" s="100"/>
      <c r="S85" s="100"/>
      <c r="T85" s="100"/>
      <c r="U85" s="101"/>
    </row>
    <row r="86" spans="1:21" x14ac:dyDescent="0.25">
      <c r="A86" s="11"/>
      <c r="B86" s="105" t="s">
        <v>228</v>
      </c>
      <c r="C86" s="103">
        <v>721</v>
      </c>
      <c r="D86" s="104" t="s">
        <v>53</v>
      </c>
      <c r="E86" s="103">
        <v>699</v>
      </c>
      <c r="F86" s="103">
        <v>3671</v>
      </c>
      <c r="G86" s="103"/>
      <c r="H86" s="430">
        <f t="shared" si="8"/>
        <v>0</v>
      </c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1"/>
    </row>
    <row r="87" spans="1:21" x14ac:dyDescent="0.25">
      <c r="A87" s="11"/>
      <c r="B87" s="105" t="s">
        <v>56</v>
      </c>
      <c r="C87" s="331" t="s">
        <v>218</v>
      </c>
      <c r="D87" s="104" t="s">
        <v>53</v>
      </c>
      <c r="E87" s="103">
        <v>699</v>
      </c>
      <c r="F87" s="103">
        <v>3669</v>
      </c>
      <c r="G87" s="103"/>
      <c r="H87" s="430">
        <f t="shared" si="8"/>
        <v>0</v>
      </c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1"/>
    </row>
    <row r="88" spans="1:21" x14ac:dyDescent="0.25">
      <c r="A88" s="11"/>
      <c r="B88" s="105" t="s">
        <v>57</v>
      </c>
      <c r="C88" s="331" t="s">
        <v>219</v>
      </c>
      <c r="D88" s="104" t="s">
        <v>53</v>
      </c>
      <c r="E88" s="103">
        <v>699</v>
      </c>
      <c r="F88" s="103">
        <v>3665</v>
      </c>
      <c r="G88" s="103"/>
      <c r="H88" s="430">
        <f t="shared" si="8"/>
        <v>0</v>
      </c>
      <c r="J88" s="100"/>
      <c r="K88" s="100"/>
      <c r="L88" s="100"/>
      <c r="M88" s="100"/>
      <c r="N88" s="100"/>
      <c r="O88" s="100"/>
      <c r="P88" s="100"/>
      <c r="Q88" s="100"/>
      <c r="R88" s="100"/>
      <c r="S88" s="100"/>
      <c r="T88" s="100"/>
      <c r="U88" s="101"/>
    </row>
    <row r="89" spans="1:21" x14ac:dyDescent="0.25">
      <c r="A89" s="11"/>
      <c r="B89" s="105" t="s">
        <v>229</v>
      </c>
      <c r="C89" s="331" t="s">
        <v>215</v>
      </c>
      <c r="D89" s="104" t="s">
        <v>53</v>
      </c>
      <c r="E89" s="103">
        <v>699</v>
      </c>
      <c r="F89" s="103">
        <v>3963</v>
      </c>
      <c r="G89" s="103"/>
      <c r="H89" s="430">
        <f t="shared" si="8"/>
        <v>0</v>
      </c>
      <c r="I89" s="46"/>
      <c r="J89" s="100"/>
      <c r="K89" s="100"/>
      <c r="L89" s="100"/>
      <c r="M89" s="100"/>
      <c r="N89" s="100"/>
      <c r="O89" s="100"/>
      <c r="P89" s="100"/>
      <c r="Q89" s="100"/>
      <c r="R89" s="100"/>
      <c r="S89" s="100"/>
      <c r="T89" s="100"/>
      <c r="U89" s="101"/>
    </row>
    <row r="90" spans="1:21" x14ac:dyDescent="0.25">
      <c r="A90" s="11"/>
      <c r="B90" s="105" t="s">
        <v>238</v>
      </c>
      <c r="C90" s="331" t="s">
        <v>214</v>
      </c>
      <c r="D90" s="104" t="s">
        <v>59</v>
      </c>
      <c r="E90" s="103"/>
      <c r="F90" s="103"/>
      <c r="G90" s="103"/>
      <c r="H90" s="430">
        <f t="shared" si="8"/>
        <v>0</v>
      </c>
      <c r="I90" s="46"/>
      <c r="J90" s="420"/>
      <c r="K90" s="420"/>
      <c r="L90" s="420"/>
      <c r="M90" s="420"/>
      <c r="N90" s="420"/>
      <c r="O90" s="420"/>
      <c r="P90" s="420"/>
      <c r="Q90" s="420"/>
      <c r="R90" s="420"/>
      <c r="S90" s="420"/>
      <c r="T90" s="420"/>
      <c r="U90" s="429"/>
    </row>
    <row r="91" spans="1:21" x14ac:dyDescent="0.25">
      <c r="A91" s="11"/>
      <c r="B91" s="105" t="s">
        <v>225</v>
      </c>
      <c r="C91" s="103">
        <v>720</v>
      </c>
      <c r="D91" s="104" t="s">
        <v>59</v>
      </c>
      <c r="E91" s="103"/>
      <c r="F91" s="103"/>
      <c r="G91" s="103"/>
      <c r="H91" s="430">
        <f t="shared" si="8"/>
        <v>0</v>
      </c>
      <c r="I91" s="46"/>
      <c r="J91" s="420">
        <f t="shared" ref="J91:U91" si="9">J115</f>
        <v>0</v>
      </c>
      <c r="K91" s="420">
        <f t="shared" si="9"/>
        <v>0</v>
      </c>
      <c r="L91" s="420">
        <f t="shared" si="9"/>
        <v>0</v>
      </c>
      <c r="M91" s="420">
        <f t="shared" si="9"/>
        <v>0</v>
      </c>
      <c r="N91" s="420">
        <f t="shared" si="9"/>
        <v>0</v>
      </c>
      <c r="O91" s="420">
        <f t="shared" si="9"/>
        <v>0</v>
      </c>
      <c r="P91" s="420">
        <f t="shared" si="9"/>
        <v>0</v>
      </c>
      <c r="Q91" s="420">
        <f t="shared" si="9"/>
        <v>0</v>
      </c>
      <c r="R91" s="420">
        <f t="shared" si="9"/>
        <v>0</v>
      </c>
      <c r="S91" s="420">
        <f t="shared" si="9"/>
        <v>0</v>
      </c>
      <c r="T91" s="420">
        <f t="shared" si="9"/>
        <v>0</v>
      </c>
      <c r="U91" s="429">
        <f t="shared" si="9"/>
        <v>0</v>
      </c>
    </row>
    <row r="92" spans="1:21" x14ac:dyDescent="0.25">
      <c r="A92" s="11"/>
      <c r="B92" s="105" t="s">
        <v>226</v>
      </c>
      <c r="C92" s="103">
        <v>720</v>
      </c>
      <c r="D92" s="104" t="s">
        <v>59</v>
      </c>
      <c r="E92" s="103"/>
      <c r="F92" s="103"/>
      <c r="G92" s="103"/>
      <c r="H92" s="430">
        <f t="shared" si="8"/>
        <v>11115</v>
      </c>
      <c r="J92" s="420"/>
      <c r="K92" s="420"/>
      <c r="L92" s="420">
        <v>11115</v>
      </c>
      <c r="M92" s="420"/>
      <c r="N92" s="420"/>
      <c r="O92" s="420"/>
      <c r="P92" s="420"/>
      <c r="Q92" s="420"/>
      <c r="R92" s="420"/>
      <c r="S92" s="420"/>
      <c r="T92" s="420"/>
      <c r="U92" s="429"/>
    </row>
    <row r="93" spans="1:21" x14ac:dyDescent="0.25">
      <c r="A93" s="11"/>
      <c r="B93" s="105" t="s">
        <v>205</v>
      </c>
      <c r="C93" s="103">
        <v>720</v>
      </c>
      <c r="D93" s="104" t="s">
        <v>59</v>
      </c>
      <c r="E93" s="103"/>
      <c r="F93" s="103"/>
      <c r="G93" s="103"/>
      <c r="H93" s="430">
        <f t="shared" si="8"/>
        <v>0</v>
      </c>
      <c r="J93" s="420"/>
      <c r="K93" s="420"/>
      <c r="L93" s="420"/>
      <c r="M93" s="420"/>
      <c r="N93" s="420"/>
      <c r="O93" s="420"/>
      <c r="P93" s="420"/>
      <c r="Q93" s="420"/>
      <c r="R93" s="420"/>
      <c r="S93" s="420"/>
      <c r="T93" s="420"/>
      <c r="U93" s="429"/>
    </row>
    <row r="94" spans="1:21" x14ac:dyDescent="0.25">
      <c r="A94" s="11"/>
      <c r="B94" s="105" t="s">
        <v>60</v>
      </c>
      <c r="C94" s="331" t="s">
        <v>194</v>
      </c>
      <c r="D94" s="104" t="s">
        <v>59</v>
      </c>
      <c r="E94" s="103"/>
      <c r="F94" s="103"/>
      <c r="G94" s="103"/>
      <c r="H94" s="430">
        <f t="shared" si="8"/>
        <v>0</v>
      </c>
      <c r="J94" s="420">
        <f t="shared" ref="J94:U94" si="10">J119</f>
        <v>0</v>
      </c>
      <c r="K94" s="420">
        <f t="shared" si="10"/>
        <v>0</v>
      </c>
      <c r="L94" s="420">
        <f t="shared" si="10"/>
        <v>0</v>
      </c>
      <c r="M94" s="420">
        <f t="shared" si="10"/>
        <v>0</v>
      </c>
      <c r="N94" s="420">
        <f t="shared" si="10"/>
        <v>0</v>
      </c>
      <c r="O94" s="420">
        <f t="shared" si="10"/>
        <v>0</v>
      </c>
      <c r="P94" s="420">
        <f t="shared" si="10"/>
        <v>0</v>
      </c>
      <c r="Q94" s="420">
        <f t="shared" si="10"/>
        <v>0</v>
      </c>
      <c r="R94" s="420">
        <f t="shared" si="10"/>
        <v>0</v>
      </c>
      <c r="S94" s="420">
        <f t="shared" si="10"/>
        <v>0</v>
      </c>
      <c r="T94" s="420">
        <f t="shared" si="10"/>
        <v>0</v>
      </c>
      <c r="U94" s="429">
        <f t="shared" si="10"/>
        <v>0</v>
      </c>
    </row>
    <row r="95" spans="1:21" x14ac:dyDescent="0.25">
      <c r="A95" s="11"/>
      <c r="B95" s="105" t="s">
        <v>80</v>
      </c>
      <c r="C95" s="331" t="s">
        <v>194</v>
      </c>
      <c r="D95" s="104" t="s">
        <v>59</v>
      </c>
      <c r="E95" s="103"/>
      <c r="F95" s="103"/>
      <c r="G95" s="103"/>
      <c r="H95" s="430">
        <f t="shared" si="8"/>
        <v>0</v>
      </c>
      <c r="J95" s="420">
        <f t="shared" ref="J95:U95" si="11">J120</f>
        <v>0</v>
      </c>
      <c r="K95" s="420">
        <f t="shared" si="11"/>
        <v>0</v>
      </c>
      <c r="L95" s="420">
        <f t="shared" si="11"/>
        <v>0</v>
      </c>
      <c r="M95" s="420">
        <f t="shared" si="11"/>
        <v>0</v>
      </c>
      <c r="N95" s="420">
        <f t="shared" si="11"/>
        <v>0</v>
      </c>
      <c r="O95" s="420">
        <f t="shared" si="11"/>
        <v>0</v>
      </c>
      <c r="P95" s="420">
        <f t="shared" si="11"/>
        <v>0</v>
      </c>
      <c r="Q95" s="420">
        <f t="shared" si="11"/>
        <v>0</v>
      </c>
      <c r="R95" s="420">
        <f t="shared" si="11"/>
        <v>0</v>
      </c>
      <c r="S95" s="420">
        <f t="shared" si="11"/>
        <v>0</v>
      </c>
      <c r="T95" s="420">
        <f t="shared" si="11"/>
        <v>0</v>
      </c>
      <c r="U95" s="429">
        <f t="shared" si="11"/>
        <v>0</v>
      </c>
    </row>
    <row r="96" spans="1:21" x14ac:dyDescent="0.25">
      <c r="A96" s="11"/>
      <c r="B96" s="105" t="s">
        <v>230</v>
      </c>
      <c r="C96" s="104">
        <v>305</v>
      </c>
      <c r="D96" s="332" t="s">
        <v>61</v>
      </c>
      <c r="E96" s="103"/>
      <c r="F96" s="103"/>
      <c r="G96" s="103"/>
      <c r="H96" s="430">
        <f t="shared" si="8"/>
        <v>0</v>
      </c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1"/>
    </row>
    <row r="97" spans="1:23" x14ac:dyDescent="0.25">
      <c r="A97" s="11"/>
      <c r="B97" s="105" t="s">
        <v>231</v>
      </c>
      <c r="C97" s="104">
        <v>306</v>
      </c>
      <c r="D97" s="332" t="s">
        <v>61</v>
      </c>
      <c r="E97" s="103"/>
      <c r="F97" s="103"/>
      <c r="G97" s="103"/>
      <c r="H97" s="430">
        <f t="shared" si="8"/>
        <v>0</v>
      </c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1"/>
    </row>
    <row r="98" spans="1:23" x14ac:dyDescent="0.25">
      <c r="A98" s="11"/>
      <c r="B98" s="105" t="s">
        <v>232</v>
      </c>
      <c r="C98" s="334" t="s">
        <v>195</v>
      </c>
      <c r="D98" s="332" t="s">
        <v>62</v>
      </c>
      <c r="E98" s="103"/>
      <c r="F98" s="103"/>
      <c r="G98" s="103"/>
      <c r="H98" s="430">
        <f t="shared" si="8"/>
        <v>0</v>
      </c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1"/>
    </row>
    <row r="99" spans="1:23" x14ac:dyDescent="0.25">
      <c r="A99" s="11"/>
      <c r="B99" s="105" t="s">
        <v>233</v>
      </c>
      <c r="C99" s="334" t="s">
        <v>196</v>
      </c>
      <c r="D99" s="332" t="s">
        <v>62</v>
      </c>
      <c r="E99" s="103"/>
      <c r="F99" s="103"/>
      <c r="G99" s="103"/>
      <c r="H99" s="430">
        <f t="shared" si="8"/>
        <v>0</v>
      </c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1"/>
    </row>
    <row r="100" spans="1:23" x14ac:dyDescent="0.25">
      <c r="A100" s="11"/>
      <c r="B100" s="105" t="s">
        <v>235</v>
      </c>
      <c r="C100" s="334" t="s">
        <v>197</v>
      </c>
      <c r="D100" s="104" t="s">
        <v>63</v>
      </c>
      <c r="E100" s="103"/>
      <c r="F100" s="103"/>
      <c r="G100" s="103"/>
      <c r="H100" s="430">
        <f t="shared" si="8"/>
        <v>0</v>
      </c>
      <c r="J100" s="100"/>
      <c r="K100" s="100"/>
      <c r="L100" s="100"/>
      <c r="M100" s="100"/>
      <c r="N100" s="100"/>
      <c r="O100" s="100"/>
      <c r="P100" s="100"/>
      <c r="Q100" s="100"/>
      <c r="R100" s="100"/>
      <c r="S100" s="100"/>
      <c r="T100" s="100"/>
      <c r="U100" s="101"/>
    </row>
    <row r="101" spans="1:23" x14ac:dyDescent="0.25">
      <c r="A101" s="11"/>
      <c r="B101" s="105" t="s">
        <v>64</v>
      </c>
      <c r="C101" s="334" t="s">
        <v>198</v>
      </c>
      <c r="D101" s="104" t="s">
        <v>63</v>
      </c>
      <c r="E101" s="104"/>
      <c r="F101" s="103"/>
      <c r="G101" s="344" t="e">
        <f>H101/$W$16</f>
        <v>#DIV/0!</v>
      </c>
      <c r="H101" s="430">
        <f t="shared" si="8"/>
        <v>0</v>
      </c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1"/>
    </row>
    <row r="102" spans="1:23" x14ac:dyDescent="0.25">
      <c r="A102" s="11"/>
      <c r="B102" s="105" t="s">
        <v>65</v>
      </c>
      <c r="C102" s="334" t="s">
        <v>199</v>
      </c>
      <c r="D102" s="104" t="s">
        <v>63</v>
      </c>
      <c r="E102" s="104">
        <v>365</v>
      </c>
      <c r="F102" s="103"/>
      <c r="G102" s="103"/>
      <c r="H102" s="430">
        <f t="shared" si="8"/>
        <v>0</v>
      </c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1"/>
    </row>
    <row r="103" spans="1:23" x14ac:dyDescent="0.25">
      <c r="A103" s="11"/>
      <c r="B103" s="105" t="s">
        <v>66</v>
      </c>
      <c r="C103" s="334" t="s">
        <v>200</v>
      </c>
      <c r="D103" s="104" t="s">
        <v>67</v>
      </c>
      <c r="E103" s="103">
        <v>338</v>
      </c>
      <c r="F103" s="103"/>
      <c r="G103" s="344">
        <v>0.33</v>
      </c>
      <c r="H103" s="430">
        <f t="shared" si="8"/>
        <v>0</v>
      </c>
      <c r="I103" s="46"/>
      <c r="J103" s="420">
        <f t="shared" ref="J103:U103" si="12">$G$103*J16</f>
        <v>0</v>
      </c>
      <c r="K103" s="420">
        <f t="shared" si="12"/>
        <v>0</v>
      </c>
      <c r="L103" s="420">
        <f t="shared" si="12"/>
        <v>0</v>
      </c>
      <c r="M103" s="420">
        <f t="shared" si="12"/>
        <v>0</v>
      </c>
      <c r="N103" s="420">
        <f t="shared" si="12"/>
        <v>0</v>
      </c>
      <c r="O103" s="420">
        <f t="shared" si="12"/>
        <v>0</v>
      </c>
      <c r="P103" s="420">
        <f t="shared" si="12"/>
        <v>0</v>
      </c>
      <c r="Q103" s="420">
        <f t="shared" si="12"/>
        <v>0</v>
      </c>
      <c r="R103" s="420">
        <f t="shared" si="12"/>
        <v>0</v>
      </c>
      <c r="S103" s="420">
        <f t="shared" si="12"/>
        <v>0</v>
      </c>
      <c r="T103" s="420">
        <f t="shared" si="12"/>
        <v>0</v>
      </c>
      <c r="U103" s="420">
        <f t="shared" si="12"/>
        <v>0</v>
      </c>
    </row>
    <row r="104" spans="1:23" x14ac:dyDescent="0.25">
      <c r="A104" s="11"/>
      <c r="B104" s="105" t="s">
        <v>234</v>
      </c>
      <c r="C104" s="104">
        <v>351</v>
      </c>
      <c r="D104" s="104" t="s">
        <v>67</v>
      </c>
      <c r="E104" s="103">
        <v>324</v>
      </c>
      <c r="F104" s="103"/>
      <c r="G104" s="349">
        <v>1.6000000000000001E-3</v>
      </c>
      <c r="H104" s="430">
        <f t="shared" si="8"/>
        <v>0</v>
      </c>
      <c r="J104" s="420">
        <f t="shared" ref="J104:U104" si="13">$G$104*J46/100</f>
        <v>0</v>
      </c>
      <c r="K104" s="420">
        <f t="shared" si="13"/>
        <v>0</v>
      </c>
      <c r="L104" s="420">
        <f t="shared" si="13"/>
        <v>0</v>
      </c>
      <c r="M104" s="420">
        <f t="shared" si="13"/>
        <v>0</v>
      </c>
      <c r="N104" s="420">
        <f t="shared" si="13"/>
        <v>0</v>
      </c>
      <c r="O104" s="420">
        <f t="shared" si="13"/>
        <v>0</v>
      </c>
      <c r="P104" s="420">
        <f t="shared" si="13"/>
        <v>0</v>
      </c>
      <c r="Q104" s="420">
        <f t="shared" si="13"/>
        <v>0</v>
      </c>
      <c r="R104" s="420">
        <f t="shared" si="13"/>
        <v>0</v>
      </c>
      <c r="S104" s="420">
        <f t="shared" si="13"/>
        <v>0</v>
      </c>
      <c r="T104" s="420">
        <f t="shared" si="13"/>
        <v>0</v>
      </c>
      <c r="U104" s="420">
        <f t="shared" si="13"/>
        <v>0</v>
      </c>
    </row>
    <row r="105" spans="1:23" x14ac:dyDescent="0.25">
      <c r="A105" s="11"/>
      <c r="B105" s="106" t="s">
        <v>68</v>
      </c>
      <c r="C105" s="333" t="s">
        <v>201</v>
      </c>
      <c r="D105" s="107" t="s">
        <v>67</v>
      </c>
      <c r="E105" s="107"/>
      <c r="F105" s="108"/>
      <c r="G105" s="344">
        <v>3.75</v>
      </c>
      <c r="H105" s="430">
        <f t="shared" si="8"/>
        <v>0</v>
      </c>
      <c r="J105" s="420">
        <f t="shared" ref="J105:U105" si="14">$G$105*J16</f>
        <v>0</v>
      </c>
      <c r="K105" s="420">
        <f t="shared" si="14"/>
        <v>0</v>
      </c>
      <c r="L105" s="420">
        <f t="shared" si="14"/>
        <v>0</v>
      </c>
      <c r="M105" s="420">
        <f t="shared" si="14"/>
        <v>0</v>
      </c>
      <c r="N105" s="420">
        <f t="shared" si="14"/>
        <v>0</v>
      </c>
      <c r="O105" s="420">
        <f t="shared" si="14"/>
        <v>0</v>
      </c>
      <c r="P105" s="420">
        <f t="shared" si="14"/>
        <v>0</v>
      </c>
      <c r="Q105" s="420">
        <f t="shared" si="14"/>
        <v>0</v>
      </c>
      <c r="R105" s="420">
        <f t="shared" si="14"/>
        <v>0</v>
      </c>
      <c r="S105" s="420">
        <f t="shared" si="14"/>
        <v>0</v>
      </c>
      <c r="T105" s="420">
        <f t="shared" si="14"/>
        <v>0</v>
      </c>
      <c r="U105" s="420">
        <f t="shared" si="14"/>
        <v>0</v>
      </c>
    </row>
    <row r="106" spans="1:23" x14ac:dyDescent="0.25">
      <c r="B106" s="11"/>
      <c r="U106" s="109"/>
    </row>
    <row r="107" spans="1:23" ht="15.75" thickBot="1" x14ac:dyDescent="0.3">
      <c r="A107" s="11"/>
      <c r="B107" s="110" t="s">
        <v>69</v>
      </c>
      <c r="C107" s="33"/>
      <c r="D107" s="33"/>
      <c r="E107" s="33"/>
      <c r="F107" s="33"/>
      <c r="G107" s="436" t="e">
        <f>H107/B127</f>
        <v>#DIV/0!</v>
      </c>
      <c r="H107" s="425">
        <f>SUM(H82:H105)</f>
        <v>11115</v>
      </c>
      <c r="I107" s="112"/>
      <c r="J107" s="425">
        <f t="shared" ref="J107:U107" si="15">SUM(J82:J105)</f>
        <v>0</v>
      </c>
      <c r="K107" s="425">
        <f t="shared" si="15"/>
        <v>0</v>
      </c>
      <c r="L107" s="425">
        <f t="shared" si="15"/>
        <v>11115</v>
      </c>
      <c r="M107" s="425">
        <f t="shared" si="15"/>
        <v>0</v>
      </c>
      <c r="N107" s="425">
        <f t="shared" si="15"/>
        <v>0</v>
      </c>
      <c r="O107" s="425">
        <f t="shared" si="15"/>
        <v>0</v>
      </c>
      <c r="P107" s="425">
        <f t="shared" si="15"/>
        <v>0</v>
      </c>
      <c r="Q107" s="425">
        <f t="shared" si="15"/>
        <v>0</v>
      </c>
      <c r="R107" s="425">
        <f t="shared" si="15"/>
        <v>0</v>
      </c>
      <c r="S107" s="425">
        <f t="shared" si="15"/>
        <v>0</v>
      </c>
      <c r="T107" s="425">
        <f t="shared" si="15"/>
        <v>0</v>
      </c>
      <c r="U107" s="426">
        <f t="shared" si="15"/>
        <v>0</v>
      </c>
    </row>
    <row r="108" spans="1:23" ht="15.75" thickBot="1" x14ac:dyDescent="0.3"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</row>
    <row r="109" spans="1:23" ht="16.5" thickTop="1" thickBot="1" x14ac:dyDescent="0.3">
      <c r="B109" s="113" t="s">
        <v>70</v>
      </c>
      <c r="C109" s="114"/>
      <c r="D109" s="114"/>
      <c r="E109" s="114"/>
      <c r="F109" s="114"/>
      <c r="G109" s="115"/>
      <c r="H109" s="431">
        <f>H51+H78+H107</f>
        <v>11115</v>
      </c>
      <c r="I109" s="115"/>
      <c r="J109" s="431">
        <f t="shared" ref="J109:U109" si="16">J51+J78+J107</f>
        <v>0</v>
      </c>
      <c r="K109" s="431">
        <f t="shared" si="16"/>
        <v>0</v>
      </c>
      <c r="L109" s="431">
        <f t="shared" si="16"/>
        <v>11115</v>
      </c>
      <c r="M109" s="431">
        <f t="shared" si="16"/>
        <v>0</v>
      </c>
      <c r="N109" s="431">
        <f t="shared" si="16"/>
        <v>0</v>
      </c>
      <c r="O109" s="431">
        <f t="shared" si="16"/>
        <v>0</v>
      </c>
      <c r="P109" s="431">
        <f t="shared" si="16"/>
        <v>0</v>
      </c>
      <c r="Q109" s="431">
        <f t="shared" si="16"/>
        <v>0</v>
      </c>
      <c r="R109" s="431">
        <f t="shared" si="16"/>
        <v>0</v>
      </c>
      <c r="S109" s="431">
        <f t="shared" si="16"/>
        <v>0</v>
      </c>
      <c r="T109" s="431">
        <f t="shared" si="16"/>
        <v>0</v>
      </c>
      <c r="U109" s="432">
        <f t="shared" si="16"/>
        <v>0</v>
      </c>
      <c r="W109" s="67">
        <f>SUM(J109:U109)</f>
        <v>11115</v>
      </c>
    </row>
    <row r="110" spans="1:23" ht="15.75" thickBot="1" x14ac:dyDescent="0.3">
      <c r="J110" s="222"/>
      <c r="K110" s="222"/>
      <c r="L110" s="222"/>
    </row>
    <row r="111" spans="1:23" ht="16.5" thickTop="1" thickBot="1" x14ac:dyDescent="0.3">
      <c r="B111" s="113" t="s">
        <v>71</v>
      </c>
      <c r="C111" s="114"/>
      <c r="D111" s="114"/>
      <c r="E111" s="114"/>
      <c r="F111" s="114"/>
      <c r="G111" s="114"/>
      <c r="H111" s="431">
        <f>H46-H109</f>
        <v>-11115</v>
      </c>
      <c r="I111" s="115"/>
      <c r="J111" s="431">
        <f t="shared" ref="J111:U111" si="17">J46-J109</f>
        <v>0</v>
      </c>
      <c r="K111" s="431">
        <f t="shared" si="17"/>
        <v>0</v>
      </c>
      <c r="L111" s="431">
        <f t="shared" si="17"/>
        <v>-11115</v>
      </c>
      <c r="M111" s="431">
        <f t="shared" si="17"/>
        <v>0</v>
      </c>
      <c r="N111" s="431">
        <f t="shared" si="17"/>
        <v>0</v>
      </c>
      <c r="O111" s="431">
        <f t="shared" si="17"/>
        <v>0</v>
      </c>
      <c r="P111" s="431">
        <f t="shared" si="17"/>
        <v>0</v>
      </c>
      <c r="Q111" s="431">
        <f t="shared" si="17"/>
        <v>0</v>
      </c>
      <c r="R111" s="431">
        <f t="shared" si="17"/>
        <v>0</v>
      </c>
      <c r="S111" s="431">
        <f t="shared" si="17"/>
        <v>0</v>
      </c>
      <c r="T111" s="431">
        <f t="shared" si="17"/>
        <v>0</v>
      </c>
      <c r="U111" s="432">
        <f t="shared" si="17"/>
        <v>0</v>
      </c>
      <c r="W111" s="67">
        <f>SUM(J111:U111)</f>
        <v>-11115</v>
      </c>
    </row>
    <row r="112" spans="1:23" ht="15.75" thickBot="1" x14ac:dyDescent="0.3">
      <c r="K112" s="131"/>
    </row>
    <row r="113" spans="2:21" x14ac:dyDescent="0.25">
      <c r="B113" s="71" t="s">
        <v>72</v>
      </c>
      <c r="C113" s="80" t="s">
        <v>44</v>
      </c>
      <c r="D113" s="42" t="s">
        <v>220</v>
      </c>
      <c r="E113" s="42" t="s">
        <v>203</v>
      </c>
      <c r="F113" s="42" t="s">
        <v>240</v>
      </c>
      <c r="G113" s="42" t="s">
        <v>239</v>
      </c>
      <c r="H113" s="9"/>
      <c r="I113" s="118"/>
      <c r="J113" s="448" t="s">
        <v>73</v>
      </c>
      <c r="K113" s="448"/>
      <c r="L113" s="448"/>
      <c r="M113" s="448"/>
      <c r="N113" s="448"/>
      <c r="O113" s="448"/>
      <c r="P113" s="448"/>
      <c r="Q113" s="448"/>
      <c r="R113" s="448"/>
      <c r="S113" s="448"/>
      <c r="T113" s="448"/>
      <c r="U113" s="449"/>
    </row>
    <row r="114" spans="2:21" x14ac:dyDescent="0.25">
      <c r="B114" s="119" t="s">
        <v>74</v>
      </c>
      <c r="C114" s="340">
        <v>720</v>
      </c>
      <c r="D114" s="120" t="s">
        <v>59</v>
      </c>
      <c r="E114" s="121" t="s">
        <v>75</v>
      </c>
      <c r="F114" s="123"/>
      <c r="G114" s="345"/>
      <c r="H114" s="122"/>
      <c r="J114" s="123"/>
      <c r="K114" s="123"/>
      <c r="L114" s="123"/>
      <c r="M114" s="123"/>
      <c r="N114" s="123"/>
      <c r="O114" s="123"/>
      <c r="P114" s="123"/>
      <c r="Q114" s="123"/>
      <c r="R114" s="123"/>
      <c r="S114" s="123"/>
      <c r="T114" s="123"/>
      <c r="U114" s="124"/>
    </row>
    <row r="115" spans="2:21" x14ac:dyDescent="0.25">
      <c r="B115" s="119" t="s">
        <v>76</v>
      </c>
      <c r="C115" s="340">
        <v>720</v>
      </c>
      <c r="D115" s="120" t="s">
        <v>59</v>
      </c>
      <c r="E115" s="121" t="s">
        <v>75</v>
      </c>
      <c r="F115" s="123"/>
      <c r="G115" s="345">
        <f>IFERROR(H115/F115,0)</f>
        <v>0</v>
      </c>
      <c r="H115" s="122"/>
      <c r="J115" s="123"/>
      <c r="K115" s="123"/>
      <c r="L115" s="123"/>
      <c r="M115" s="123"/>
      <c r="N115" s="123"/>
      <c r="O115" s="123"/>
      <c r="P115" s="123"/>
      <c r="Q115" s="123"/>
      <c r="R115" s="123"/>
      <c r="S115" s="123"/>
      <c r="T115" s="123"/>
      <c r="U115" s="124"/>
    </row>
    <row r="116" spans="2:21" x14ac:dyDescent="0.25">
      <c r="B116" s="119" t="s">
        <v>77</v>
      </c>
      <c r="C116" s="340">
        <v>720</v>
      </c>
      <c r="D116" s="120" t="s">
        <v>59</v>
      </c>
      <c r="E116" s="121" t="s">
        <v>75</v>
      </c>
      <c r="F116" s="123"/>
      <c r="G116" s="345"/>
      <c r="H116" s="122"/>
      <c r="J116" s="123"/>
      <c r="K116" s="123"/>
      <c r="L116" s="123"/>
      <c r="M116" s="123"/>
      <c r="N116" s="123"/>
      <c r="O116" s="123"/>
      <c r="P116" s="123"/>
      <c r="Q116" s="123"/>
      <c r="R116" s="123"/>
      <c r="S116" s="123"/>
      <c r="T116" s="123"/>
      <c r="U116" s="124"/>
    </row>
    <row r="117" spans="2:21" x14ac:dyDescent="0.25">
      <c r="B117" s="119" t="s">
        <v>78</v>
      </c>
      <c r="C117" s="340">
        <v>720</v>
      </c>
      <c r="D117" s="120" t="s">
        <v>59</v>
      </c>
      <c r="E117" s="121" t="s">
        <v>75</v>
      </c>
      <c r="F117" s="123"/>
      <c r="G117" s="345"/>
      <c r="H117" s="122"/>
      <c r="J117" s="123"/>
      <c r="K117" s="123"/>
      <c r="L117" s="123"/>
      <c r="M117" s="123"/>
      <c r="N117" s="123"/>
      <c r="O117" s="123"/>
      <c r="P117" s="123"/>
      <c r="Q117" s="123"/>
      <c r="R117" s="123"/>
      <c r="S117" s="123"/>
      <c r="T117" s="123"/>
      <c r="U117" s="124"/>
    </row>
    <row r="118" spans="2:21" x14ac:dyDescent="0.25">
      <c r="B118" s="119" t="s">
        <v>205</v>
      </c>
      <c r="C118" s="340">
        <v>720</v>
      </c>
      <c r="D118" s="120" t="s">
        <v>59</v>
      </c>
      <c r="E118" s="121" t="s">
        <v>206</v>
      </c>
      <c r="F118" s="123"/>
      <c r="G118" s="345"/>
      <c r="H118" s="122"/>
      <c r="J118" s="123"/>
      <c r="K118" s="123"/>
      <c r="L118" s="123"/>
      <c r="M118" s="123"/>
      <c r="N118" s="123"/>
      <c r="O118" s="123"/>
      <c r="P118" s="123"/>
      <c r="Q118" s="123"/>
      <c r="R118" s="123"/>
      <c r="S118" s="123"/>
      <c r="T118" s="123"/>
      <c r="U118" s="124"/>
    </row>
    <row r="119" spans="2:21" x14ac:dyDescent="0.25">
      <c r="B119" s="119" t="s">
        <v>60</v>
      </c>
      <c r="C119" s="341" t="s">
        <v>194</v>
      </c>
      <c r="D119" s="120" t="s">
        <v>59</v>
      </c>
      <c r="E119" s="121" t="s">
        <v>79</v>
      </c>
      <c r="F119" s="123"/>
      <c r="G119" s="345">
        <f>IFERROR(H119/F119,0)</f>
        <v>0</v>
      </c>
      <c r="H119" s="122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4"/>
    </row>
    <row r="120" spans="2:21" x14ac:dyDescent="0.25">
      <c r="B120" s="119" t="s">
        <v>80</v>
      </c>
      <c r="C120" s="341" t="s">
        <v>194</v>
      </c>
      <c r="D120" s="120" t="s">
        <v>59</v>
      </c>
      <c r="E120" s="121" t="s">
        <v>81</v>
      </c>
      <c r="F120" s="123"/>
      <c r="G120" s="345">
        <f>IFERROR(H120/F120,0)</f>
        <v>0</v>
      </c>
      <c r="H120" s="122"/>
      <c r="J120" s="123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339"/>
    </row>
    <row r="121" spans="2:21" x14ac:dyDescent="0.25">
      <c r="B121" s="336" t="s">
        <v>237</v>
      </c>
      <c r="C121" s="342" t="s">
        <v>195</v>
      </c>
      <c r="D121" s="337" t="s">
        <v>62</v>
      </c>
      <c r="E121" s="338" t="s">
        <v>79</v>
      </c>
      <c r="F121" s="123"/>
      <c r="G121" s="345"/>
      <c r="H121" s="122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339"/>
    </row>
    <row r="122" spans="2:21" ht="15.75" thickBot="1" x14ac:dyDescent="0.3">
      <c r="B122" s="125" t="s">
        <v>236</v>
      </c>
      <c r="C122" s="343" t="s">
        <v>195</v>
      </c>
      <c r="D122" s="126" t="s">
        <v>62</v>
      </c>
      <c r="E122" s="127" t="s">
        <v>81</v>
      </c>
      <c r="F122" s="381"/>
      <c r="G122" s="346"/>
      <c r="H122" s="128">
        <v>0</v>
      </c>
      <c r="I122" s="33"/>
      <c r="J122" s="129"/>
      <c r="K122" s="129"/>
      <c r="L122" s="129"/>
      <c r="M122" s="129"/>
      <c r="N122" s="129"/>
      <c r="O122" s="129"/>
      <c r="P122" s="129"/>
      <c r="Q122" s="129"/>
      <c r="R122" s="129"/>
      <c r="S122" s="129"/>
      <c r="T122" s="129"/>
      <c r="U122" s="130"/>
    </row>
    <row r="123" spans="2:21" x14ac:dyDescent="0.25">
      <c r="J123" s="131"/>
      <c r="K123" s="131"/>
      <c r="L123" s="131"/>
      <c r="M123" s="131"/>
      <c r="N123" s="131"/>
      <c r="O123" s="131"/>
      <c r="P123" s="131"/>
      <c r="Q123" s="131"/>
      <c r="R123" s="131"/>
      <c r="S123" s="131"/>
      <c r="T123" s="131"/>
      <c r="U123" s="131"/>
    </row>
    <row r="124" spans="2:21" ht="15.75" thickBot="1" x14ac:dyDescent="0.3">
      <c r="J124" s="131"/>
      <c r="K124" s="131"/>
      <c r="L124" s="131"/>
      <c r="M124" s="131"/>
      <c r="N124" s="131"/>
      <c r="O124" s="131"/>
      <c r="P124" s="131"/>
      <c r="Q124" s="131"/>
      <c r="R124" s="131"/>
      <c r="S124" s="131"/>
      <c r="T124" s="131"/>
      <c r="U124" s="131"/>
    </row>
    <row r="125" spans="2:21" x14ac:dyDescent="0.25">
      <c r="B125" s="71" t="s">
        <v>82</v>
      </c>
      <c r="C125" s="9"/>
      <c r="D125" s="9"/>
      <c r="E125" s="9"/>
      <c r="F125" s="9"/>
      <c r="G125" s="40"/>
      <c r="J125" s="131"/>
      <c r="K125" s="131"/>
      <c r="L125" s="131"/>
      <c r="M125" s="131"/>
      <c r="N125" s="131"/>
      <c r="O125" s="131"/>
      <c r="P125" s="131"/>
      <c r="Q125" s="131"/>
      <c r="R125" s="131"/>
      <c r="S125" s="131"/>
      <c r="T125" s="131"/>
      <c r="U125" s="131"/>
    </row>
    <row r="126" spans="2:21" x14ac:dyDescent="0.25">
      <c r="B126" s="132" t="s">
        <v>83</v>
      </c>
      <c r="C126" s="43" t="s">
        <v>84</v>
      </c>
      <c r="D126"/>
      <c r="E126"/>
      <c r="F126" s="450" t="s">
        <v>85</v>
      </c>
      <c r="G126" s="451"/>
      <c r="I126" s="131"/>
      <c r="J126" s="131"/>
      <c r="K126" s="131"/>
      <c r="L126" s="131"/>
      <c r="M126" s="131"/>
      <c r="N126" s="131"/>
      <c r="O126" s="131"/>
      <c r="P126" s="131"/>
      <c r="Q126" s="131"/>
      <c r="R126" s="131"/>
      <c r="S126" s="131"/>
      <c r="T126" s="131"/>
    </row>
    <row r="127" spans="2:21" ht="18.75" x14ac:dyDescent="0.3">
      <c r="B127" s="133">
        <f>W16</f>
        <v>0</v>
      </c>
      <c r="C127" s="134"/>
      <c r="D127" s="134"/>
      <c r="E127" s="134"/>
      <c r="F127" s="135"/>
      <c r="G127" s="136"/>
      <c r="I127" s="131"/>
      <c r="J127" s="131"/>
      <c r="K127" s="131"/>
      <c r="L127" s="131"/>
      <c r="M127" s="131"/>
      <c r="N127" s="131"/>
      <c r="O127" s="131"/>
      <c r="P127" s="131"/>
      <c r="Q127" s="131"/>
      <c r="R127" s="131"/>
      <c r="S127" s="131"/>
      <c r="T127" s="131"/>
    </row>
    <row r="128" spans="2:21" x14ac:dyDescent="0.25">
      <c r="B128" s="137" t="s">
        <v>86</v>
      </c>
      <c r="C128" s="134"/>
      <c r="D128" s="134"/>
      <c r="E128" s="138">
        <f>H46</f>
        <v>0</v>
      </c>
      <c r="F128" s="135"/>
      <c r="G128" s="139" t="e">
        <f>E128/$B$127</f>
        <v>#DIV/0!</v>
      </c>
      <c r="I128" s="131"/>
      <c r="J128" s="131"/>
      <c r="K128" s="131"/>
      <c r="L128" s="131"/>
      <c r="M128" s="131"/>
      <c r="N128" s="131"/>
      <c r="O128" s="131"/>
      <c r="P128" s="131"/>
      <c r="Q128" s="131"/>
      <c r="R128" s="131"/>
      <c r="S128" s="131"/>
      <c r="T128" s="131"/>
    </row>
    <row r="129" spans="2:21" ht="9" customHeight="1" x14ac:dyDescent="0.25">
      <c r="B129" s="11"/>
      <c r="C129" s="134"/>
      <c r="D129" s="134"/>
      <c r="E129" s="134"/>
      <c r="F129" s="135"/>
      <c r="G129" s="136"/>
      <c r="I129" s="131"/>
      <c r="J129" s="131"/>
      <c r="K129" s="131"/>
      <c r="L129" s="131"/>
      <c r="M129" s="131"/>
      <c r="N129" s="131"/>
      <c r="O129" s="131"/>
      <c r="P129" s="131"/>
      <c r="Q129" s="131"/>
      <c r="R129" s="131"/>
      <c r="S129" s="131"/>
      <c r="T129" s="131"/>
    </row>
    <row r="130" spans="2:21" x14ac:dyDescent="0.25">
      <c r="B130" s="137" t="s">
        <v>87</v>
      </c>
      <c r="C130" s="134"/>
      <c r="D130" s="134"/>
      <c r="E130" s="134"/>
      <c r="F130" s="135"/>
      <c r="G130" s="136"/>
      <c r="I130" s="131"/>
      <c r="J130" s="131"/>
      <c r="K130" s="131"/>
      <c r="L130" s="131"/>
      <c r="M130" s="131"/>
      <c r="N130" s="131"/>
      <c r="O130" s="131"/>
      <c r="P130" s="131"/>
      <c r="Q130" s="131"/>
      <c r="R130" s="131"/>
      <c r="S130" s="131"/>
      <c r="T130" s="131"/>
    </row>
    <row r="131" spans="2:21" x14ac:dyDescent="0.25">
      <c r="B131" s="24" t="s">
        <v>88</v>
      </c>
      <c r="C131" s="138">
        <f>H51+H82+H83+H84+H89</f>
        <v>0</v>
      </c>
      <c r="D131" s="138"/>
      <c r="E131" s="134"/>
      <c r="F131" s="140" t="e">
        <f t="shared" ref="F131:F138" si="18">C131/$B$127</f>
        <v>#DIV/0!</v>
      </c>
      <c r="G131" s="136"/>
      <c r="I131" s="131"/>
      <c r="J131" s="131"/>
      <c r="K131" s="131"/>
      <c r="L131" s="131"/>
      <c r="M131" s="131"/>
      <c r="N131" s="131"/>
      <c r="O131" s="131"/>
      <c r="P131" s="131"/>
      <c r="Q131" s="131"/>
      <c r="R131" s="131"/>
      <c r="S131" s="131"/>
      <c r="T131" s="131"/>
    </row>
    <row r="132" spans="2:21" x14ac:dyDescent="0.25">
      <c r="B132" s="24" t="s">
        <v>89</v>
      </c>
      <c r="C132" s="138">
        <f>H78</f>
        <v>0</v>
      </c>
      <c r="D132" s="138"/>
      <c r="E132" s="134"/>
      <c r="F132" s="140" t="e">
        <f t="shared" si="18"/>
        <v>#DIV/0!</v>
      </c>
      <c r="G132" s="136"/>
      <c r="I132" s="131"/>
      <c r="J132" s="131"/>
      <c r="K132" s="131"/>
      <c r="L132" s="131"/>
      <c r="M132" s="131"/>
      <c r="N132" s="131"/>
      <c r="O132" s="131"/>
      <c r="P132" s="131"/>
      <c r="Q132" s="131"/>
      <c r="R132" s="131"/>
      <c r="S132" s="131"/>
      <c r="T132" s="131"/>
    </row>
    <row r="133" spans="2:21" x14ac:dyDescent="0.25">
      <c r="B133" s="24" t="s">
        <v>59</v>
      </c>
      <c r="C133" s="138">
        <f>H90+H91+H92</f>
        <v>11115</v>
      </c>
      <c r="D133" s="138"/>
      <c r="E133" s="134"/>
      <c r="F133" s="140" t="e">
        <f t="shared" si="18"/>
        <v>#DIV/0!</v>
      </c>
      <c r="G133" s="136"/>
      <c r="I133" s="131"/>
      <c r="J133" s="131"/>
      <c r="K133" s="131"/>
      <c r="L133" s="131"/>
      <c r="M133" s="131"/>
      <c r="N133" s="131"/>
      <c r="O133" s="131"/>
      <c r="P133" s="131"/>
      <c r="Q133" s="131"/>
      <c r="R133" s="131"/>
      <c r="S133" s="131"/>
      <c r="T133" s="131"/>
    </row>
    <row r="134" spans="2:21" x14ac:dyDescent="0.25">
      <c r="B134" s="24" t="s">
        <v>90</v>
      </c>
      <c r="C134" s="138">
        <f>H95+H96</f>
        <v>0</v>
      </c>
      <c r="D134" s="138"/>
      <c r="E134" s="134"/>
      <c r="F134" s="140" t="e">
        <f t="shared" si="18"/>
        <v>#DIV/0!</v>
      </c>
      <c r="G134" s="136"/>
      <c r="I134" s="131"/>
      <c r="J134" s="131"/>
      <c r="K134" s="131"/>
      <c r="L134" s="131"/>
      <c r="M134" s="131"/>
      <c r="N134" s="131"/>
      <c r="O134" s="131"/>
      <c r="P134" s="131"/>
      <c r="Q134" s="131"/>
      <c r="R134" s="131"/>
      <c r="S134" s="131"/>
      <c r="T134" s="131"/>
    </row>
    <row r="135" spans="2:21" x14ac:dyDescent="0.25">
      <c r="B135" s="24" t="s">
        <v>91</v>
      </c>
      <c r="C135" s="138">
        <f>H97+H98</f>
        <v>0</v>
      </c>
      <c r="D135" s="138"/>
      <c r="E135" s="134"/>
      <c r="F135" s="140" t="e">
        <f t="shared" si="18"/>
        <v>#DIV/0!</v>
      </c>
      <c r="G135" s="136"/>
      <c r="I135" s="131"/>
      <c r="J135" s="131"/>
      <c r="K135" s="131"/>
      <c r="L135" s="131"/>
      <c r="M135" s="131"/>
      <c r="N135" s="131"/>
      <c r="O135" s="131"/>
      <c r="P135" s="131"/>
      <c r="Q135" s="131"/>
      <c r="R135" s="131"/>
      <c r="S135" s="131"/>
      <c r="T135" s="131"/>
    </row>
    <row r="136" spans="2:21" x14ac:dyDescent="0.25">
      <c r="B136" s="24" t="s">
        <v>63</v>
      </c>
      <c r="C136" s="138">
        <f>H99+H100+H101+H102</f>
        <v>0</v>
      </c>
      <c r="D136" s="138"/>
      <c r="E136" s="134"/>
      <c r="F136" s="140" t="e">
        <f t="shared" si="18"/>
        <v>#DIV/0!</v>
      </c>
      <c r="G136" s="136"/>
      <c r="I136" s="131"/>
      <c r="J136" s="131"/>
      <c r="K136" s="131"/>
      <c r="L136" s="131"/>
      <c r="M136" s="131"/>
      <c r="N136" s="131"/>
      <c r="O136" s="131"/>
      <c r="P136" s="131"/>
      <c r="Q136" s="131"/>
      <c r="R136" s="131"/>
      <c r="S136" s="131"/>
      <c r="T136" s="131"/>
    </row>
    <row r="137" spans="2:21" x14ac:dyDescent="0.25">
      <c r="B137" s="24" t="s">
        <v>68</v>
      </c>
      <c r="C137" s="138">
        <f>H105</f>
        <v>0</v>
      </c>
      <c r="D137" s="138"/>
      <c r="E137" s="134"/>
      <c r="F137" s="140" t="e">
        <f t="shared" si="18"/>
        <v>#DIV/0!</v>
      </c>
      <c r="G137" s="136"/>
      <c r="I137" s="131"/>
      <c r="J137" s="131"/>
      <c r="K137" s="131"/>
      <c r="L137" s="131"/>
      <c r="M137" s="131"/>
      <c r="N137" s="131"/>
      <c r="O137" s="131"/>
      <c r="P137" s="131"/>
      <c r="Q137" s="131"/>
      <c r="R137" s="131"/>
      <c r="S137" s="131"/>
      <c r="T137" s="131"/>
    </row>
    <row r="138" spans="2:21" x14ac:dyDescent="0.25">
      <c r="B138" s="24" t="s">
        <v>92</v>
      </c>
      <c r="C138" s="141">
        <f>+H103+H104</f>
        <v>0</v>
      </c>
      <c r="D138" s="141"/>
      <c r="E138" s="141">
        <f>SUM(C131:C138)</f>
        <v>11115</v>
      </c>
      <c r="F138" s="142" t="e">
        <f t="shared" si="18"/>
        <v>#DIV/0!</v>
      </c>
      <c r="G138" s="143" t="e">
        <f>SUM(F131:F138)</f>
        <v>#DIV/0!</v>
      </c>
      <c r="I138" s="131"/>
      <c r="J138" s="131"/>
      <c r="K138" s="131"/>
      <c r="L138" s="131"/>
      <c r="M138" s="131"/>
      <c r="N138" s="131"/>
      <c r="O138" s="131"/>
      <c r="P138" s="131"/>
      <c r="Q138" s="131"/>
      <c r="R138" s="131"/>
      <c r="S138" s="131"/>
      <c r="T138" s="131"/>
    </row>
    <row r="139" spans="2:21" ht="19.5" thickBot="1" x14ac:dyDescent="0.35">
      <c r="B139" s="32"/>
      <c r="C139" s="144"/>
      <c r="D139" s="144"/>
      <c r="E139" s="145">
        <f>E128-E138</f>
        <v>-11115</v>
      </c>
      <c r="F139" s="146"/>
      <c r="G139" s="147" t="e">
        <f>G128-G138</f>
        <v>#DIV/0!</v>
      </c>
      <c r="I139" s="131"/>
      <c r="J139" s="131"/>
      <c r="K139" s="131"/>
      <c r="L139" s="131"/>
      <c r="M139" s="131"/>
      <c r="N139" s="131"/>
      <c r="O139" s="131"/>
      <c r="P139" s="131"/>
      <c r="Q139" s="131"/>
      <c r="R139" s="131"/>
      <c r="S139" s="131"/>
      <c r="T139" s="131"/>
    </row>
    <row r="140" spans="2:21" x14ac:dyDescent="0.25">
      <c r="J140" s="131"/>
      <c r="K140" s="131"/>
      <c r="L140" s="131"/>
      <c r="M140" s="131"/>
      <c r="N140" s="131"/>
      <c r="O140" s="131"/>
      <c r="P140" s="131"/>
      <c r="Q140" s="131"/>
      <c r="R140" s="131"/>
      <c r="S140" s="131"/>
      <c r="T140" s="131"/>
      <c r="U140" s="131"/>
    </row>
    <row r="141" spans="2:21" x14ac:dyDescent="0.25">
      <c r="B141" s="150" t="s">
        <v>93</v>
      </c>
      <c r="J141" s="131"/>
      <c r="K141" s="131"/>
      <c r="L141" s="131"/>
      <c r="M141" s="131"/>
      <c r="N141" s="131"/>
      <c r="O141" s="131"/>
      <c r="P141" s="131"/>
      <c r="Q141" s="131"/>
      <c r="R141" s="131"/>
      <c r="S141" s="131"/>
      <c r="T141" s="131"/>
      <c r="U141" s="131"/>
    </row>
    <row r="142" spans="2:21" x14ac:dyDescent="0.25">
      <c r="B142" s="151" t="s">
        <v>94</v>
      </c>
      <c r="H142" s="148">
        <f t="shared" ref="H142:H171" si="19">SUM(J142:U142)</f>
        <v>0</v>
      </c>
      <c r="J142" s="131"/>
      <c r="K142" s="131"/>
      <c r="L142" s="131"/>
      <c r="M142" s="131"/>
      <c r="N142" s="131"/>
      <c r="O142" s="131"/>
      <c r="P142" s="131"/>
      <c r="Q142" s="131"/>
      <c r="R142" s="131"/>
      <c r="S142" s="131"/>
      <c r="T142" s="131"/>
      <c r="U142" s="131"/>
    </row>
    <row r="143" spans="2:21" x14ac:dyDescent="0.25">
      <c r="B143" s="151" t="s">
        <v>95</v>
      </c>
      <c r="H143" s="148">
        <f t="shared" si="19"/>
        <v>0</v>
      </c>
    </row>
    <row r="144" spans="2:21" x14ac:dyDescent="0.25">
      <c r="B144" s="151" t="s">
        <v>96</v>
      </c>
      <c r="H144" s="148">
        <f t="shared" si="19"/>
        <v>0</v>
      </c>
    </row>
    <row r="145" spans="2:8" x14ac:dyDescent="0.25">
      <c r="B145" s="151" t="s">
        <v>97</v>
      </c>
      <c r="H145" s="148">
        <f t="shared" si="19"/>
        <v>0</v>
      </c>
    </row>
    <row r="146" spans="2:8" x14ac:dyDescent="0.25">
      <c r="B146" s="151" t="s">
        <v>98</v>
      </c>
      <c r="H146" s="148">
        <f t="shared" si="19"/>
        <v>0</v>
      </c>
    </row>
    <row r="147" spans="2:8" x14ac:dyDescent="0.25">
      <c r="B147" s="151" t="s">
        <v>99</v>
      </c>
      <c r="H147" s="148">
        <f t="shared" si="19"/>
        <v>0</v>
      </c>
    </row>
    <row r="148" spans="2:8" x14ac:dyDescent="0.25">
      <c r="B148" s="151" t="s">
        <v>100</v>
      </c>
      <c r="H148" s="148">
        <f t="shared" si="19"/>
        <v>0</v>
      </c>
    </row>
    <row r="149" spans="2:8" x14ac:dyDescent="0.25">
      <c r="B149" s="151" t="s">
        <v>101</v>
      </c>
      <c r="H149" s="148">
        <f t="shared" si="19"/>
        <v>0</v>
      </c>
    </row>
    <row r="150" spans="2:8" x14ac:dyDescent="0.25">
      <c r="B150" s="151" t="s">
        <v>102</v>
      </c>
      <c r="H150" s="148">
        <f t="shared" si="19"/>
        <v>0</v>
      </c>
    </row>
    <row r="151" spans="2:8" x14ac:dyDescent="0.25">
      <c r="B151" s="151" t="s">
        <v>103</v>
      </c>
      <c r="H151" s="148">
        <f t="shared" si="19"/>
        <v>0</v>
      </c>
    </row>
    <row r="152" spans="2:8" x14ac:dyDescent="0.25">
      <c r="B152" s="151" t="s">
        <v>104</v>
      </c>
      <c r="H152" s="148">
        <f t="shared" si="19"/>
        <v>0</v>
      </c>
    </row>
    <row r="153" spans="2:8" x14ac:dyDescent="0.25">
      <c r="B153" s="151" t="s">
        <v>105</v>
      </c>
      <c r="H153" s="148">
        <f t="shared" si="19"/>
        <v>0</v>
      </c>
    </row>
    <row r="154" spans="2:8" x14ac:dyDescent="0.25">
      <c r="B154" s="151" t="s">
        <v>106</v>
      </c>
      <c r="H154" s="148">
        <f t="shared" si="19"/>
        <v>0</v>
      </c>
    </row>
    <row r="155" spans="2:8" x14ac:dyDescent="0.25">
      <c r="B155" s="151" t="s">
        <v>107</v>
      </c>
      <c r="H155" s="148">
        <f t="shared" si="19"/>
        <v>0</v>
      </c>
    </row>
    <row r="156" spans="2:8" x14ac:dyDescent="0.25">
      <c r="B156" s="151" t="s">
        <v>108</v>
      </c>
      <c r="H156" s="148">
        <f t="shared" si="19"/>
        <v>0</v>
      </c>
    </row>
    <row r="157" spans="2:8" x14ac:dyDescent="0.25">
      <c r="B157" t="s">
        <v>109</v>
      </c>
      <c r="H157" s="148">
        <f t="shared" si="19"/>
        <v>0</v>
      </c>
    </row>
    <row r="158" spans="2:8" x14ac:dyDescent="0.25">
      <c r="B158" t="s">
        <v>110</v>
      </c>
      <c r="H158" s="148">
        <f t="shared" si="19"/>
        <v>0</v>
      </c>
    </row>
    <row r="159" spans="2:8" x14ac:dyDescent="0.25">
      <c r="B159" t="s">
        <v>111</v>
      </c>
      <c r="H159" s="148">
        <f t="shared" si="19"/>
        <v>0</v>
      </c>
    </row>
    <row r="160" spans="2:8" x14ac:dyDescent="0.25">
      <c r="B160" t="s">
        <v>112</v>
      </c>
      <c r="H160" s="148">
        <f t="shared" si="19"/>
        <v>0</v>
      </c>
    </row>
    <row r="161" spans="2:21" x14ac:dyDescent="0.25">
      <c r="B161" t="s">
        <v>113</v>
      </c>
      <c r="H161" s="148">
        <f t="shared" si="19"/>
        <v>0</v>
      </c>
    </row>
    <row r="162" spans="2:21" x14ac:dyDescent="0.25">
      <c r="B162" s="152" t="s">
        <v>114</v>
      </c>
      <c r="H162" s="148">
        <f t="shared" si="19"/>
        <v>0</v>
      </c>
    </row>
    <row r="163" spans="2:21" x14ac:dyDescent="0.25">
      <c r="B163" s="153" t="s">
        <v>115</v>
      </c>
      <c r="H163" s="148">
        <f t="shared" si="19"/>
        <v>0</v>
      </c>
    </row>
    <row r="164" spans="2:21" x14ac:dyDescent="0.25">
      <c r="B164" s="153" t="s">
        <v>116</v>
      </c>
      <c r="H164" s="148">
        <f t="shared" si="19"/>
        <v>0</v>
      </c>
    </row>
    <row r="165" spans="2:21" x14ac:dyDescent="0.25">
      <c r="B165" s="153" t="s">
        <v>117</v>
      </c>
      <c r="H165" s="148">
        <f t="shared" si="19"/>
        <v>0</v>
      </c>
    </row>
    <row r="166" spans="2:21" x14ac:dyDescent="0.25">
      <c r="B166" s="153" t="s">
        <v>90</v>
      </c>
      <c r="H166" s="148">
        <f t="shared" si="19"/>
        <v>0</v>
      </c>
    </row>
    <row r="167" spans="2:21" x14ac:dyDescent="0.25">
      <c r="B167" s="153" t="s">
        <v>118</v>
      </c>
      <c r="H167" s="148">
        <f t="shared" si="19"/>
        <v>0</v>
      </c>
    </row>
    <row r="168" spans="2:21" x14ac:dyDescent="0.25">
      <c r="B168" s="153" t="s">
        <v>119</v>
      </c>
      <c r="H168" s="148">
        <f t="shared" si="19"/>
        <v>0</v>
      </c>
    </row>
    <row r="169" spans="2:21" x14ac:dyDescent="0.25">
      <c r="B169" s="153" t="s">
        <v>120</v>
      </c>
      <c r="H169" s="148">
        <f t="shared" si="19"/>
        <v>0</v>
      </c>
    </row>
    <row r="170" spans="2:21" x14ac:dyDescent="0.25">
      <c r="B170" s="153" t="s">
        <v>121</v>
      </c>
      <c r="H170" s="148">
        <f t="shared" si="19"/>
        <v>0</v>
      </c>
    </row>
    <row r="171" spans="2:21" x14ac:dyDescent="0.25">
      <c r="B171" s="153" t="s">
        <v>122</v>
      </c>
      <c r="H171" s="1">
        <f t="shared" si="19"/>
        <v>0</v>
      </c>
    </row>
    <row r="173" spans="2:21" x14ac:dyDescent="0.25">
      <c r="B173" s="154" t="s">
        <v>2</v>
      </c>
      <c r="C173" s="155"/>
      <c r="D173" s="155"/>
      <c r="E173" s="155"/>
      <c r="F173" s="155"/>
      <c r="G173" s="155"/>
      <c r="H173" s="155"/>
      <c r="I173" s="155"/>
      <c r="J173" s="156">
        <f t="shared" ref="J173:U173" si="20">SUM(J142:J171)</f>
        <v>0</v>
      </c>
      <c r="K173" s="156">
        <f t="shared" si="20"/>
        <v>0</v>
      </c>
      <c r="L173" s="156">
        <f t="shared" si="20"/>
        <v>0</v>
      </c>
      <c r="M173" s="156">
        <f t="shared" si="20"/>
        <v>0</v>
      </c>
      <c r="N173" s="156">
        <f t="shared" si="20"/>
        <v>0</v>
      </c>
      <c r="O173" s="156">
        <f t="shared" si="20"/>
        <v>0</v>
      </c>
      <c r="P173" s="156">
        <f t="shared" si="20"/>
        <v>0</v>
      </c>
      <c r="Q173" s="156">
        <f t="shared" si="20"/>
        <v>0</v>
      </c>
      <c r="R173" s="156">
        <f t="shared" si="20"/>
        <v>0</v>
      </c>
      <c r="S173" s="156">
        <f t="shared" si="20"/>
        <v>0</v>
      </c>
      <c r="T173" s="156">
        <f t="shared" si="20"/>
        <v>0</v>
      </c>
      <c r="U173" s="156">
        <f t="shared" si="20"/>
        <v>0</v>
      </c>
    </row>
  </sheetData>
  <sheetProtection selectLockedCells="1"/>
  <protectedRanges>
    <protectedRange sqref="J4:U13" name="Production"/>
    <protectedRange sqref="C20:C41" name="Grade mix_1"/>
    <protectedRange sqref="F20:G41" name="JAS converions_1_1"/>
  </protectedRanges>
  <mergeCells count="6">
    <mergeCell ref="I7:I9"/>
    <mergeCell ref="I4:I6"/>
    <mergeCell ref="J113:U113"/>
    <mergeCell ref="F126:G126"/>
    <mergeCell ref="I13:I16"/>
    <mergeCell ref="I10:I12"/>
  </mergeCells>
  <dataValidations count="1">
    <dataValidation type="whole" errorStyle="warning" allowBlank="1" showInputMessage="1" showErrorMessage="1" errorTitle="High number of skids" error="Are you sure you are going to build this many skids?" sqref="J118:U122" xr:uid="{6B40031E-62B8-4DB3-AE17-530926594550}">
      <formula1>0</formula1>
      <formula2>10</formula2>
    </dataValidation>
  </dataValidations>
  <pageMargins left="0.70866141732283472" right="0.70866141732283472" top="0.74803149606299213" bottom="0.74803149606299213" header="0.31496062992125984" footer="0.31496062992125984"/>
  <pageSetup paperSize="8" scale="36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7F881-0C5D-453A-A921-C0380D21A575}">
  <sheetPr codeName="Sheet10">
    <tabColor rgb="FF002060"/>
    <pageSetUpPr fitToPage="1"/>
  </sheetPr>
  <dimension ref="A1:X142"/>
  <sheetViews>
    <sheetView zoomScale="80" zoomScaleNormal="80" workbookViewId="0">
      <selection activeCell="I2" sqref="I2"/>
    </sheetView>
  </sheetViews>
  <sheetFormatPr defaultColWidth="9" defaultRowHeight="15" x14ac:dyDescent="0.25"/>
  <cols>
    <col min="1" max="1" width="2.28515625" style="1" customWidth="1"/>
    <col min="2" max="2" width="44" style="1" customWidth="1"/>
    <col min="3" max="3" width="13.85546875" style="1" customWidth="1"/>
    <col min="4" max="4" width="16.140625" style="1" customWidth="1"/>
    <col min="5" max="5" width="17" style="1" customWidth="1"/>
    <col min="6" max="6" width="12.7109375" style="1" customWidth="1"/>
    <col min="7" max="7" width="13.28515625" style="1" bestFit="1" customWidth="1"/>
    <col min="8" max="8" width="21.28515625" style="1" customWidth="1"/>
    <col min="9" max="9" width="10.140625" style="1" customWidth="1"/>
    <col min="10" max="21" width="15.7109375" style="1" bestFit="1" customWidth="1"/>
    <col min="22" max="22" width="5" style="1" customWidth="1"/>
    <col min="23" max="23" width="15.28515625" style="4" bestFit="1" customWidth="1"/>
    <col min="24" max="24" width="17.5703125" style="1" customWidth="1"/>
    <col min="25" max="16384" width="9" style="1"/>
  </cols>
  <sheetData>
    <row r="1" spans="2:24" ht="15.75" thickBot="1" x14ac:dyDescent="0.3">
      <c r="C1" s="2">
        <v>2025</v>
      </c>
      <c r="D1" s="3" t="s">
        <v>0</v>
      </c>
    </row>
    <row r="2" spans="2:24" ht="27" thickBot="1" x14ac:dyDescent="0.45">
      <c r="B2" s="5" t="s">
        <v>266</v>
      </c>
      <c r="G2" s="305"/>
      <c r="H2" s="43" t="s">
        <v>209</v>
      </c>
      <c r="I2" s="404"/>
      <c r="W2" s="6"/>
      <c r="X2" s="7"/>
    </row>
    <row r="3" spans="2:24" ht="15.75" x14ac:dyDescent="0.25">
      <c r="B3" s="8" t="s">
        <v>1</v>
      </c>
      <c r="C3" s="9"/>
      <c r="D3" s="9"/>
      <c r="E3" s="9"/>
      <c r="F3" s="9"/>
      <c r="G3" s="9" t="s">
        <v>241</v>
      </c>
      <c r="H3" s="10"/>
      <c r="I3" s="372">
        <f>IF(NOT(ISBLANK(J5)), J5, IF(NOT(ISBLANK(J8)), J8, IF(NOT(ISBLANK(J11)), J11, 0)))+IF(NOT(ISBLANK(K5)), K5, IF(NOT(ISBLANK(K8)), K8, IF(NOT(ISBLANK(K11)), K11, 0)))+IF(NOT(ISBLANK(L5)), L5, IF(NOT(ISBLANK(L8)), L8, IF(NOT(ISBLANK(L11)), L11, 0)))+IF(NOT(ISBLANK(M5)), M5, IF(NOT(ISBLANK(M8)), M8, IF(NOT(ISBLANK(M11)), M11, 0)))+IF(NOT(ISBLANK(N5)), N5, IF(NOT(ISBLANK(N8)), N8, IF(NOT(ISBLANK(N11)), N11, 0)))+IF(NOT(ISBLANK(O5)), O5, IF(NOT(ISBLANK(O8)), O8, IF(NOT(ISBLANK(O11)), O11, 0)))+IF(NOT(ISBLANK(P5)), P5, IF(NOT(ISBLANK(P8)), P8, IF(NOT(ISBLANK(P11)), P11, 0)))+IF(NOT(ISBLANK(Q5)), Q5, IF(NOT(ISBLANK(Q8)), Q8, IF(NOT(ISBLANK(Q11)), Q11, 0)))+IF(NOT(ISBLANK(R5)), R5, IF(NOT(ISBLANK(R8)), R8, IF(NOT(ISBLANK(R11)), R11, 0)))+IF(NOT(ISBLANK(S5)), S5, IF(NOT(ISBLANK(S8)), S8, IF(NOT(ISBLANK(S11)), S11, 0)))+IF(NOT(ISBLANK(T5)), T5, IF(NOT(ISBLANK(T8)), T8, IF(NOT(ISBLANK(T11)), T11, 0)))+IF(NOT(ISBLANK(U5)), U5, IF(NOT(ISBLANK(U8)), U8, IF(NOT(ISBLANK(U11)), U11, 0)))</f>
        <v>0</v>
      </c>
      <c r="J3" s="178">
        <v>45658</v>
      </c>
      <c r="K3" s="178">
        <v>45689</v>
      </c>
      <c r="L3" s="178">
        <v>45717</v>
      </c>
      <c r="M3" s="178">
        <v>45748</v>
      </c>
      <c r="N3" s="178">
        <v>45778</v>
      </c>
      <c r="O3" s="178">
        <v>45809</v>
      </c>
      <c r="P3" s="178">
        <v>45839</v>
      </c>
      <c r="Q3" s="178">
        <v>45870</v>
      </c>
      <c r="R3" s="178">
        <v>45901</v>
      </c>
      <c r="S3" s="178">
        <v>45931</v>
      </c>
      <c r="T3" s="178">
        <v>45962</v>
      </c>
      <c r="U3" s="178">
        <v>45992</v>
      </c>
      <c r="W3" s="6" t="s">
        <v>2</v>
      </c>
      <c r="X3" s="7"/>
    </row>
    <row r="4" spans="2:24" x14ac:dyDescent="0.25">
      <c r="B4" s="11"/>
      <c r="G4" s="12" t="s">
        <v>7</v>
      </c>
      <c r="H4" s="301" t="s">
        <v>4</v>
      </c>
      <c r="I4" s="452">
        <f>IFERROR((J4*J5+K4*K5+L4*L5+M4*M5+N4*N5+O4*O5+P4*P5+Q4*Q5+R4*R5+S4*S5+T4*T5+U4*U5)/$W$16,0)</f>
        <v>0</v>
      </c>
      <c r="J4" s="352"/>
      <c r="K4" s="352"/>
      <c r="L4" s="352"/>
      <c r="M4" s="352"/>
      <c r="N4" s="353"/>
      <c r="O4" s="353"/>
      <c r="P4" s="353"/>
      <c r="Q4" s="353"/>
      <c r="R4" s="353"/>
      <c r="S4" s="353"/>
      <c r="T4" s="353"/>
      <c r="U4" s="354"/>
      <c r="W4" s="6"/>
      <c r="X4" s="7"/>
    </row>
    <row r="5" spans="2:24" x14ac:dyDescent="0.25">
      <c r="B5" s="11"/>
      <c r="G5" s="16"/>
      <c r="H5" s="1" t="s">
        <v>5</v>
      </c>
      <c r="I5" s="453"/>
      <c r="J5" s="352"/>
      <c r="K5" s="352"/>
      <c r="L5" s="353"/>
      <c r="M5" s="353"/>
      <c r="N5" s="353"/>
      <c r="O5" s="353"/>
      <c r="P5" s="353"/>
      <c r="Q5" s="353"/>
      <c r="R5" s="353"/>
      <c r="S5" s="353"/>
      <c r="T5" s="353"/>
      <c r="U5" s="354"/>
      <c r="W5" s="6"/>
      <c r="X5" s="7"/>
    </row>
    <row r="6" spans="2:24" ht="15.75" thickBot="1" x14ac:dyDescent="0.3">
      <c r="B6" s="11"/>
      <c r="G6" s="17"/>
      <c r="H6" s="302" t="s">
        <v>6</v>
      </c>
      <c r="I6" s="454"/>
      <c r="J6" s="355"/>
      <c r="K6" s="355"/>
      <c r="L6" s="356"/>
      <c r="M6" s="356"/>
      <c r="N6" s="356"/>
      <c r="O6" s="356"/>
      <c r="P6" s="356"/>
      <c r="Q6" s="356"/>
      <c r="R6" s="356"/>
      <c r="S6" s="356"/>
      <c r="T6" s="356"/>
      <c r="U6" s="357"/>
      <c r="W6" s="6"/>
      <c r="X6" s="7"/>
    </row>
    <row r="7" spans="2:24" x14ac:dyDescent="0.25">
      <c r="B7" s="11"/>
      <c r="G7" s="12" t="s">
        <v>3</v>
      </c>
      <c r="H7" s="301" t="s">
        <v>4</v>
      </c>
      <c r="I7" s="452">
        <f>IFERROR((J7*J8+K7*K8+L7*L8+M7*M8+N7*N8+O7*O8+P7*P8+Q7*Q8+R7*R8+S7*S8+T7*T8+U7*U8)/$W$16,0)</f>
        <v>0</v>
      </c>
      <c r="J7" s="358"/>
      <c r="K7" s="358"/>
      <c r="L7" s="358"/>
      <c r="M7" s="358"/>
      <c r="N7" s="358"/>
      <c r="O7" s="358"/>
      <c r="P7" s="358"/>
      <c r="Q7" s="358"/>
      <c r="R7" s="358"/>
      <c r="S7" s="358"/>
      <c r="T7" s="358"/>
      <c r="U7" s="359"/>
      <c r="W7" s="6"/>
      <c r="X7" s="7"/>
    </row>
    <row r="8" spans="2:24" x14ac:dyDescent="0.25">
      <c r="B8" s="11"/>
      <c r="G8" s="16"/>
      <c r="H8" s="1" t="s">
        <v>5</v>
      </c>
      <c r="I8" s="453"/>
      <c r="J8" s="353"/>
      <c r="K8" s="353"/>
      <c r="L8" s="353"/>
      <c r="M8" s="353"/>
      <c r="N8" s="353"/>
      <c r="O8" s="353"/>
      <c r="P8" s="353"/>
      <c r="Q8" s="353"/>
      <c r="R8" s="353"/>
      <c r="S8" s="353"/>
      <c r="T8" s="353"/>
      <c r="U8" s="354"/>
      <c r="W8" s="6"/>
      <c r="X8" s="7"/>
    </row>
    <row r="9" spans="2:24" ht="15.75" thickBot="1" x14ac:dyDescent="0.3">
      <c r="B9" s="11"/>
      <c r="G9" s="17"/>
      <c r="H9" s="302" t="s">
        <v>6</v>
      </c>
      <c r="I9" s="454"/>
      <c r="J9" s="356"/>
      <c r="K9" s="356"/>
      <c r="L9" s="356"/>
      <c r="M9" s="356"/>
      <c r="N9" s="356"/>
      <c r="O9" s="356"/>
      <c r="P9" s="356"/>
      <c r="Q9" s="356"/>
      <c r="R9" s="356"/>
      <c r="S9" s="356"/>
      <c r="T9" s="356"/>
      <c r="U9" s="357"/>
      <c r="W9" s="6"/>
      <c r="X9" s="7"/>
    </row>
    <row r="10" spans="2:24" x14ac:dyDescent="0.25">
      <c r="B10" s="11"/>
      <c r="G10" s="12" t="s">
        <v>8</v>
      </c>
      <c r="H10" s="301" t="s">
        <v>4</v>
      </c>
      <c r="I10" s="452">
        <f>IFERROR((J10*J11+K10*K11+L10*L11+M10*M11+N10*N11+O10*O11+P10*P11+Q10*Q11+R10*R11+S10*S11+T10*T11+U10*U11)/$W$16,0)</f>
        <v>0</v>
      </c>
      <c r="J10" s="353"/>
      <c r="K10" s="353"/>
      <c r="L10" s="353"/>
      <c r="M10" s="353"/>
      <c r="N10" s="353"/>
      <c r="O10" s="353"/>
      <c r="P10" s="353"/>
      <c r="Q10" s="353"/>
      <c r="R10" s="353"/>
      <c r="S10" s="353"/>
      <c r="T10" s="353"/>
      <c r="U10" s="354"/>
      <c r="W10" s="6"/>
      <c r="X10" s="7"/>
    </row>
    <row r="11" spans="2:24" x14ac:dyDescent="0.25">
      <c r="B11" s="11"/>
      <c r="G11" s="16"/>
      <c r="H11" s="1" t="s">
        <v>5</v>
      </c>
      <c r="I11" s="453"/>
      <c r="J11" s="353"/>
      <c r="K11" s="353"/>
      <c r="L11" s="353"/>
      <c r="M11" s="353"/>
      <c r="N11" s="353"/>
      <c r="O11" s="353"/>
      <c r="P11" s="353"/>
      <c r="Q11" s="353"/>
      <c r="R11" s="353"/>
      <c r="S11" s="353"/>
      <c r="T11" s="353"/>
      <c r="U11" s="354"/>
      <c r="W11" s="6"/>
      <c r="X11" s="7"/>
    </row>
    <row r="12" spans="2:24" ht="15.75" thickBot="1" x14ac:dyDescent="0.3">
      <c r="B12" s="11"/>
      <c r="G12" s="17"/>
      <c r="H12" s="302" t="s">
        <v>6</v>
      </c>
      <c r="I12" s="454"/>
      <c r="J12" s="356"/>
      <c r="K12" s="356"/>
      <c r="L12" s="356"/>
      <c r="M12" s="356"/>
      <c r="N12" s="356"/>
      <c r="O12" s="356"/>
      <c r="P12" s="356"/>
      <c r="Q12" s="356"/>
      <c r="R12" s="356"/>
      <c r="S12" s="356"/>
      <c r="T12" s="356"/>
      <c r="U12" s="357"/>
      <c r="V12" s="7"/>
      <c r="W12" s="6"/>
      <c r="X12" s="7"/>
    </row>
    <row r="13" spans="2:24" x14ac:dyDescent="0.25">
      <c r="B13" s="11"/>
      <c r="G13" s="12" t="s">
        <v>9</v>
      </c>
      <c r="H13" s="1" t="s">
        <v>6</v>
      </c>
      <c r="I13" s="455">
        <f>SUM(I4:I12)</f>
        <v>0</v>
      </c>
      <c r="J13" s="308">
        <f t="shared" ref="J13:U13" si="0">IFERROR((J4*J5*J6+J7*J8*J9+J10*J11*J12)/J16,0)</f>
        <v>0</v>
      </c>
      <c r="K13" s="23">
        <f t="shared" si="0"/>
        <v>0</v>
      </c>
      <c r="L13" s="23">
        <f t="shared" si="0"/>
        <v>0</v>
      </c>
      <c r="M13" s="23">
        <f t="shared" si="0"/>
        <v>0</v>
      </c>
      <c r="N13" s="23">
        <f t="shared" si="0"/>
        <v>0</v>
      </c>
      <c r="O13" s="23">
        <f t="shared" si="0"/>
        <v>0</v>
      </c>
      <c r="P13" s="23">
        <f t="shared" si="0"/>
        <v>0</v>
      </c>
      <c r="Q13" s="23">
        <f t="shared" si="0"/>
        <v>0</v>
      </c>
      <c r="R13" s="23">
        <f t="shared" si="0"/>
        <v>0</v>
      </c>
      <c r="S13" s="23">
        <f t="shared" si="0"/>
        <v>0</v>
      </c>
      <c r="T13" s="23">
        <f t="shared" si="0"/>
        <v>0</v>
      </c>
      <c r="U13" s="200">
        <f t="shared" si="0"/>
        <v>0</v>
      </c>
      <c r="V13" s="7"/>
      <c r="W13" s="6">
        <f>I3</f>
        <v>0</v>
      </c>
      <c r="X13" s="306" t="s">
        <v>208</v>
      </c>
    </row>
    <row r="14" spans="2:24" x14ac:dyDescent="0.25">
      <c r="B14" s="24"/>
      <c r="C14" s="25"/>
      <c r="D14" s="26"/>
      <c r="G14" s="16" t="s">
        <v>9</v>
      </c>
      <c r="H14" t="s">
        <v>4</v>
      </c>
      <c r="I14" s="456"/>
      <c r="J14" s="309">
        <f t="shared" ref="J14:U14" si="1">J4+J7+J10</f>
        <v>0</v>
      </c>
      <c r="K14" s="27">
        <f t="shared" si="1"/>
        <v>0</v>
      </c>
      <c r="L14" s="27">
        <f t="shared" si="1"/>
        <v>0</v>
      </c>
      <c r="M14" s="27">
        <f t="shared" si="1"/>
        <v>0</v>
      </c>
      <c r="N14" s="27">
        <f t="shared" si="1"/>
        <v>0</v>
      </c>
      <c r="O14" s="27">
        <f t="shared" si="1"/>
        <v>0</v>
      </c>
      <c r="P14" s="27">
        <f t="shared" si="1"/>
        <v>0</v>
      </c>
      <c r="Q14" s="27">
        <f t="shared" si="1"/>
        <v>0</v>
      </c>
      <c r="R14" s="27">
        <f t="shared" si="1"/>
        <v>0</v>
      </c>
      <c r="S14" s="27">
        <f t="shared" si="1"/>
        <v>0</v>
      </c>
      <c r="T14" s="27">
        <f t="shared" si="1"/>
        <v>0</v>
      </c>
      <c r="U14" s="303">
        <f t="shared" si="1"/>
        <v>0</v>
      </c>
      <c r="W14" s="28">
        <f>IF(W16=0,0,W16/W15)</f>
        <v>0</v>
      </c>
      <c r="X14" s="306" t="str">
        <f>H2</f>
        <v>Estimated Tonnes (ha)</v>
      </c>
    </row>
    <row r="15" spans="2:24" x14ac:dyDescent="0.25">
      <c r="B15" s="24"/>
      <c r="C15" s="29"/>
      <c r="D15" s="30"/>
      <c r="G15" s="16" t="s">
        <v>2</v>
      </c>
      <c r="H15" s="1" t="s">
        <v>207</v>
      </c>
      <c r="I15" s="456"/>
      <c r="J15" s="23">
        <f t="shared" ref="J15:U15" si="2">IFERROR(J16/$I$2,0)</f>
        <v>0</v>
      </c>
      <c r="K15" s="23">
        <f t="shared" si="2"/>
        <v>0</v>
      </c>
      <c r="L15" s="23">
        <f t="shared" si="2"/>
        <v>0</v>
      </c>
      <c r="M15" s="23">
        <f t="shared" si="2"/>
        <v>0</v>
      </c>
      <c r="N15" s="23">
        <f t="shared" si="2"/>
        <v>0</v>
      </c>
      <c r="O15" s="23">
        <f t="shared" si="2"/>
        <v>0</v>
      </c>
      <c r="P15" s="23">
        <f t="shared" si="2"/>
        <v>0</v>
      </c>
      <c r="Q15" s="23">
        <f t="shared" si="2"/>
        <v>0</v>
      </c>
      <c r="R15" s="23">
        <f t="shared" si="2"/>
        <v>0</v>
      </c>
      <c r="S15" s="23">
        <f t="shared" si="2"/>
        <v>0</v>
      </c>
      <c r="T15" s="23">
        <f t="shared" si="2"/>
        <v>0</v>
      </c>
      <c r="U15" s="201">
        <f t="shared" si="2"/>
        <v>0</v>
      </c>
      <c r="V15" s="31"/>
      <c r="W15" s="28">
        <f>SUM(J15:U15)</f>
        <v>0</v>
      </c>
      <c r="X15" s="306" t="str">
        <f>H15</f>
        <v>Hectare (ha)</v>
      </c>
    </row>
    <row r="16" spans="2:24" ht="15.75" thickBot="1" x14ac:dyDescent="0.3">
      <c r="B16" s="32"/>
      <c r="C16" s="33"/>
      <c r="D16" s="33"/>
      <c r="E16" s="33"/>
      <c r="F16" s="33"/>
      <c r="G16" s="311" t="s">
        <v>2</v>
      </c>
      <c r="H16" s="33" t="s">
        <v>10</v>
      </c>
      <c r="I16" s="457"/>
      <c r="J16" s="310">
        <f t="shared" ref="J16:U16" si="3">IFERROR((J4*J5+J7*J8+J10*J11),0)</f>
        <v>0</v>
      </c>
      <c r="K16" s="34">
        <f t="shared" si="3"/>
        <v>0</v>
      </c>
      <c r="L16" s="34">
        <f t="shared" si="3"/>
        <v>0</v>
      </c>
      <c r="M16" s="34">
        <f t="shared" si="3"/>
        <v>0</v>
      </c>
      <c r="N16" s="34">
        <f t="shared" si="3"/>
        <v>0</v>
      </c>
      <c r="O16" s="34">
        <f t="shared" si="3"/>
        <v>0</v>
      </c>
      <c r="P16" s="34">
        <f t="shared" si="3"/>
        <v>0</v>
      </c>
      <c r="Q16" s="34">
        <f t="shared" si="3"/>
        <v>0</v>
      </c>
      <c r="R16" s="34">
        <f t="shared" si="3"/>
        <v>0</v>
      </c>
      <c r="S16" s="34">
        <f t="shared" si="3"/>
        <v>0</v>
      </c>
      <c r="T16" s="34">
        <f t="shared" si="3"/>
        <v>0</v>
      </c>
      <c r="U16" s="202">
        <f t="shared" si="3"/>
        <v>0</v>
      </c>
      <c r="W16" s="28">
        <f>SUM(J16:U16)</f>
        <v>0</v>
      </c>
      <c r="X16" s="35" t="str">
        <f>H16</f>
        <v>Tonnes Harvested</v>
      </c>
    </row>
    <row r="17" spans="1:24" ht="25.5" customHeight="1" thickBot="1" x14ac:dyDescent="0.3">
      <c r="C17" s="7"/>
      <c r="D17" s="7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7"/>
      <c r="W17" s="38" t="e">
        <f>W16/W15</f>
        <v>#DIV/0!</v>
      </c>
      <c r="X17" s="307" t="s">
        <v>11</v>
      </c>
    </row>
    <row r="18" spans="1:24" ht="16.5" thickBot="1" x14ac:dyDescent="0.3">
      <c r="B18" s="8" t="s">
        <v>12</v>
      </c>
      <c r="C18" s="9"/>
      <c r="D18" s="9"/>
      <c r="E18" s="9"/>
      <c r="F18" s="9"/>
      <c r="G18" s="9"/>
      <c r="H18" s="9"/>
      <c r="I18" s="9"/>
      <c r="J18" s="39"/>
      <c r="K18" s="9"/>
      <c r="L18" s="9"/>
      <c r="M18" s="9"/>
      <c r="N18" s="9"/>
      <c r="O18" s="9"/>
      <c r="P18" s="9"/>
      <c r="Q18" s="9"/>
      <c r="R18" s="9"/>
      <c r="S18" s="9"/>
      <c r="T18" s="9"/>
      <c r="U18" s="40"/>
    </row>
    <row r="19" spans="1:24" x14ac:dyDescent="0.25">
      <c r="B19" s="41" t="s">
        <v>13</v>
      </c>
      <c r="C19" s="42" t="s">
        <v>14</v>
      </c>
      <c r="D19" s="405" t="s">
        <v>210</v>
      </c>
      <c r="E19" s="42" t="s">
        <v>15</v>
      </c>
      <c r="F19" s="42" t="s">
        <v>211</v>
      </c>
      <c r="G19" s="42" t="s">
        <v>17</v>
      </c>
      <c r="H19" s="42" t="s">
        <v>18</v>
      </c>
      <c r="I19" s="43"/>
      <c r="J19" s="178">
        <v>45658</v>
      </c>
      <c r="K19" s="178">
        <v>45689</v>
      </c>
      <c r="L19" s="178">
        <v>45717</v>
      </c>
      <c r="M19" s="178">
        <v>45748</v>
      </c>
      <c r="N19" s="178">
        <v>45778</v>
      </c>
      <c r="O19" s="178">
        <v>45809</v>
      </c>
      <c r="P19" s="178">
        <v>45839</v>
      </c>
      <c r="Q19" s="178">
        <v>45870</v>
      </c>
      <c r="R19" s="178">
        <v>45901</v>
      </c>
      <c r="S19" s="178">
        <v>45931</v>
      </c>
      <c r="T19" s="178">
        <v>45962</v>
      </c>
      <c r="U19" s="317">
        <v>45992</v>
      </c>
    </row>
    <row r="20" spans="1:24" x14ac:dyDescent="0.25">
      <c r="A20" s="11"/>
      <c r="B20" s="239" t="s">
        <v>20</v>
      </c>
      <c r="C20" s="312">
        <v>0.11412433298869637</v>
      </c>
      <c r="D20" s="406">
        <v>1</v>
      </c>
      <c r="E20" s="388" t="s">
        <v>21</v>
      </c>
      <c r="F20" s="389">
        <f t="shared" ref="F20:F27" si="4">IFERROR(H20/G20,0)</f>
        <v>0</v>
      </c>
      <c r="G20" s="315"/>
      <c r="H20" s="45">
        <f t="shared" ref="H20:H41" si="5">SUM(J20:U20)</f>
        <v>0</v>
      </c>
      <c r="I20" s="46"/>
      <c r="J20" s="47">
        <f>J16*$C20*$D20*$G20</f>
        <v>0</v>
      </c>
      <c r="K20" s="47">
        <f t="shared" ref="K20:U20" si="6">K16*$C$20*$D$20*$G$20</f>
        <v>0</v>
      </c>
      <c r="L20" s="47">
        <f t="shared" si="6"/>
        <v>0</v>
      </c>
      <c r="M20" s="47">
        <f t="shared" si="6"/>
        <v>0</v>
      </c>
      <c r="N20" s="47">
        <f t="shared" si="6"/>
        <v>0</v>
      </c>
      <c r="O20" s="47">
        <f t="shared" si="6"/>
        <v>0</v>
      </c>
      <c r="P20" s="47">
        <f t="shared" si="6"/>
        <v>0</v>
      </c>
      <c r="Q20" s="47">
        <f t="shared" si="6"/>
        <v>0</v>
      </c>
      <c r="R20" s="47">
        <f t="shared" si="6"/>
        <v>0</v>
      </c>
      <c r="S20" s="47">
        <f t="shared" si="6"/>
        <v>0</v>
      </c>
      <c r="T20" s="47">
        <f t="shared" si="6"/>
        <v>0</v>
      </c>
      <c r="U20" s="48">
        <f t="shared" si="6"/>
        <v>0</v>
      </c>
      <c r="W20" s="38" t="e">
        <f t="shared" ref="W20:W41" si="7">$W$17*C20</f>
        <v>#DIV/0!</v>
      </c>
      <c r="X20" s="1" t="str">
        <f t="shared" ref="X20:X41" si="8">B20</f>
        <v>P35</v>
      </c>
    </row>
    <row r="21" spans="1:24" x14ac:dyDescent="0.25">
      <c r="A21" s="11"/>
      <c r="B21" s="239" t="s">
        <v>22</v>
      </c>
      <c r="C21" s="312">
        <v>7.0000000000000007E-2</v>
      </c>
      <c r="D21" s="406">
        <v>1</v>
      </c>
      <c r="E21" s="388" t="s">
        <v>21</v>
      </c>
      <c r="F21" s="389">
        <f t="shared" si="4"/>
        <v>0</v>
      </c>
      <c r="G21" s="315"/>
      <c r="H21" s="45">
        <f t="shared" si="5"/>
        <v>0</v>
      </c>
      <c r="I21" s="46"/>
      <c r="J21" s="47">
        <f t="shared" ref="J21:U21" si="9">J16*$C$21*$D$21*$G$21</f>
        <v>0</v>
      </c>
      <c r="K21" s="47">
        <f t="shared" si="9"/>
        <v>0</v>
      </c>
      <c r="L21" s="47">
        <f t="shared" si="9"/>
        <v>0</v>
      </c>
      <c r="M21" s="47">
        <f t="shared" si="9"/>
        <v>0</v>
      </c>
      <c r="N21" s="47">
        <f t="shared" si="9"/>
        <v>0</v>
      </c>
      <c r="O21" s="47">
        <f t="shared" si="9"/>
        <v>0</v>
      </c>
      <c r="P21" s="47">
        <f t="shared" si="9"/>
        <v>0</v>
      </c>
      <c r="Q21" s="47">
        <f t="shared" si="9"/>
        <v>0</v>
      </c>
      <c r="R21" s="47">
        <f t="shared" si="9"/>
        <v>0</v>
      </c>
      <c r="S21" s="47">
        <f t="shared" si="9"/>
        <v>0</v>
      </c>
      <c r="T21" s="47">
        <f t="shared" si="9"/>
        <v>0</v>
      </c>
      <c r="U21" s="48">
        <f t="shared" si="9"/>
        <v>0</v>
      </c>
      <c r="W21" s="38" t="e">
        <f t="shared" si="7"/>
        <v>#DIV/0!</v>
      </c>
      <c r="X21" s="1" t="str">
        <f t="shared" si="8"/>
        <v>S30</v>
      </c>
    </row>
    <row r="22" spans="1:24" x14ac:dyDescent="0.25">
      <c r="A22" s="11"/>
      <c r="B22" s="239" t="s">
        <v>25</v>
      </c>
      <c r="C22" s="312">
        <v>0</v>
      </c>
      <c r="D22" s="406">
        <v>1</v>
      </c>
      <c r="E22" s="388" t="s">
        <v>21</v>
      </c>
      <c r="F22" s="389">
        <f t="shared" si="4"/>
        <v>0</v>
      </c>
      <c r="G22" s="315"/>
      <c r="H22" s="45">
        <f t="shared" si="5"/>
        <v>0</v>
      </c>
      <c r="I22" s="46"/>
      <c r="J22" s="47">
        <f t="shared" ref="J22:U22" si="10">J16*$C$22*$D$22*$G$22</f>
        <v>0</v>
      </c>
      <c r="K22" s="47">
        <f t="shared" si="10"/>
        <v>0</v>
      </c>
      <c r="L22" s="47">
        <f t="shared" si="10"/>
        <v>0</v>
      </c>
      <c r="M22" s="47">
        <f t="shared" si="10"/>
        <v>0</v>
      </c>
      <c r="N22" s="47">
        <f t="shared" si="10"/>
        <v>0</v>
      </c>
      <c r="O22" s="47">
        <f t="shared" si="10"/>
        <v>0</v>
      </c>
      <c r="P22" s="47">
        <f t="shared" si="10"/>
        <v>0</v>
      </c>
      <c r="Q22" s="47">
        <f t="shared" si="10"/>
        <v>0</v>
      </c>
      <c r="R22" s="47">
        <f t="shared" si="10"/>
        <v>0</v>
      </c>
      <c r="S22" s="47">
        <f t="shared" si="10"/>
        <v>0</v>
      </c>
      <c r="T22" s="47">
        <f t="shared" si="10"/>
        <v>0</v>
      </c>
      <c r="U22" s="48">
        <f t="shared" si="10"/>
        <v>0</v>
      </c>
      <c r="W22" s="38" t="e">
        <f t="shared" si="7"/>
        <v>#DIV/0!</v>
      </c>
      <c r="X22" s="1" t="str">
        <f t="shared" si="8"/>
        <v>S20</v>
      </c>
    </row>
    <row r="23" spans="1:24" x14ac:dyDescent="0.25">
      <c r="A23" s="11"/>
      <c r="B23" s="242" t="s">
        <v>30</v>
      </c>
      <c r="C23" s="312">
        <v>0.05</v>
      </c>
      <c r="D23" s="406">
        <v>1</v>
      </c>
      <c r="E23" s="388" t="s">
        <v>21</v>
      </c>
      <c r="F23" s="389">
        <f t="shared" si="4"/>
        <v>0</v>
      </c>
      <c r="G23" s="315"/>
      <c r="H23" s="45">
        <f t="shared" si="5"/>
        <v>0</v>
      </c>
      <c r="I23" s="46"/>
      <c r="J23" s="47">
        <f t="shared" ref="J23:U23" si="11">J16*$C$23*$D$23*$G$23</f>
        <v>0</v>
      </c>
      <c r="K23" s="47">
        <f t="shared" si="11"/>
        <v>0</v>
      </c>
      <c r="L23" s="47">
        <f t="shared" si="11"/>
        <v>0</v>
      </c>
      <c r="M23" s="47">
        <f t="shared" si="11"/>
        <v>0</v>
      </c>
      <c r="N23" s="47">
        <f t="shared" si="11"/>
        <v>0</v>
      </c>
      <c r="O23" s="47">
        <f t="shared" si="11"/>
        <v>0</v>
      </c>
      <c r="P23" s="47">
        <f t="shared" si="11"/>
        <v>0</v>
      </c>
      <c r="Q23" s="47">
        <f t="shared" si="11"/>
        <v>0</v>
      </c>
      <c r="R23" s="47">
        <f t="shared" si="11"/>
        <v>0</v>
      </c>
      <c r="S23" s="47">
        <f t="shared" si="11"/>
        <v>0</v>
      </c>
      <c r="T23" s="47">
        <f t="shared" si="11"/>
        <v>0</v>
      </c>
      <c r="U23" s="48">
        <f t="shared" si="11"/>
        <v>0</v>
      </c>
      <c r="W23" s="38" t="e">
        <f t="shared" si="7"/>
        <v>#DIV/0!</v>
      </c>
      <c r="X23" s="1" t="str">
        <f t="shared" si="8"/>
        <v>Domestic Pulp</v>
      </c>
    </row>
    <row r="24" spans="1:24" x14ac:dyDescent="0.25">
      <c r="A24" s="11"/>
      <c r="B24" s="242" t="s">
        <v>222</v>
      </c>
      <c r="C24" s="312">
        <v>0</v>
      </c>
      <c r="D24" s="406">
        <v>1</v>
      </c>
      <c r="E24" s="388" t="s">
        <v>21</v>
      </c>
      <c r="F24" s="389">
        <f t="shared" si="4"/>
        <v>0</v>
      </c>
      <c r="G24" s="315"/>
      <c r="H24" s="45">
        <f t="shared" si="5"/>
        <v>0</v>
      </c>
      <c r="I24" s="46"/>
      <c r="J24" s="47">
        <f t="shared" ref="J24:U24" si="12">J16*$C$24*$D$24*$G$24</f>
        <v>0</v>
      </c>
      <c r="K24" s="47">
        <f t="shared" si="12"/>
        <v>0</v>
      </c>
      <c r="L24" s="47">
        <f t="shared" si="12"/>
        <v>0</v>
      </c>
      <c r="M24" s="47">
        <f t="shared" si="12"/>
        <v>0</v>
      </c>
      <c r="N24" s="47">
        <f t="shared" si="12"/>
        <v>0</v>
      </c>
      <c r="O24" s="47">
        <f t="shared" si="12"/>
        <v>0</v>
      </c>
      <c r="P24" s="47">
        <f t="shared" si="12"/>
        <v>0</v>
      </c>
      <c r="Q24" s="47">
        <f t="shared" si="12"/>
        <v>0</v>
      </c>
      <c r="R24" s="47">
        <f t="shared" si="12"/>
        <v>0</v>
      </c>
      <c r="S24" s="47">
        <f t="shared" si="12"/>
        <v>0</v>
      </c>
      <c r="T24" s="47">
        <f t="shared" si="12"/>
        <v>0</v>
      </c>
      <c r="U24" s="48">
        <f t="shared" si="12"/>
        <v>0</v>
      </c>
      <c r="W24" s="38" t="e">
        <f t="shared" si="7"/>
        <v>#DIV/0!</v>
      </c>
      <c r="X24" s="1" t="str">
        <f t="shared" si="8"/>
        <v>Eucalyptus</v>
      </c>
    </row>
    <row r="25" spans="1:24" x14ac:dyDescent="0.25">
      <c r="A25" s="11"/>
      <c r="B25" s="242" t="s">
        <v>34</v>
      </c>
      <c r="C25" s="312">
        <v>0</v>
      </c>
      <c r="D25" s="406">
        <v>1</v>
      </c>
      <c r="E25" s="388" t="s">
        <v>21</v>
      </c>
      <c r="F25" s="389">
        <f t="shared" si="4"/>
        <v>0</v>
      </c>
      <c r="G25" s="315"/>
      <c r="H25" s="45">
        <f t="shared" si="5"/>
        <v>0</v>
      </c>
      <c r="I25" s="46"/>
      <c r="J25" s="47">
        <f t="shared" ref="J25:U25" si="13">J16*$C$25*$D$25*$G$25</f>
        <v>0</v>
      </c>
      <c r="K25" s="47">
        <f t="shared" si="13"/>
        <v>0</v>
      </c>
      <c r="L25" s="47">
        <f t="shared" si="13"/>
        <v>0</v>
      </c>
      <c r="M25" s="47">
        <f t="shared" si="13"/>
        <v>0</v>
      </c>
      <c r="N25" s="47">
        <f t="shared" si="13"/>
        <v>0</v>
      </c>
      <c r="O25" s="47">
        <f t="shared" si="13"/>
        <v>0</v>
      </c>
      <c r="P25" s="47">
        <f t="shared" si="13"/>
        <v>0</v>
      </c>
      <c r="Q25" s="47">
        <f t="shared" si="13"/>
        <v>0</v>
      </c>
      <c r="R25" s="47">
        <f t="shared" si="13"/>
        <v>0</v>
      </c>
      <c r="S25" s="47">
        <f t="shared" si="13"/>
        <v>0</v>
      </c>
      <c r="T25" s="47">
        <f t="shared" si="13"/>
        <v>0</v>
      </c>
      <c r="U25" s="48">
        <f t="shared" si="13"/>
        <v>0</v>
      </c>
      <c r="W25" s="38" t="e">
        <f t="shared" si="7"/>
        <v>#DIV/0!</v>
      </c>
      <c r="X25" s="1" t="str">
        <f t="shared" si="8"/>
        <v>FW</v>
      </c>
    </row>
    <row r="26" spans="1:24" x14ac:dyDescent="0.25">
      <c r="A26" s="11"/>
      <c r="B26" s="242" t="s">
        <v>37</v>
      </c>
      <c r="C26" s="312">
        <v>0</v>
      </c>
      <c r="D26" s="406">
        <v>1</v>
      </c>
      <c r="E26" s="388" t="s">
        <v>21</v>
      </c>
      <c r="F26" s="389">
        <f t="shared" si="4"/>
        <v>0</v>
      </c>
      <c r="G26" s="315"/>
      <c r="H26" s="45">
        <f t="shared" si="5"/>
        <v>0</v>
      </c>
      <c r="I26" s="46"/>
      <c r="J26" s="47">
        <f t="shared" ref="J26:U26" si="14">J16*$C$26*$D$26*$G$26</f>
        <v>0</v>
      </c>
      <c r="K26" s="47">
        <f t="shared" si="14"/>
        <v>0</v>
      </c>
      <c r="L26" s="47">
        <f t="shared" si="14"/>
        <v>0</v>
      </c>
      <c r="M26" s="47">
        <f t="shared" si="14"/>
        <v>0</v>
      </c>
      <c r="N26" s="47">
        <f t="shared" si="14"/>
        <v>0</v>
      </c>
      <c r="O26" s="47">
        <f t="shared" si="14"/>
        <v>0</v>
      </c>
      <c r="P26" s="47">
        <f t="shared" si="14"/>
        <v>0</v>
      </c>
      <c r="Q26" s="47">
        <f t="shared" si="14"/>
        <v>0</v>
      </c>
      <c r="R26" s="47">
        <f t="shared" si="14"/>
        <v>0</v>
      </c>
      <c r="S26" s="47">
        <f t="shared" si="14"/>
        <v>0</v>
      </c>
      <c r="T26" s="47">
        <f t="shared" si="14"/>
        <v>0</v>
      </c>
      <c r="U26" s="48">
        <f t="shared" si="14"/>
        <v>0</v>
      </c>
      <c r="W26" s="38" t="e">
        <f t="shared" si="7"/>
        <v>#DIV/0!</v>
      </c>
      <c r="X26" t="str">
        <f t="shared" si="8"/>
        <v>Euc Pulp</v>
      </c>
    </row>
    <row r="27" spans="1:24" x14ac:dyDescent="0.25">
      <c r="A27" s="11"/>
      <c r="B27" s="242" t="s">
        <v>174</v>
      </c>
      <c r="C27" s="312">
        <v>0</v>
      </c>
      <c r="D27" s="406">
        <v>1</v>
      </c>
      <c r="E27" s="388" t="s">
        <v>21</v>
      </c>
      <c r="F27" s="389">
        <f t="shared" si="4"/>
        <v>0</v>
      </c>
      <c r="G27" s="315"/>
      <c r="H27" s="45">
        <f t="shared" si="5"/>
        <v>0</v>
      </c>
      <c r="I27" s="46"/>
      <c r="J27" s="47">
        <f t="shared" ref="J27:U27" si="15">J16*$C$27*$D$27*$G$27</f>
        <v>0</v>
      </c>
      <c r="K27" s="47">
        <f t="shared" si="15"/>
        <v>0</v>
      </c>
      <c r="L27" s="47">
        <f t="shared" si="15"/>
        <v>0</v>
      </c>
      <c r="M27" s="47">
        <f t="shared" si="15"/>
        <v>0</v>
      </c>
      <c r="N27" s="47">
        <f t="shared" si="15"/>
        <v>0</v>
      </c>
      <c r="O27" s="47">
        <f t="shared" si="15"/>
        <v>0</v>
      </c>
      <c r="P27" s="47">
        <f t="shared" si="15"/>
        <v>0</v>
      </c>
      <c r="Q27" s="47">
        <f t="shared" si="15"/>
        <v>0</v>
      </c>
      <c r="R27" s="47">
        <f t="shared" si="15"/>
        <v>0</v>
      </c>
      <c r="S27" s="47">
        <f t="shared" si="15"/>
        <v>0</v>
      </c>
      <c r="T27" s="47">
        <f t="shared" si="15"/>
        <v>0</v>
      </c>
      <c r="U27" s="48">
        <f t="shared" si="15"/>
        <v>0</v>
      </c>
      <c r="W27" s="38" t="e">
        <f t="shared" si="7"/>
        <v>#DIV/0!</v>
      </c>
      <c r="X27" s="1" t="str">
        <f t="shared" si="8"/>
        <v>Binwood</v>
      </c>
    </row>
    <row r="28" spans="1:24" x14ac:dyDescent="0.25">
      <c r="A28" s="11"/>
      <c r="B28" s="376" t="s">
        <v>202</v>
      </c>
      <c r="C28" s="378">
        <v>0</v>
      </c>
      <c r="D28" s="407"/>
      <c r="E28" s="390" t="s">
        <v>21</v>
      </c>
      <c r="F28" s="391">
        <f t="shared" ref="F28:F40" si="16">IFERROR(H28/G28/D28,0)</f>
        <v>0</v>
      </c>
      <c r="G28" s="379"/>
      <c r="H28" s="45">
        <f t="shared" si="5"/>
        <v>0</v>
      </c>
      <c r="I28" s="46"/>
      <c r="J28" s="47">
        <f t="shared" ref="J28:U28" si="17">J16*$C$28*$D$28*$G$28</f>
        <v>0</v>
      </c>
      <c r="K28" s="47">
        <f t="shared" si="17"/>
        <v>0</v>
      </c>
      <c r="L28" s="47">
        <f t="shared" si="17"/>
        <v>0</v>
      </c>
      <c r="M28" s="47">
        <f t="shared" si="17"/>
        <v>0</v>
      </c>
      <c r="N28" s="47">
        <f t="shared" si="17"/>
        <v>0</v>
      </c>
      <c r="O28" s="47">
        <f t="shared" si="17"/>
        <v>0</v>
      </c>
      <c r="P28" s="47">
        <f t="shared" si="17"/>
        <v>0</v>
      </c>
      <c r="Q28" s="47">
        <f t="shared" si="17"/>
        <v>0</v>
      </c>
      <c r="R28" s="47">
        <f t="shared" si="17"/>
        <v>0</v>
      </c>
      <c r="S28" s="47">
        <f t="shared" si="17"/>
        <v>0</v>
      </c>
      <c r="T28" s="47">
        <f t="shared" si="17"/>
        <v>0</v>
      </c>
      <c r="U28" s="48">
        <f t="shared" si="17"/>
        <v>0</v>
      </c>
      <c r="W28" s="38" t="e">
        <f t="shared" si="7"/>
        <v>#DIV/0!</v>
      </c>
      <c r="X28" s="1" t="str">
        <f t="shared" si="8"/>
        <v>Spare Grade</v>
      </c>
    </row>
    <row r="29" spans="1:24" x14ac:dyDescent="0.25">
      <c r="A29" s="11"/>
      <c r="B29" s="243" t="s">
        <v>175</v>
      </c>
      <c r="C29" s="313">
        <v>0</v>
      </c>
      <c r="D29" s="408">
        <v>1</v>
      </c>
      <c r="E29" s="388" t="s">
        <v>19</v>
      </c>
      <c r="F29" s="389">
        <f t="shared" si="16"/>
        <v>0</v>
      </c>
      <c r="G29" s="316"/>
      <c r="H29" s="45">
        <f t="shared" si="5"/>
        <v>0</v>
      </c>
      <c r="I29" s="46"/>
      <c r="J29" s="47">
        <f t="shared" ref="J29:U29" si="18">J16*$C$29*$D$29*$G$29</f>
        <v>0</v>
      </c>
      <c r="K29" s="47">
        <f t="shared" si="18"/>
        <v>0</v>
      </c>
      <c r="L29" s="47">
        <f t="shared" si="18"/>
        <v>0</v>
      </c>
      <c r="M29" s="47">
        <f t="shared" si="18"/>
        <v>0</v>
      </c>
      <c r="N29" s="47">
        <f t="shared" si="18"/>
        <v>0</v>
      </c>
      <c r="O29" s="47">
        <f t="shared" si="18"/>
        <v>0</v>
      </c>
      <c r="P29" s="47">
        <f t="shared" si="18"/>
        <v>0</v>
      </c>
      <c r="Q29" s="47">
        <f t="shared" si="18"/>
        <v>0</v>
      </c>
      <c r="R29" s="47">
        <f t="shared" si="18"/>
        <v>0</v>
      </c>
      <c r="S29" s="47">
        <f t="shared" si="18"/>
        <v>0</v>
      </c>
      <c r="T29" s="47">
        <f t="shared" si="18"/>
        <v>0</v>
      </c>
      <c r="U29" s="48">
        <f t="shared" si="18"/>
        <v>0</v>
      </c>
      <c r="W29" s="38" t="e">
        <f t="shared" si="7"/>
        <v>#DIV/0!</v>
      </c>
      <c r="X29" s="1" t="str">
        <f t="shared" si="8"/>
        <v>P40</v>
      </c>
    </row>
    <row r="30" spans="1:24" x14ac:dyDescent="0.25">
      <c r="A30" s="11"/>
      <c r="B30" s="243" t="s">
        <v>176</v>
      </c>
      <c r="C30" s="313">
        <v>1.933667793097546E-3</v>
      </c>
      <c r="D30" s="408">
        <v>1.0288960591838534</v>
      </c>
      <c r="E30" s="388" t="s">
        <v>19</v>
      </c>
      <c r="F30" s="389">
        <f t="shared" si="16"/>
        <v>0</v>
      </c>
      <c r="G30" s="316"/>
      <c r="H30" s="45">
        <f t="shared" si="5"/>
        <v>0</v>
      </c>
      <c r="I30" s="46"/>
      <c r="J30" s="47">
        <f t="shared" ref="J30:U30" si="19">J16*$C$30*$D$30*$G$30</f>
        <v>0</v>
      </c>
      <c r="K30" s="47">
        <f t="shared" si="19"/>
        <v>0</v>
      </c>
      <c r="L30" s="47">
        <f t="shared" si="19"/>
        <v>0</v>
      </c>
      <c r="M30" s="47">
        <f t="shared" si="19"/>
        <v>0</v>
      </c>
      <c r="N30" s="47">
        <f t="shared" si="19"/>
        <v>0</v>
      </c>
      <c r="O30" s="47">
        <f t="shared" si="19"/>
        <v>0</v>
      </c>
      <c r="P30" s="47">
        <f t="shared" si="19"/>
        <v>0</v>
      </c>
      <c r="Q30" s="47">
        <f t="shared" si="19"/>
        <v>0</v>
      </c>
      <c r="R30" s="47">
        <f t="shared" si="19"/>
        <v>0</v>
      </c>
      <c r="S30" s="47">
        <f t="shared" si="19"/>
        <v>0</v>
      </c>
      <c r="T30" s="47">
        <f t="shared" si="19"/>
        <v>0</v>
      </c>
      <c r="U30" s="48">
        <f t="shared" si="19"/>
        <v>0</v>
      </c>
      <c r="W30" s="38" t="e">
        <f t="shared" si="7"/>
        <v>#DIV/0!</v>
      </c>
      <c r="X30" s="1" t="str">
        <f t="shared" si="8"/>
        <v>P30</v>
      </c>
    </row>
    <row r="31" spans="1:24" x14ac:dyDescent="0.25">
      <c r="A31" s="11"/>
      <c r="B31" s="246" t="s">
        <v>23</v>
      </c>
      <c r="C31" s="313">
        <v>0.15</v>
      </c>
      <c r="D31" s="408">
        <v>1.04</v>
      </c>
      <c r="E31" s="392" t="s">
        <v>19</v>
      </c>
      <c r="F31" s="389">
        <f t="shared" si="16"/>
        <v>0</v>
      </c>
      <c r="G31" s="316"/>
      <c r="H31" s="45">
        <f t="shared" si="5"/>
        <v>0</v>
      </c>
      <c r="I31" s="46"/>
      <c r="J31" s="47">
        <f t="shared" ref="J31:U31" si="20">J16*$C$31*$D$31*$G$31</f>
        <v>0</v>
      </c>
      <c r="K31" s="47">
        <f t="shared" si="20"/>
        <v>0</v>
      </c>
      <c r="L31" s="47">
        <f t="shared" si="20"/>
        <v>0</v>
      </c>
      <c r="M31" s="47">
        <f t="shared" si="20"/>
        <v>0</v>
      </c>
      <c r="N31" s="47">
        <f t="shared" si="20"/>
        <v>0</v>
      </c>
      <c r="O31" s="47">
        <f t="shared" si="20"/>
        <v>0</v>
      </c>
      <c r="P31" s="47">
        <f t="shared" si="20"/>
        <v>0</v>
      </c>
      <c r="Q31" s="47">
        <f t="shared" si="20"/>
        <v>0</v>
      </c>
      <c r="R31" s="47">
        <f t="shared" si="20"/>
        <v>0</v>
      </c>
      <c r="S31" s="47">
        <f t="shared" si="20"/>
        <v>0</v>
      </c>
      <c r="T31" s="47">
        <f t="shared" si="20"/>
        <v>0</v>
      </c>
      <c r="U31" s="48">
        <f t="shared" si="20"/>
        <v>0</v>
      </c>
      <c r="W31" s="38" t="e">
        <f t="shared" si="7"/>
        <v>#DIV/0!</v>
      </c>
      <c r="X31" s="1" t="str">
        <f t="shared" si="8"/>
        <v>AO</v>
      </c>
    </row>
    <row r="32" spans="1:24" x14ac:dyDescent="0.25">
      <c r="A32" s="11"/>
      <c r="B32" s="246" t="s">
        <v>24</v>
      </c>
      <c r="C32" s="313">
        <v>0.28000000000000003</v>
      </c>
      <c r="D32" s="408">
        <v>1.01</v>
      </c>
      <c r="E32" s="392" t="s">
        <v>19</v>
      </c>
      <c r="F32" s="389">
        <f t="shared" si="16"/>
        <v>0</v>
      </c>
      <c r="G32" s="316"/>
      <c r="H32" s="45">
        <f t="shared" si="5"/>
        <v>0</v>
      </c>
      <c r="I32" s="46"/>
      <c r="J32" s="47">
        <f t="shared" ref="J32:U32" si="21">J16*$C$32*$D$32*$G$32</f>
        <v>0</v>
      </c>
      <c r="K32" s="47">
        <f t="shared" si="21"/>
        <v>0</v>
      </c>
      <c r="L32" s="47">
        <f t="shared" si="21"/>
        <v>0</v>
      </c>
      <c r="M32" s="47">
        <f t="shared" si="21"/>
        <v>0</v>
      </c>
      <c r="N32" s="47">
        <f t="shared" si="21"/>
        <v>0</v>
      </c>
      <c r="O32" s="47">
        <f t="shared" si="21"/>
        <v>0</v>
      </c>
      <c r="P32" s="47">
        <f t="shared" si="21"/>
        <v>0</v>
      </c>
      <c r="Q32" s="47">
        <f t="shared" si="21"/>
        <v>0</v>
      </c>
      <c r="R32" s="47">
        <f t="shared" si="21"/>
        <v>0</v>
      </c>
      <c r="S32" s="47">
        <f t="shared" si="21"/>
        <v>0</v>
      </c>
      <c r="T32" s="47">
        <f t="shared" si="21"/>
        <v>0</v>
      </c>
      <c r="U32" s="48">
        <f t="shared" si="21"/>
        <v>0</v>
      </c>
      <c r="W32" s="38" t="e">
        <f t="shared" si="7"/>
        <v>#DIV/0!</v>
      </c>
      <c r="X32" s="1" t="str">
        <f t="shared" si="8"/>
        <v>A</v>
      </c>
    </row>
    <row r="33" spans="1:24" x14ac:dyDescent="0.25">
      <c r="A33" s="11"/>
      <c r="B33" s="246" t="s">
        <v>26</v>
      </c>
      <c r="C33" s="313">
        <v>0.208703355468741</v>
      </c>
      <c r="D33" s="408">
        <v>0.96</v>
      </c>
      <c r="E33" s="392" t="s">
        <v>19</v>
      </c>
      <c r="F33" s="389">
        <f t="shared" si="16"/>
        <v>0</v>
      </c>
      <c r="G33" s="316"/>
      <c r="H33" s="45">
        <f t="shared" si="5"/>
        <v>0</v>
      </c>
      <c r="I33" s="46"/>
      <c r="J33" s="47">
        <f t="shared" ref="J33:U33" si="22">J16*$C$33*$D$33*$G$33</f>
        <v>0</v>
      </c>
      <c r="K33" s="47">
        <f t="shared" si="22"/>
        <v>0</v>
      </c>
      <c r="L33" s="47">
        <f t="shared" si="22"/>
        <v>0</v>
      </c>
      <c r="M33" s="47">
        <f t="shared" si="22"/>
        <v>0</v>
      </c>
      <c r="N33" s="47">
        <f t="shared" si="22"/>
        <v>0</v>
      </c>
      <c r="O33" s="47">
        <f t="shared" si="22"/>
        <v>0</v>
      </c>
      <c r="P33" s="47">
        <f t="shared" si="22"/>
        <v>0</v>
      </c>
      <c r="Q33" s="47">
        <f t="shared" si="22"/>
        <v>0</v>
      </c>
      <c r="R33" s="47">
        <f t="shared" si="22"/>
        <v>0</v>
      </c>
      <c r="S33" s="47">
        <f t="shared" si="22"/>
        <v>0</v>
      </c>
      <c r="T33" s="47">
        <f t="shared" si="22"/>
        <v>0</v>
      </c>
      <c r="U33" s="48">
        <f t="shared" si="22"/>
        <v>0</v>
      </c>
      <c r="W33" s="38" t="e">
        <f t="shared" si="7"/>
        <v>#DIV/0!</v>
      </c>
      <c r="X33" s="1" t="str">
        <f t="shared" si="8"/>
        <v>K</v>
      </c>
    </row>
    <row r="34" spans="1:24" x14ac:dyDescent="0.25">
      <c r="A34" s="11"/>
      <c r="B34" s="243" t="s">
        <v>27</v>
      </c>
      <c r="C34" s="313">
        <v>2.5784396041069621E-2</v>
      </c>
      <c r="D34" s="408">
        <v>0.97</v>
      </c>
      <c r="E34" s="388" t="s">
        <v>19</v>
      </c>
      <c r="F34" s="389">
        <f t="shared" si="16"/>
        <v>0</v>
      </c>
      <c r="G34" s="316"/>
      <c r="H34" s="45">
        <f t="shared" si="5"/>
        <v>0</v>
      </c>
      <c r="I34" s="46"/>
      <c r="J34" s="47">
        <f t="shared" ref="J34:U34" si="23">J16*$C$34*$D$34*$G$34</f>
        <v>0</v>
      </c>
      <c r="K34" s="47">
        <f t="shared" si="23"/>
        <v>0</v>
      </c>
      <c r="L34" s="47">
        <f t="shared" si="23"/>
        <v>0</v>
      </c>
      <c r="M34" s="47">
        <f t="shared" si="23"/>
        <v>0</v>
      </c>
      <c r="N34" s="47">
        <f t="shared" si="23"/>
        <v>0</v>
      </c>
      <c r="O34" s="47">
        <f t="shared" si="23"/>
        <v>0</v>
      </c>
      <c r="P34" s="47">
        <f t="shared" si="23"/>
        <v>0</v>
      </c>
      <c r="Q34" s="47">
        <f t="shared" si="23"/>
        <v>0</v>
      </c>
      <c r="R34" s="47">
        <f t="shared" si="23"/>
        <v>0</v>
      </c>
      <c r="S34" s="47">
        <f t="shared" si="23"/>
        <v>0</v>
      </c>
      <c r="T34" s="47">
        <f t="shared" si="23"/>
        <v>0</v>
      </c>
      <c r="U34" s="48">
        <f t="shared" si="23"/>
        <v>0</v>
      </c>
      <c r="W34" s="38" t="e">
        <f t="shared" si="7"/>
        <v>#DIV/0!</v>
      </c>
      <c r="X34" s="1" t="str">
        <f t="shared" si="8"/>
        <v>KI</v>
      </c>
    </row>
    <row r="35" spans="1:24" x14ac:dyDescent="0.25">
      <c r="A35" s="11"/>
      <c r="B35" s="243" t="s">
        <v>29</v>
      </c>
      <c r="C35" s="313">
        <v>0.10175209731252557</v>
      </c>
      <c r="D35" s="408">
        <v>0.92</v>
      </c>
      <c r="E35" s="392" t="s">
        <v>19</v>
      </c>
      <c r="F35" s="389">
        <f t="shared" si="16"/>
        <v>0</v>
      </c>
      <c r="G35" s="316"/>
      <c r="H35" s="45">
        <f t="shared" si="5"/>
        <v>0</v>
      </c>
      <c r="I35" s="46"/>
      <c r="J35" s="47">
        <f t="shared" ref="J35:U35" si="24">J16*$C$35*$D$35*$G$35</f>
        <v>0</v>
      </c>
      <c r="K35" s="47">
        <f t="shared" si="24"/>
        <v>0</v>
      </c>
      <c r="L35" s="47">
        <f t="shared" si="24"/>
        <v>0</v>
      </c>
      <c r="M35" s="47">
        <f t="shared" si="24"/>
        <v>0</v>
      </c>
      <c r="N35" s="47">
        <f t="shared" si="24"/>
        <v>0</v>
      </c>
      <c r="O35" s="47">
        <f t="shared" si="24"/>
        <v>0</v>
      </c>
      <c r="P35" s="47">
        <f t="shared" si="24"/>
        <v>0</v>
      </c>
      <c r="Q35" s="47">
        <f t="shared" si="24"/>
        <v>0</v>
      </c>
      <c r="R35" s="47">
        <f t="shared" si="24"/>
        <v>0</v>
      </c>
      <c r="S35" s="47">
        <f t="shared" si="24"/>
        <v>0</v>
      </c>
      <c r="T35" s="47">
        <f t="shared" si="24"/>
        <v>0</v>
      </c>
      <c r="U35" s="48">
        <f t="shared" si="24"/>
        <v>0</v>
      </c>
      <c r="W35" s="38" t="e">
        <f t="shared" si="7"/>
        <v>#DIV/0!</v>
      </c>
      <c r="X35" s="1" t="str">
        <f t="shared" si="8"/>
        <v>KIS</v>
      </c>
    </row>
    <row r="36" spans="1:24" x14ac:dyDescent="0.25">
      <c r="A36" s="11"/>
      <c r="B36" s="246" t="s">
        <v>28</v>
      </c>
      <c r="C36" s="313"/>
      <c r="D36" s="408"/>
      <c r="E36" s="392" t="s">
        <v>19</v>
      </c>
      <c r="F36" s="389">
        <f t="shared" si="16"/>
        <v>0</v>
      </c>
      <c r="G36" s="316"/>
      <c r="H36" s="45">
        <f t="shared" si="5"/>
        <v>0</v>
      </c>
      <c r="I36" s="46"/>
      <c r="J36" s="47">
        <f t="shared" ref="J36:U36" si="25">J16*$C$36*$D$36*$G$36</f>
        <v>0</v>
      </c>
      <c r="K36" s="47">
        <f t="shared" si="25"/>
        <v>0</v>
      </c>
      <c r="L36" s="47">
        <f t="shared" si="25"/>
        <v>0</v>
      </c>
      <c r="M36" s="47">
        <f t="shared" si="25"/>
        <v>0</v>
      </c>
      <c r="N36" s="47">
        <f t="shared" si="25"/>
        <v>0</v>
      </c>
      <c r="O36" s="47">
        <f t="shared" si="25"/>
        <v>0</v>
      </c>
      <c r="P36" s="47">
        <f t="shared" si="25"/>
        <v>0</v>
      </c>
      <c r="Q36" s="47">
        <f t="shared" si="25"/>
        <v>0</v>
      </c>
      <c r="R36" s="47">
        <f t="shared" si="25"/>
        <v>0</v>
      </c>
      <c r="S36" s="47">
        <f t="shared" si="25"/>
        <v>0</v>
      </c>
      <c r="T36" s="47">
        <f t="shared" si="25"/>
        <v>0</v>
      </c>
      <c r="U36" s="48">
        <f t="shared" si="25"/>
        <v>0</v>
      </c>
      <c r="W36" s="38" t="e">
        <f t="shared" si="7"/>
        <v>#DIV/0!</v>
      </c>
      <c r="X36" s="1" t="str">
        <f t="shared" si="8"/>
        <v>KI stub</v>
      </c>
    </row>
    <row r="37" spans="1:24" x14ac:dyDescent="0.25">
      <c r="A37" s="11"/>
      <c r="B37" s="246" t="s">
        <v>31</v>
      </c>
      <c r="C37" s="313"/>
      <c r="D37" s="408"/>
      <c r="E37" s="392" t="s">
        <v>19</v>
      </c>
      <c r="F37" s="389">
        <f t="shared" si="16"/>
        <v>0</v>
      </c>
      <c r="G37" s="316"/>
      <c r="H37" s="45">
        <f t="shared" si="5"/>
        <v>0</v>
      </c>
      <c r="I37" s="46"/>
      <c r="J37" s="47">
        <f t="shared" ref="J37:U37" si="26">J16*$C$37*$D$37*$G$37</f>
        <v>0</v>
      </c>
      <c r="K37" s="47">
        <f t="shared" si="26"/>
        <v>0</v>
      </c>
      <c r="L37" s="47">
        <f t="shared" si="26"/>
        <v>0</v>
      </c>
      <c r="M37" s="47">
        <f t="shared" si="26"/>
        <v>0</v>
      </c>
      <c r="N37" s="47">
        <f t="shared" si="26"/>
        <v>0</v>
      </c>
      <c r="O37" s="47">
        <f t="shared" si="26"/>
        <v>0</v>
      </c>
      <c r="P37" s="47">
        <f t="shared" si="26"/>
        <v>0</v>
      </c>
      <c r="Q37" s="47">
        <f t="shared" si="26"/>
        <v>0</v>
      </c>
      <c r="R37" s="47">
        <f t="shared" si="26"/>
        <v>0</v>
      </c>
      <c r="S37" s="47">
        <f t="shared" si="26"/>
        <v>0</v>
      </c>
      <c r="T37" s="47">
        <f t="shared" si="26"/>
        <v>0</v>
      </c>
      <c r="U37" s="48">
        <f t="shared" si="26"/>
        <v>0</v>
      </c>
      <c r="W37" s="38" t="e">
        <f t="shared" si="7"/>
        <v>#DIV/0!</v>
      </c>
      <c r="X37" s="1" t="str">
        <f t="shared" si="8"/>
        <v>CF+</v>
      </c>
    </row>
    <row r="38" spans="1:24" x14ac:dyDescent="0.25">
      <c r="A38" s="11"/>
      <c r="B38" s="246" t="s">
        <v>32</v>
      </c>
      <c r="C38" s="313"/>
      <c r="D38" s="408"/>
      <c r="E38" s="392" t="s">
        <v>19</v>
      </c>
      <c r="F38" s="389">
        <f t="shared" si="16"/>
        <v>0</v>
      </c>
      <c r="G38" s="316"/>
      <c r="H38" s="45">
        <f t="shared" si="5"/>
        <v>0</v>
      </c>
      <c r="I38" s="46"/>
      <c r="J38" s="47">
        <f t="shared" ref="J38:U38" si="27">J16*$C$38*$D$38*$G$38</f>
        <v>0</v>
      </c>
      <c r="K38" s="47">
        <f t="shared" si="27"/>
        <v>0</v>
      </c>
      <c r="L38" s="47">
        <f t="shared" si="27"/>
        <v>0</v>
      </c>
      <c r="M38" s="47">
        <f t="shared" si="27"/>
        <v>0</v>
      </c>
      <c r="N38" s="47">
        <f t="shared" si="27"/>
        <v>0</v>
      </c>
      <c r="O38" s="47">
        <f t="shared" si="27"/>
        <v>0</v>
      </c>
      <c r="P38" s="47">
        <f t="shared" si="27"/>
        <v>0</v>
      </c>
      <c r="Q38" s="47">
        <f t="shared" si="27"/>
        <v>0</v>
      </c>
      <c r="R38" s="47">
        <f t="shared" si="27"/>
        <v>0</v>
      </c>
      <c r="S38" s="47">
        <f t="shared" si="27"/>
        <v>0</v>
      </c>
      <c r="T38" s="47">
        <f t="shared" si="27"/>
        <v>0</v>
      </c>
      <c r="U38" s="48">
        <f t="shared" si="27"/>
        <v>0</v>
      </c>
      <c r="W38" s="38" t="e">
        <f t="shared" si="7"/>
        <v>#DIV/0!</v>
      </c>
      <c r="X38" s="1" t="str">
        <f t="shared" si="8"/>
        <v>CF-</v>
      </c>
    </row>
    <row r="39" spans="1:24" x14ac:dyDescent="0.25">
      <c r="A39" s="11"/>
      <c r="B39" s="246" t="s">
        <v>33</v>
      </c>
      <c r="C39" s="313"/>
      <c r="D39" s="408"/>
      <c r="E39" s="392" t="s">
        <v>19</v>
      </c>
      <c r="F39" s="389">
        <f t="shared" si="16"/>
        <v>0</v>
      </c>
      <c r="G39" s="316"/>
      <c r="H39" s="45">
        <f t="shared" si="5"/>
        <v>0</v>
      </c>
      <c r="I39" s="46"/>
      <c r="J39" s="47">
        <f t="shared" ref="J39:U39" si="28">J16*$C$39*$D$39*$G$39</f>
        <v>0</v>
      </c>
      <c r="K39" s="47">
        <f t="shared" si="28"/>
        <v>0</v>
      </c>
      <c r="L39" s="47">
        <f t="shared" si="28"/>
        <v>0</v>
      </c>
      <c r="M39" s="47">
        <f t="shared" si="28"/>
        <v>0</v>
      </c>
      <c r="N39" s="47">
        <f t="shared" si="28"/>
        <v>0</v>
      </c>
      <c r="O39" s="47">
        <f t="shared" si="28"/>
        <v>0</v>
      </c>
      <c r="P39" s="47">
        <f t="shared" si="28"/>
        <v>0</v>
      </c>
      <c r="Q39" s="47">
        <f t="shared" si="28"/>
        <v>0</v>
      </c>
      <c r="R39" s="47">
        <f t="shared" si="28"/>
        <v>0</v>
      </c>
      <c r="S39" s="47">
        <f t="shared" si="28"/>
        <v>0</v>
      </c>
      <c r="T39" s="47">
        <f t="shared" si="28"/>
        <v>0</v>
      </c>
      <c r="U39" s="48">
        <f t="shared" si="28"/>
        <v>0</v>
      </c>
      <c r="W39" s="38" t="e">
        <f t="shared" si="7"/>
        <v>#DIV/0!</v>
      </c>
      <c r="X39" s="1" t="str">
        <f t="shared" si="8"/>
        <v>CM</v>
      </c>
    </row>
    <row r="40" spans="1:24" x14ac:dyDescent="0.25">
      <c r="A40" s="11"/>
      <c r="B40" s="243" t="s">
        <v>35</v>
      </c>
      <c r="C40" s="313"/>
      <c r="D40" s="408"/>
      <c r="E40" s="392" t="s">
        <v>19</v>
      </c>
      <c r="F40" s="389">
        <f t="shared" si="16"/>
        <v>0</v>
      </c>
      <c r="G40" s="316"/>
      <c r="H40" s="45">
        <f t="shared" si="5"/>
        <v>0</v>
      </c>
      <c r="I40" s="46"/>
      <c r="J40" s="47">
        <f t="shared" ref="J40:U40" si="29">J16*$C$40*$D$40*$G$40</f>
        <v>0</v>
      </c>
      <c r="K40" s="47">
        <f t="shared" si="29"/>
        <v>0</v>
      </c>
      <c r="L40" s="47">
        <f t="shared" si="29"/>
        <v>0</v>
      </c>
      <c r="M40" s="47">
        <f t="shared" si="29"/>
        <v>0</v>
      </c>
      <c r="N40" s="47">
        <f t="shared" si="29"/>
        <v>0</v>
      </c>
      <c r="O40" s="47">
        <f t="shared" si="29"/>
        <v>0</v>
      </c>
      <c r="P40" s="47">
        <f t="shared" si="29"/>
        <v>0</v>
      </c>
      <c r="Q40" s="47">
        <f t="shared" si="29"/>
        <v>0</v>
      </c>
      <c r="R40" s="47">
        <f t="shared" si="29"/>
        <v>0</v>
      </c>
      <c r="S40" s="47">
        <f t="shared" si="29"/>
        <v>0</v>
      </c>
      <c r="T40" s="47">
        <f t="shared" si="29"/>
        <v>0</v>
      </c>
      <c r="U40" s="48">
        <f t="shared" si="29"/>
        <v>0</v>
      </c>
      <c r="W40" s="38" t="e">
        <f t="shared" si="7"/>
        <v>#DIV/0!</v>
      </c>
      <c r="X40" s="1" t="str">
        <f t="shared" si="8"/>
        <v>Euc A</v>
      </c>
    </row>
    <row r="41" spans="1:24" x14ac:dyDescent="0.25">
      <c r="A41" s="11"/>
      <c r="B41" s="243" t="s">
        <v>36</v>
      </c>
      <c r="C41" s="313"/>
      <c r="D41" s="408"/>
      <c r="E41" s="392"/>
      <c r="F41" s="389"/>
      <c r="G41" s="316"/>
      <c r="H41" s="45">
        <f t="shared" si="5"/>
        <v>0</v>
      </c>
      <c r="I41" s="46"/>
      <c r="J41" s="47">
        <f t="shared" ref="J41:U41" si="30">J16*$C$41*$D$41*$G$41</f>
        <v>0</v>
      </c>
      <c r="K41" s="47">
        <f t="shared" si="30"/>
        <v>0</v>
      </c>
      <c r="L41" s="47">
        <f t="shared" si="30"/>
        <v>0</v>
      </c>
      <c r="M41" s="47">
        <f t="shared" si="30"/>
        <v>0</v>
      </c>
      <c r="N41" s="47">
        <f t="shared" si="30"/>
        <v>0</v>
      </c>
      <c r="O41" s="47">
        <f t="shared" si="30"/>
        <v>0</v>
      </c>
      <c r="P41" s="47">
        <f t="shared" si="30"/>
        <v>0</v>
      </c>
      <c r="Q41" s="47">
        <f t="shared" si="30"/>
        <v>0</v>
      </c>
      <c r="R41" s="47">
        <f t="shared" si="30"/>
        <v>0</v>
      </c>
      <c r="S41" s="47">
        <f t="shared" si="30"/>
        <v>0</v>
      </c>
      <c r="T41" s="47">
        <f t="shared" si="30"/>
        <v>0</v>
      </c>
      <c r="U41" s="48">
        <f t="shared" si="30"/>
        <v>0</v>
      </c>
      <c r="W41" s="38" t="e">
        <f t="shared" si="7"/>
        <v>#DIV/0!</v>
      </c>
      <c r="X41" s="1" t="str">
        <f t="shared" si="8"/>
        <v>Euc K</v>
      </c>
    </row>
    <row r="42" spans="1:24" ht="15.75" thickBot="1" x14ac:dyDescent="0.3">
      <c r="A42" s="11"/>
      <c r="B42" s="49"/>
      <c r="C42" s="314">
        <f>SUM(C20:C41)</f>
        <v>1.0022978496041302</v>
      </c>
      <c r="D42" s="51"/>
      <c r="E42" s="52"/>
      <c r="F42" s="53"/>
      <c r="G42" s="54"/>
      <c r="H42" s="54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318"/>
    </row>
    <row r="43" spans="1:24" ht="15.75" thickTop="1" x14ac:dyDescent="0.25">
      <c r="A43" s="11"/>
      <c r="B43" s="55" t="s">
        <v>39</v>
      </c>
      <c r="C43" s="51">
        <f>SUMIF(E20:E41,"JAS",C20:C41)</f>
        <v>0.76817351661543376</v>
      </c>
      <c r="D43" s="51"/>
      <c r="E43" s="52"/>
      <c r="F43" s="53"/>
      <c r="G43" s="54"/>
      <c r="H43" s="45">
        <f>SUM(J43:U43)</f>
        <v>0</v>
      </c>
      <c r="I43" s="46"/>
      <c r="J43" s="56">
        <f t="shared" ref="J43:U43" si="31">SUM(J28:J41)</f>
        <v>0</v>
      </c>
      <c r="K43" s="56">
        <f t="shared" si="31"/>
        <v>0</v>
      </c>
      <c r="L43" s="56">
        <f t="shared" si="31"/>
        <v>0</v>
      </c>
      <c r="M43" s="56">
        <f t="shared" si="31"/>
        <v>0</v>
      </c>
      <c r="N43" s="56">
        <f t="shared" si="31"/>
        <v>0</v>
      </c>
      <c r="O43" s="56">
        <f t="shared" si="31"/>
        <v>0</v>
      </c>
      <c r="P43" s="56">
        <f t="shared" si="31"/>
        <v>0</v>
      </c>
      <c r="Q43" s="56">
        <f t="shared" si="31"/>
        <v>0</v>
      </c>
      <c r="R43" s="56">
        <f t="shared" si="31"/>
        <v>0</v>
      </c>
      <c r="S43" s="56">
        <f t="shared" si="31"/>
        <v>0</v>
      </c>
      <c r="T43" s="56">
        <f t="shared" si="31"/>
        <v>0</v>
      </c>
      <c r="U43" s="57">
        <f t="shared" si="31"/>
        <v>0</v>
      </c>
      <c r="W43" s="38" t="e">
        <f>SUM(W20:W42)</f>
        <v>#DIV/0!</v>
      </c>
    </row>
    <row r="44" spans="1:24" x14ac:dyDescent="0.25">
      <c r="A44" s="11"/>
      <c r="B44" s="55" t="s">
        <v>40</v>
      </c>
      <c r="C44" s="51">
        <f>SUMIF(E20:E41,"Tonnes",C20:C41)</f>
        <v>0.23412433298869639</v>
      </c>
      <c r="D44" s="51"/>
      <c r="E44" s="52"/>
      <c r="F44" s="53"/>
      <c r="G44" s="54"/>
      <c r="H44" s="45">
        <f>SUM(J44:U44)</f>
        <v>0</v>
      </c>
      <c r="I44" s="46"/>
      <c r="J44" s="56">
        <f t="shared" ref="J44:U44" si="32">SUM(J20:J27)</f>
        <v>0</v>
      </c>
      <c r="K44" s="56">
        <f t="shared" si="32"/>
        <v>0</v>
      </c>
      <c r="L44" s="56">
        <f t="shared" si="32"/>
        <v>0</v>
      </c>
      <c r="M44" s="56">
        <f t="shared" si="32"/>
        <v>0</v>
      </c>
      <c r="N44" s="56">
        <f t="shared" si="32"/>
        <v>0</v>
      </c>
      <c r="O44" s="56">
        <f t="shared" si="32"/>
        <v>0</v>
      </c>
      <c r="P44" s="56">
        <f t="shared" si="32"/>
        <v>0</v>
      </c>
      <c r="Q44" s="56">
        <f t="shared" si="32"/>
        <v>0</v>
      </c>
      <c r="R44" s="56">
        <f t="shared" si="32"/>
        <v>0</v>
      </c>
      <c r="S44" s="56">
        <f t="shared" si="32"/>
        <v>0</v>
      </c>
      <c r="T44" s="56">
        <f t="shared" si="32"/>
        <v>0</v>
      </c>
      <c r="U44" s="57">
        <f t="shared" si="32"/>
        <v>0</v>
      </c>
    </row>
    <row r="45" spans="1:24" ht="15.75" thickBot="1" x14ac:dyDescent="0.3">
      <c r="A45" s="11"/>
      <c r="B45" s="49"/>
      <c r="C45" s="51"/>
      <c r="D45" s="51"/>
      <c r="E45" s="52"/>
      <c r="F45" s="53"/>
      <c r="G45" s="54"/>
      <c r="H45" s="54"/>
      <c r="I45" s="46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8"/>
    </row>
    <row r="46" spans="1:24" ht="16.5" thickTop="1" thickBot="1" x14ac:dyDescent="0.3">
      <c r="A46" s="11"/>
      <c r="B46" s="59" t="s">
        <v>18</v>
      </c>
      <c r="C46" s="60"/>
      <c r="D46" s="60"/>
      <c r="E46" s="61"/>
      <c r="F46" s="62"/>
      <c r="G46" s="63">
        <f>IFERROR(H46/W16,0)</f>
        <v>0</v>
      </c>
      <c r="H46" s="64">
        <f>SUM(H20:H41)</f>
        <v>0</v>
      </c>
      <c r="I46" s="65"/>
      <c r="J46" s="64">
        <f t="shared" ref="J46:U46" si="33">SUM(J20:J41)</f>
        <v>0</v>
      </c>
      <c r="K46" s="64">
        <f t="shared" si="33"/>
        <v>0</v>
      </c>
      <c r="L46" s="64">
        <f t="shared" si="33"/>
        <v>0</v>
      </c>
      <c r="M46" s="64">
        <f t="shared" si="33"/>
        <v>0</v>
      </c>
      <c r="N46" s="64">
        <f t="shared" si="33"/>
        <v>0</v>
      </c>
      <c r="O46" s="64">
        <f t="shared" si="33"/>
        <v>0</v>
      </c>
      <c r="P46" s="64">
        <f t="shared" si="33"/>
        <v>0</v>
      </c>
      <c r="Q46" s="64">
        <f t="shared" si="33"/>
        <v>0</v>
      </c>
      <c r="R46" s="64">
        <f t="shared" si="33"/>
        <v>0</v>
      </c>
      <c r="S46" s="64">
        <f t="shared" si="33"/>
        <v>0</v>
      </c>
      <c r="T46" s="64">
        <f t="shared" si="33"/>
        <v>0</v>
      </c>
      <c r="U46" s="66">
        <f t="shared" si="33"/>
        <v>0</v>
      </c>
      <c r="W46" s="67">
        <f>SUM(J46:U46)</f>
        <v>0</v>
      </c>
    </row>
    <row r="47" spans="1:24" x14ac:dyDescent="0.25">
      <c r="A47" s="11"/>
      <c r="B47" s="68"/>
      <c r="G47" s="52"/>
      <c r="H47" s="69"/>
      <c r="I47" s="69"/>
    </row>
    <row r="48" spans="1:24" ht="16.5" thickBot="1" x14ac:dyDescent="0.3">
      <c r="A48" s="11"/>
      <c r="B48" s="70" t="s">
        <v>41</v>
      </c>
      <c r="C48" s="80" t="s">
        <v>44</v>
      </c>
      <c r="D48" s="42" t="s">
        <v>220</v>
      </c>
    </row>
    <row r="49" spans="1:23" ht="15.75" thickBot="1" x14ac:dyDescent="0.3">
      <c r="A49" s="11"/>
      <c r="B49" s="71" t="s">
        <v>42</v>
      </c>
      <c r="C49" s="321" t="s">
        <v>193</v>
      </c>
      <c r="D49" s="324" t="s">
        <v>53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40"/>
    </row>
    <row r="50" spans="1:23" ht="15.75" thickBot="1" x14ac:dyDescent="0.3">
      <c r="A50" s="11"/>
      <c r="B50" s="72"/>
      <c r="C50" s="319"/>
      <c r="D50" s="43"/>
      <c r="E50" s="43"/>
      <c r="F50" s="43"/>
      <c r="G50" s="43"/>
      <c r="H50" s="42" t="s">
        <v>18</v>
      </c>
      <c r="I50" s="43"/>
      <c r="J50" s="178">
        <v>45658</v>
      </c>
      <c r="K50" s="178">
        <v>45689</v>
      </c>
      <c r="L50" s="178">
        <v>45717</v>
      </c>
      <c r="M50" s="178">
        <v>45748</v>
      </c>
      <c r="N50" s="178">
        <v>45778</v>
      </c>
      <c r="O50" s="178">
        <v>45809</v>
      </c>
      <c r="P50" s="178">
        <v>45839</v>
      </c>
      <c r="Q50" s="178">
        <v>45870</v>
      </c>
      <c r="R50" s="178">
        <v>45901</v>
      </c>
      <c r="S50" s="178">
        <v>45931</v>
      </c>
      <c r="T50" s="178">
        <v>45962</v>
      </c>
      <c r="U50" s="178">
        <v>45992</v>
      </c>
    </row>
    <row r="51" spans="1:23" ht="16.5" thickTop="1" thickBot="1" x14ac:dyDescent="0.3">
      <c r="A51" s="11"/>
      <c r="B51" s="73"/>
      <c r="C51" s="320"/>
      <c r="D51" s="74"/>
      <c r="E51" s="74"/>
      <c r="F51" s="74"/>
      <c r="G51" s="74">
        <f>IFERROR(H51/W16,0)</f>
        <v>0</v>
      </c>
      <c r="H51" s="75">
        <f>SUM(J51:U51)</f>
        <v>0</v>
      </c>
      <c r="I51" s="76"/>
      <c r="J51" s="77">
        <f t="shared" ref="J51:U51" si="34">J16*J13</f>
        <v>0</v>
      </c>
      <c r="K51" s="77">
        <f t="shared" si="34"/>
        <v>0</v>
      </c>
      <c r="L51" s="77">
        <f t="shared" si="34"/>
        <v>0</v>
      </c>
      <c r="M51" s="77">
        <f t="shared" si="34"/>
        <v>0</v>
      </c>
      <c r="N51" s="77">
        <f t="shared" si="34"/>
        <v>0</v>
      </c>
      <c r="O51" s="77">
        <f t="shared" si="34"/>
        <v>0</v>
      </c>
      <c r="P51" s="77">
        <f t="shared" si="34"/>
        <v>0</v>
      </c>
      <c r="Q51" s="77">
        <f t="shared" si="34"/>
        <v>0</v>
      </c>
      <c r="R51" s="77">
        <f t="shared" si="34"/>
        <v>0</v>
      </c>
      <c r="S51" s="77">
        <f t="shared" si="34"/>
        <v>0</v>
      </c>
      <c r="T51" s="77">
        <f t="shared" si="34"/>
        <v>0</v>
      </c>
      <c r="U51" s="78">
        <f t="shared" si="34"/>
        <v>0</v>
      </c>
      <c r="W51" s="67">
        <f>SUM(J51:U51)</f>
        <v>0</v>
      </c>
    </row>
    <row r="52" spans="1:23" x14ac:dyDescent="0.25">
      <c r="A52" s="11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</row>
    <row r="53" spans="1:23" ht="15.75" thickBot="1" x14ac:dyDescent="0.3">
      <c r="A53" s="11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</row>
    <row r="54" spans="1:23" ht="15.75" thickBot="1" x14ac:dyDescent="0.3">
      <c r="A54" s="11"/>
      <c r="B54" s="71" t="s">
        <v>43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40"/>
    </row>
    <row r="55" spans="1:23" x14ac:dyDescent="0.25">
      <c r="A55" s="11"/>
      <c r="B55" s="41" t="s">
        <v>13</v>
      </c>
      <c r="C55" s="80" t="s">
        <v>44</v>
      </c>
      <c r="D55" s="42" t="s">
        <v>220</v>
      </c>
      <c r="E55" s="80" t="s">
        <v>45</v>
      </c>
      <c r="F55" s="80" t="s">
        <v>45</v>
      </c>
      <c r="G55" s="80" t="s">
        <v>46</v>
      </c>
      <c r="H55" s="81" t="s">
        <v>18</v>
      </c>
      <c r="I55" s="43"/>
      <c r="J55" s="178">
        <v>45658</v>
      </c>
      <c r="K55" s="178">
        <v>45689</v>
      </c>
      <c r="L55" s="178">
        <v>45717</v>
      </c>
      <c r="M55" s="178">
        <v>45748</v>
      </c>
      <c r="N55" s="178">
        <v>45778</v>
      </c>
      <c r="O55" s="178">
        <v>45809</v>
      </c>
      <c r="P55" s="178">
        <v>45839</v>
      </c>
      <c r="Q55" s="178">
        <v>45870</v>
      </c>
      <c r="R55" s="178">
        <v>45901</v>
      </c>
      <c r="S55" s="178">
        <v>45931</v>
      </c>
      <c r="T55" s="178">
        <v>45962</v>
      </c>
      <c r="U55" s="178">
        <v>45992</v>
      </c>
    </row>
    <row r="56" spans="1:23" x14ac:dyDescent="0.25">
      <c r="A56" s="11"/>
      <c r="B56" s="203" t="s">
        <v>20</v>
      </c>
      <c r="C56" s="321" t="s">
        <v>192</v>
      </c>
      <c r="D56" s="83" t="s">
        <v>47</v>
      </c>
      <c r="E56" s="393" t="s">
        <v>172</v>
      </c>
      <c r="F56" s="394"/>
      <c r="G56" s="360"/>
      <c r="H56" s="82">
        <f t="shared" ref="H56:H77" si="35">SUM(J56:U56)</f>
        <v>0</v>
      </c>
      <c r="I56" s="54"/>
      <c r="J56" s="325">
        <f t="shared" ref="J56:U56" si="36">IF($C20&gt;0,(J$16*$C20)*$G56,0)</f>
        <v>0</v>
      </c>
      <c r="K56" s="325">
        <f t="shared" si="36"/>
        <v>0</v>
      </c>
      <c r="L56" s="325">
        <f t="shared" si="36"/>
        <v>0</v>
      </c>
      <c r="M56" s="325">
        <f t="shared" si="36"/>
        <v>0</v>
      </c>
      <c r="N56" s="325">
        <f t="shared" si="36"/>
        <v>0</v>
      </c>
      <c r="O56" s="325">
        <f t="shared" si="36"/>
        <v>0</v>
      </c>
      <c r="P56" s="325">
        <f t="shared" si="36"/>
        <v>0</v>
      </c>
      <c r="Q56" s="325">
        <f t="shared" si="36"/>
        <v>0</v>
      </c>
      <c r="R56" s="325">
        <f t="shared" si="36"/>
        <v>0</v>
      </c>
      <c r="S56" s="325">
        <f t="shared" si="36"/>
        <v>0</v>
      </c>
      <c r="T56" s="325">
        <f t="shared" si="36"/>
        <v>0</v>
      </c>
      <c r="U56" s="326">
        <f t="shared" si="36"/>
        <v>0</v>
      </c>
    </row>
    <row r="57" spans="1:23" x14ac:dyDescent="0.25">
      <c r="A57" s="11"/>
      <c r="B57" s="102" t="s">
        <v>22</v>
      </c>
      <c r="C57" s="322" t="s">
        <v>192</v>
      </c>
      <c r="D57" s="207" t="s">
        <v>47</v>
      </c>
      <c r="E57" s="395" t="s">
        <v>172</v>
      </c>
      <c r="F57" s="361"/>
      <c r="G57" s="360"/>
      <c r="H57" s="82">
        <f t="shared" si="35"/>
        <v>0</v>
      </c>
      <c r="I57" s="54"/>
      <c r="J57" s="325">
        <f t="shared" ref="J57:U57" si="37">IF($C21&gt;0,(J$16*$C21)*$G57,0)</f>
        <v>0</v>
      </c>
      <c r="K57" s="325">
        <f t="shared" si="37"/>
        <v>0</v>
      </c>
      <c r="L57" s="325">
        <f t="shared" si="37"/>
        <v>0</v>
      </c>
      <c r="M57" s="325">
        <f t="shared" si="37"/>
        <v>0</v>
      </c>
      <c r="N57" s="325">
        <f t="shared" si="37"/>
        <v>0</v>
      </c>
      <c r="O57" s="325">
        <f t="shared" si="37"/>
        <v>0</v>
      </c>
      <c r="P57" s="325">
        <f t="shared" si="37"/>
        <v>0</v>
      </c>
      <c r="Q57" s="325">
        <f t="shared" si="37"/>
        <v>0</v>
      </c>
      <c r="R57" s="325">
        <f t="shared" si="37"/>
        <v>0</v>
      </c>
      <c r="S57" s="325">
        <f t="shared" si="37"/>
        <v>0</v>
      </c>
      <c r="T57" s="325">
        <f t="shared" si="37"/>
        <v>0</v>
      </c>
      <c r="U57" s="326">
        <f t="shared" si="37"/>
        <v>0</v>
      </c>
    </row>
    <row r="58" spans="1:23" x14ac:dyDescent="0.25">
      <c r="A58" s="11"/>
      <c r="B58" s="102" t="s">
        <v>25</v>
      </c>
      <c r="C58" s="322" t="s">
        <v>192</v>
      </c>
      <c r="D58" s="207" t="s">
        <v>47</v>
      </c>
      <c r="E58" s="395" t="s">
        <v>172</v>
      </c>
      <c r="F58" s="396"/>
      <c r="G58" s="360"/>
      <c r="H58" s="82">
        <f t="shared" si="35"/>
        <v>0</v>
      </c>
      <c r="I58" s="54"/>
      <c r="J58" s="325">
        <f t="shared" ref="J58:U58" si="38">IF($C22&gt;0,(J$16*$C22)*$G58,0)</f>
        <v>0</v>
      </c>
      <c r="K58" s="325">
        <f t="shared" si="38"/>
        <v>0</v>
      </c>
      <c r="L58" s="325">
        <f t="shared" si="38"/>
        <v>0</v>
      </c>
      <c r="M58" s="325">
        <f t="shared" si="38"/>
        <v>0</v>
      </c>
      <c r="N58" s="325">
        <f t="shared" si="38"/>
        <v>0</v>
      </c>
      <c r="O58" s="325">
        <f t="shared" si="38"/>
        <v>0</v>
      </c>
      <c r="P58" s="325">
        <f t="shared" si="38"/>
        <v>0</v>
      </c>
      <c r="Q58" s="325">
        <f t="shared" si="38"/>
        <v>0</v>
      </c>
      <c r="R58" s="325">
        <f t="shared" si="38"/>
        <v>0</v>
      </c>
      <c r="S58" s="325">
        <f t="shared" si="38"/>
        <v>0</v>
      </c>
      <c r="T58" s="325">
        <f t="shared" si="38"/>
        <v>0</v>
      </c>
      <c r="U58" s="326">
        <f t="shared" si="38"/>
        <v>0</v>
      </c>
    </row>
    <row r="59" spans="1:23" x14ac:dyDescent="0.25">
      <c r="A59" s="11"/>
      <c r="B59" s="102" t="s">
        <v>30</v>
      </c>
      <c r="C59" s="322" t="s">
        <v>192</v>
      </c>
      <c r="D59" s="207" t="s">
        <v>47</v>
      </c>
      <c r="E59" s="395" t="s">
        <v>172</v>
      </c>
      <c r="F59" s="396"/>
      <c r="G59" s="360"/>
      <c r="H59" s="82">
        <f t="shared" si="35"/>
        <v>0</v>
      </c>
      <c r="I59" s="54"/>
      <c r="J59" s="325">
        <f t="shared" ref="J59:U59" si="39">IF($C23&gt;0,(J$16*$C23)*$G59,0)</f>
        <v>0</v>
      </c>
      <c r="K59" s="325">
        <f t="shared" si="39"/>
        <v>0</v>
      </c>
      <c r="L59" s="325">
        <f t="shared" si="39"/>
        <v>0</v>
      </c>
      <c r="M59" s="325">
        <f t="shared" si="39"/>
        <v>0</v>
      </c>
      <c r="N59" s="325">
        <f t="shared" si="39"/>
        <v>0</v>
      </c>
      <c r="O59" s="325">
        <f t="shared" si="39"/>
        <v>0</v>
      </c>
      <c r="P59" s="325">
        <f t="shared" si="39"/>
        <v>0</v>
      </c>
      <c r="Q59" s="325">
        <f t="shared" si="39"/>
        <v>0</v>
      </c>
      <c r="R59" s="325">
        <f t="shared" si="39"/>
        <v>0</v>
      </c>
      <c r="S59" s="325">
        <f t="shared" si="39"/>
        <v>0</v>
      </c>
      <c r="T59" s="325">
        <f t="shared" si="39"/>
        <v>0</v>
      </c>
      <c r="U59" s="326">
        <f t="shared" si="39"/>
        <v>0</v>
      </c>
    </row>
    <row r="60" spans="1:23" x14ac:dyDescent="0.25">
      <c r="A60" s="11"/>
      <c r="B60" s="102" t="s">
        <v>222</v>
      </c>
      <c r="C60" s="322" t="s">
        <v>192</v>
      </c>
      <c r="D60" s="207" t="s">
        <v>47</v>
      </c>
      <c r="E60" s="395" t="s">
        <v>172</v>
      </c>
      <c r="F60" s="396"/>
      <c r="G60" s="360"/>
      <c r="H60" s="82">
        <f t="shared" si="35"/>
        <v>0</v>
      </c>
      <c r="I60" s="54"/>
      <c r="J60" s="325">
        <f t="shared" ref="J60:U60" si="40">IF($C24&gt;0,(J$16*$C24)*$G60,0)</f>
        <v>0</v>
      </c>
      <c r="K60" s="325">
        <f t="shared" si="40"/>
        <v>0</v>
      </c>
      <c r="L60" s="325">
        <f t="shared" si="40"/>
        <v>0</v>
      </c>
      <c r="M60" s="325">
        <f t="shared" si="40"/>
        <v>0</v>
      </c>
      <c r="N60" s="325">
        <f t="shared" si="40"/>
        <v>0</v>
      </c>
      <c r="O60" s="325">
        <f t="shared" si="40"/>
        <v>0</v>
      </c>
      <c r="P60" s="325">
        <f t="shared" si="40"/>
        <v>0</v>
      </c>
      <c r="Q60" s="325">
        <f t="shared" si="40"/>
        <v>0</v>
      </c>
      <c r="R60" s="325">
        <f t="shared" si="40"/>
        <v>0</v>
      </c>
      <c r="S60" s="325">
        <f t="shared" si="40"/>
        <v>0</v>
      </c>
      <c r="T60" s="325">
        <f t="shared" si="40"/>
        <v>0</v>
      </c>
      <c r="U60" s="326">
        <f t="shared" si="40"/>
        <v>0</v>
      </c>
    </row>
    <row r="61" spans="1:23" x14ac:dyDescent="0.25">
      <c r="A61" s="11"/>
      <c r="B61" s="102" t="s">
        <v>34</v>
      </c>
      <c r="C61" s="322" t="s">
        <v>192</v>
      </c>
      <c r="D61" s="207" t="s">
        <v>47</v>
      </c>
      <c r="E61" s="395" t="s">
        <v>172</v>
      </c>
      <c r="F61" s="396"/>
      <c r="G61" s="360"/>
      <c r="H61" s="82">
        <f t="shared" si="35"/>
        <v>0</v>
      </c>
      <c r="I61" s="54"/>
      <c r="J61" s="325">
        <f t="shared" ref="J61:U61" si="41">IF($C25&gt;0,(J$16*$C25)*$G61,0)</f>
        <v>0</v>
      </c>
      <c r="K61" s="325">
        <f t="shared" si="41"/>
        <v>0</v>
      </c>
      <c r="L61" s="325">
        <f t="shared" si="41"/>
        <v>0</v>
      </c>
      <c r="M61" s="325">
        <f t="shared" si="41"/>
        <v>0</v>
      </c>
      <c r="N61" s="325">
        <f t="shared" si="41"/>
        <v>0</v>
      </c>
      <c r="O61" s="325">
        <f t="shared" si="41"/>
        <v>0</v>
      </c>
      <c r="P61" s="325">
        <f t="shared" si="41"/>
        <v>0</v>
      </c>
      <c r="Q61" s="325">
        <f t="shared" si="41"/>
        <v>0</v>
      </c>
      <c r="R61" s="325">
        <f t="shared" si="41"/>
        <v>0</v>
      </c>
      <c r="S61" s="325">
        <f t="shared" si="41"/>
        <v>0</v>
      </c>
      <c r="T61" s="325">
        <f t="shared" si="41"/>
        <v>0</v>
      </c>
      <c r="U61" s="326">
        <f t="shared" si="41"/>
        <v>0</v>
      </c>
    </row>
    <row r="62" spans="1:23" x14ac:dyDescent="0.25">
      <c r="A62" s="11"/>
      <c r="B62" s="102" t="s">
        <v>37</v>
      </c>
      <c r="C62" s="322" t="s">
        <v>192</v>
      </c>
      <c r="D62" s="207" t="s">
        <v>47</v>
      </c>
      <c r="E62" s="395" t="s">
        <v>172</v>
      </c>
      <c r="F62" s="396"/>
      <c r="G62" s="360"/>
      <c r="H62" s="82">
        <f t="shared" si="35"/>
        <v>0</v>
      </c>
      <c r="I62" s="54"/>
      <c r="J62" s="325">
        <f t="shared" ref="J62:U62" si="42">IF($C26&gt;0,(J$16*$C26)*$G62,0)</f>
        <v>0</v>
      </c>
      <c r="K62" s="325">
        <f t="shared" si="42"/>
        <v>0</v>
      </c>
      <c r="L62" s="325">
        <f t="shared" si="42"/>
        <v>0</v>
      </c>
      <c r="M62" s="325">
        <f t="shared" si="42"/>
        <v>0</v>
      </c>
      <c r="N62" s="325">
        <f t="shared" si="42"/>
        <v>0</v>
      </c>
      <c r="O62" s="325">
        <f t="shared" si="42"/>
        <v>0</v>
      </c>
      <c r="P62" s="325">
        <f t="shared" si="42"/>
        <v>0</v>
      </c>
      <c r="Q62" s="325">
        <f t="shared" si="42"/>
        <v>0</v>
      </c>
      <c r="R62" s="325">
        <f t="shared" si="42"/>
        <v>0</v>
      </c>
      <c r="S62" s="325">
        <f t="shared" si="42"/>
        <v>0</v>
      </c>
      <c r="T62" s="325">
        <f t="shared" si="42"/>
        <v>0</v>
      </c>
      <c r="U62" s="326">
        <f t="shared" si="42"/>
        <v>0</v>
      </c>
    </row>
    <row r="63" spans="1:23" x14ac:dyDescent="0.25">
      <c r="A63" s="11"/>
      <c r="B63" s="102" t="s">
        <v>174</v>
      </c>
      <c r="C63" s="322" t="s">
        <v>192</v>
      </c>
      <c r="D63" s="207" t="s">
        <v>47</v>
      </c>
      <c r="E63" s="395" t="s">
        <v>172</v>
      </c>
      <c r="F63" s="396"/>
      <c r="G63" s="360"/>
      <c r="H63" s="82">
        <f t="shared" si="35"/>
        <v>0</v>
      </c>
      <c r="I63" s="54"/>
      <c r="J63" s="325">
        <f t="shared" ref="J63:U63" si="43">IF($C27&gt;0,(J$16*$C27)*$G63,0)</f>
        <v>0</v>
      </c>
      <c r="K63" s="325">
        <f t="shared" si="43"/>
        <v>0</v>
      </c>
      <c r="L63" s="325">
        <f t="shared" si="43"/>
        <v>0</v>
      </c>
      <c r="M63" s="325">
        <f t="shared" si="43"/>
        <v>0</v>
      </c>
      <c r="N63" s="325">
        <f t="shared" si="43"/>
        <v>0</v>
      </c>
      <c r="O63" s="325">
        <f t="shared" si="43"/>
        <v>0</v>
      </c>
      <c r="P63" s="325">
        <f t="shared" si="43"/>
        <v>0</v>
      </c>
      <c r="Q63" s="325">
        <f t="shared" si="43"/>
        <v>0</v>
      </c>
      <c r="R63" s="325">
        <f t="shared" si="43"/>
        <v>0</v>
      </c>
      <c r="S63" s="325">
        <f t="shared" si="43"/>
        <v>0</v>
      </c>
      <c r="T63" s="325">
        <f t="shared" si="43"/>
        <v>0</v>
      </c>
      <c r="U63" s="326">
        <f t="shared" si="43"/>
        <v>0</v>
      </c>
    </row>
    <row r="64" spans="1:23" x14ac:dyDescent="0.25">
      <c r="A64" s="11"/>
      <c r="B64" s="102" t="s">
        <v>175</v>
      </c>
      <c r="C64" s="322" t="s">
        <v>192</v>
      </c>
      <c r="D64" s="207" t="s">
        <v>47</v>
      </c>
      <c r="E64" s="395" t="s">
        <v>221</v>
      </c>
      <c r="F64" s="396"/>
      <c r="G64" s="360"/>
      <c r="H64" s="82">
        <f t="shared" si="35"/>
        <v>0</v>
      </c>
      <c r="I64" s="54"/>
      <c r="J64" s="325">
        <f t="shared" ref="J64:U64" si="44">IF($C28&gt;0,(J$16*$C28)*$G64,0)</f>
        <v>0</v>
      </c>
      <c r="K64" s="325">
        <f t="shared" si="44"/>
        <v>0</v>
      </c>
      <c r="L64" s="325">
        <f t="shared" si="44"/>
        <v>0</v>
      </c>
      <c r="M64" s="325">
        <f t="shared" si="44"/>
        <v>0</v>
      </c>
      <c r="N64" s="325">
        <f t="shared" si="44"/>
        <v>0</v>
      </c>
      <c r="O64" s="325">
        <f t="shared" si="44"/>
        <v>0</v>
      </c>
      <c r="P64" s="325">
        <f t="shared" si="44"/>
        <v>0</v>
      </c>
      <c r="Q64" s="325">
        <f t="shared" si="44"/>
        <v>0</v>
      </c>
      <c r="R64" s="325">
        <f t="shared" si="44"/>
        <v>0</v>
      </c>
      <c r="S64" s="325">
        <f t="shared" si="44"/>
        <v>0</v>
      </c>
      <c r="T64" s="325">
        <f t="shared" si="44"/>
        <v>0</v>
      </c>
      <c r="U64" s="326">
        <f t="shared" si="44"/>
        <v>0</v>
      </c>
    </row>
    <row r="65" spans="1:23" x14ac:dyDescent="0.25">
      <c r="A65" s="11"/>
      <c r="B65" s="102" t="s">
        <v>176</v>
      </c>
      <c r="C65" s="322" t="s">
        <v>192</v>
      </c>
      <c r="D65" s="207" t="s">
        <v>47</v>
      </c>
      <c r="E65" s="395" t="s">
        <v>221</v>
      </c>
      <c r="F65" s="396"/>
      <c r="G65" s="360"/>
      <c r="H65" s="82">
        <f t="shared" si="35"/>
        <v>0</v>
      </c>
      <c r="I65" s="54"/>
      <c r="J65" s="325">
        <f t="shared" ref="J65:U65" si="45">IF($C29&gt;0,(J$16*$C29)*$G65,0)</f>
        <v>0</v>
      </c>
      <c r="K65" s="325">
        <f t="shared" si="45"/>
        <v>0</v>
      </c>
      <c r="L65" s="325">
        <f t="shared" si="45"/>
        <v>0</v>
      </c>
      <c r="M65" s="325">
        <f t="shared" si="45"/>
        <v>0</v>
      </c>
      <c r="N65" s="325">
        <f t="shared" si="45"/>
        <v>0</v>
      </c>
      <c r="O65" s="325">
        <f t="shared" si="45"/>
        <v>0</v>
      </c>
      <c r="P65" s="325">
        <f t="shared" si="45"/>
        <v>0</v>
      </c>
      <c r="Q65" s="325">
        <f t="shared" si="45"/>
        <v>0</v>
      </c>
      <c r="R65" s="325">
        <f t="shared" si="45"/>
        <v>0</v>
      </c>
      <c r="S65" s="325">
        <f t="shared" si="45"/>
        <v>0</v>
      </c>
      <c r="T65" s="325">
        <f t="shared" si="45"/>
        <v>0</v>
      </c>
      <c r="U65" s="326">
        <f t="shared" si="45"/>
        <v>0</v>
      </c>
    </row>
    <row r="66" spans="1:23" x14ac:dyDescent="0.25">
      <c r="A66" s="11"/>
      <c r="B66" s="102" t="s">
        <v>23</v>
      </c>
      <c r="C66" s="322" t="s">
        <v>192</v>
      </c>
      <c r="D66" s="207" t="s">
        <v>47</v>
      </c>
      <c r="E66" s="395" t="s">
        <v>221</v>
      </c>
      <c r="F66" s="396"/>
      <c r="G66" s="360"/>
      <c r="H66" s="82">
        <f t="shared" si="35"/>
        <v>0</v>
      </c>
      <c r="I66" s="54"/>
      <c r="J66" s="325">
        <f t="shared" ref="J66:U66" si="46">IF($C30&gt;0,(J$16*$C30)*$G66,0)</f>
        <v>0</v>
      </c>
      <c r="K66" s="325">
        <f t="shared" si="46"/>
        <v>0</v>
      </c>
      <c r="L66" s="325">
        <f t="shared" si="46"/>
        <v>0</v>
      </c>
      <c r="M66" s="325">
        <f t="shared" si="46"/>
        <v>0</v>
      </c>
      <c r="N66" s="325">
        <f t="shared" si="46"/>
        <v>0</v>
      </c>
      <c r="O66" s="325">
        <f t="shared" si="46"/>
        <v>0</v>
      </c>
      <c r="P66" s="325">
        <f t="shared" si="46"/>
        <v>0</v>
      </c>
      <c r="Q66" s="325">
        <f t="shared" si="46"/>
        <v>0</v>
      </c>
      <c r="R66" s="325">
        <f t="shared" si="46"/>
        <v>0</v>
      </c>
      <c r="S66" s="325">
        <f t="shared" si="46"/>
        <v>0</v>
      </c>
      <c r="T66" s="325">
        <f t="shared" si="46"/>
        <v>0</v>
      </c>
      <c r="U66" s="326">
        <f t="shared" si="46"/>
        <v>0</v>
      </c>
    </row>
    <row r="67" spans="1:23" x14ac:dyDescent="0.25">
      <c r="A67" s="11"/>
      <c r="B67" s="102" t="s">
        <v>24</v>
      </c>
      <c r="C67" s="322" t="s">
        <v>192</v>
      </c>
      <c r="D67" s="207" t="s">
        <v>47</v>
      </c>
      <c r="E67" s="395" t="s">
        <v>221</v>
      </c>
      <c r="F67" s="396"/>
      <c r="G67" s="360"/>
      <c r="H67" s="82">
        <f t="shared" si="35"/>
        <v>0</v>
      </c>
      <c r="I67" s="54"/>
      <c r="J67" s="325">
        <f t="shared" ref="J67:U67" si="47">IF($C31&gt;0,(J$16*$C31)*$G67,0)</f>
        <v>0</v>
      </c>
      <c r="K67" s="325">
        <f t="shared" si="47"/>
        <v>0</v>
      </c>
      <c r="L67" s="325">
        <f t="shared" si="47"/>
        <v>0</v>
      </c>
      <c r="M67" s="325">
        <f t="shared" si="47"/>
        <v>0</v>
      </c>
      <c r="N67" s="325">
        <f t="shared" si="47"/>
        <v>0</v>
      </c>
      <c r="O67" s="325">
        <f t="shared" si="47"/>
        <v>0</v>
      </c>
      <c r="P67" s="325">
        <f t="shared" si="47"/>
        <v>0</v>
      </c>
      <c r="Q67" s="325">
        <f t="shared" si="47"/>
        <v>0</v>
      </c>
      <c r="R67" s="325">
        <f t="shared" si="47"/>
        <v>0</v>
      </c>
      <c r="S67" s="325">
        <f t="shared" si="47"/>
        <v>0</v>
      </c>
      <c r="T67" s="325">
        <f t="shared" si="47"/>
        <v>0</v>
      </c>
      <c r="U67" s="326">
        <f t="shared" si="47"/>
        <v>0</v>
      </c>
    </row>
    <row r="68" spans="1:23" x14ac:dyDescent="0.25">
      <c r="A68" s="11"/>
      <c r="B68" s="212" t="s">
        <v>26</v>
      </c>
      <c r="C68" s="322" t="s">
        <v>192</v>
      </c>
      <c r="D68" s="207" t="s">
        <v>47</v>
      </c>
      <c r="E68" s="395" t="s">
        <v>221</v>
      </c>
      <c r="F68" s="396"/>
      <c r="G68" s="360"/>
      <c r="H68" s="82">
        <f t="shared" si="35"/>
        <v>0</v>
      </c>
      <c r="I68" s="54"/>
      <c r="J68" s="325">
        <f t="shared" ref="J68:U68" si="48">IF($C32&gt;0,(J$16*$C32)*$G68,0)</f>
        <v>0</v>
      </c>
      <c r="K68" s="325">
        <f t="shared" si="48"/>
        <v>0</v>
      </c>
      <c r="L68" s="325">
        <f t="shared" si="48"/>
        <v>0</v>
      </c>
      <c r="M68" s="325">
        <f t="shared" si="48"/>
        <v>0</v>
      </c>
      <c r="N68" s="325">
        <f t="shared" si="48"/>
        <v>0</v>
      </c>
      <c r="O68" s="325">
        <f t="shared" si="48"/>
        <v>0</v>
      </c>
      <c r="P68" s="325">
        <f t="shared" si="48"/>
        <v>0</v>
      </c>
      <c r="Q68" s="325">
        <f t="shared" si="48"/>
        <v>0</v>
      </c>
      <c r="R68" s="325">
        <f t="shared" si="48"/>
        <v>0</v>
      </c>
      <c r="S68" s="325">
        <f t="shared" si="48"/>
        <v>0</v>
      </c>
      <c r="T68" s="325">
        <f t="shared" si="48"/>
        <v>0</v>
      </c>
      <c r="U68" s="326">
        <f t="shared" si="48"/>
        <v>0</v>
      </c>
    </row>
    <row r="69" spans="1:23" x14ac:dyDescent="0.25">
      <c r="A69" s="11"/>
      <c r="B69" s="102" t="s">
        <v>27</v>
      </c>
      <c r="C69" s="322" t="s">
        <v>192</v>
      </c>
      <c r="D69" s="207" t="s">
        <v>47</v>
      </c>
      <c r="E69" s="395" t="s">
        <v>221</v>
      </c>
      <c r="F69" s="396"/>
      <c r="G69" s="360"/>
      <c r="H69" s="82">
        <f t="shared" si="35"/>
        <v>0</v>
      </c>
      <c r="I69" s="54"/>
      <c r="J69" s="325">
        <f t="shared" ref="J69:U69" si="49">IF($C33&gt;0,(J$16*$C33)*$G69,0)</f>
        <v>0</v>
      </c>
      <c r="K69" s="325">
        <f t="shared" si="49"/>
        <v>0</v>
      </c>
      <c r="L69" s="325">
        <f t="shared" si="49"/>
        <v>0</v>
      </c>
      <c r="M69" s="325">
        <f t="shared" si="49"/>
        <v>0</v>
      </c>
      <c r="N69" s="325">
        <f t="shared" si="49"/>
        <v>0</v>
      </c>
      <c r="O69" s="325">
        <f t="shared" si="49"/>
        <v>0</v>
      </c>
      <c r="P69" s="325">
        <f t="shared" si="49"/>
        <v>0</v>
      </c>
      <c r="Q69" s="325">
        <f t="shared" si="49"/>
        <v>0</v>
      </c>
      <c r="R69" s="325">
        <f t="shared" si="49"/>
        <v>0</v>
      </c>
      <c r="S69" s="325">
        <f t="shared" si="49"/>
        <v>0</v>
      </c>
      <c r="T69" s="325">
        <f t="shared" si="49"/>
        <v>0</v>
      </c>
      <c r="U69" s="326">
        <f t="shared" si="49"/>
        <v>0</v>
      </c>
    </row>
    <row r="70" spans="1:23" x14ac:dyDescent="0.25">
      <c r="A70" s="11"/>
      <c r="B70" s="102" t="s">
        <v>28</v>
      </c>
      <c r="C70" s="322" t="s">
        <v>192</v>
      </c>
      <c r="D70" s="207" t="s">
        <v>47</v>
      </c>
      <c r="E70" s="395" t="s">
        <v>221</v>
      </c>
      <c r="F70" s="396"/>
      <c r="G70" s="360"/>
      <c r="H70" s="82">
        <f t="shared" si="35"/>
        <v>0</v>
      </c>
      <c r="I70" s="54"/>
      <c r="J70" s="325">
        <f t="shared" ref="J70:U70" si="50">IF($C34&gt;0,(J$16*$C34)*$G70,0)</f>
        <v>0</v>
      </c>
      <c r="K70" s="325">
        <f t="shared" si="50"/>
        <v>0</v>
      </c>
      <c r="L70" s="325">
        <f t="shared" si="50"/>
        <v>0</v>
      </c>
      <c r="M70" s="325">
        <f t="shared" si="50"/>
        <v>0</v>
      </c>
      <c r="N70" s="325">
        <f t="shared" si="50"/>
        <v>0</v>
      </c>
      <c r="O70" s="325">
        <f t="shared" si="50"/>
        <v>0</v>
      </c>
      <c r="P70" s="325">
        <f t="shared" si="50"/>
        <v>0</v>
      </c>
      <c r="Q70" s="325">
        <f t="shared" si="50"/>
        <v>0</v>
      </c>
      <c r="R70" s="325">
        <f t="shared" si="50"/>
        <v>0</v>
      </c>
      <c r="S70" s="325">
        <f t="shared" si="50"/>
        <v>0</v>
      </c>
      <c r="T70" s="325">
        <f t="shared" si="50"/>
        <v>0</v>
      </c>
      <c r="U70" s="326">
        <f t="shared" si="50"/>
        <v>0</v>
      </c>
    </row>
    <row r="71" spans="1:23" x14ac:dyDescent="0.25">
      <c r="A71" s="11"/>
      <c r="B71" s="212" t="s">
        <v>29</v>
      </c>
      <c r="C71" s="322" t="s">
        <v>192</v>
      </c>
      <c r="D71" s="207" t="s">
        <v>47</v>
      </c>
      <c r="E71" s="395" t="s">
        <v>221</v>
      </c>
      <c r="F71" s="396"/>
      <c r="G71" s="360"/>
      <c r="H71" s="82">
        <f t="shared" si="35"/>
        <v>0</v>
      </c>
      <c r="I71" s="54"/>
      <c r="J71" s="325">
        <f t="shared" ref="J71:U71" si="51">IF($C35&gt;0,(J$16*$C35)*$G71,0)</f>
        <v>0</v>
      </c>
      <c r="K71" s="325">
        <f t="shared" si="51"/>
        <v>0</v>
      </c>
      <c r="L71" s="325">
        <f t="shared" si="51"/>
        <v>0</v>
      </c>
      <c r="M71" s="325">
        <f t="shared" si="51"/>
        <v>0</v>
      </c>
      <c r="N71" s="325">
        <f t="shared" si="51"/>
        <v>0</v>
      </c>
      <c r="O71" s="325">
        <f t="shared" si="51"/>
        <v>0</v>
      </c>
      <c r="P71" s="325">
        <f t="shared" si="51"/>
        <v>0</v>
      </c>
      <c r="Q71" s="325">
        <f t="shared" si="51"/>
        <v>0</v>
      </c>
      <c r="R71" s="325">
        <f t="shared" si="51"/>
        <v>0</v>
      </c>
      <c r="S71" s="325">
        <f t="shared" si="51"/>
        <v>0</v>
      </c>
      <c r="T71" s="325">
        <f t="shared" si="51"/>
        <v>0</v>
      </c>
      <c r="U71" s="326">
        <f t="shared" si="51"/>
        <v>0</v>
      </c>
    </row>
    <row r="72" spans="1:23" x14ac:dyDescent="0.25">
      <c r="A72" s="11"/>
      <c r="B72" s="212" t="s">
        <v>31</v>
      </c>
      <c r="C72" s="322" t="s">
        <v>192</v>
      </c>
      <c r="D72" s="207" t="s">
        <v>47</v>
      </c>
      <c r="E72" s="395" t="s">
        <v>221</v>
      </c>
      <c r="F72" s="396"/>
      <c r="G72" s="360"/>
      <c r="H72" s="82">
        <f t="shared" si="35"/>
        <v>0</v>
      </c>
      <c r="I72" s="54"/>
      <c r="J72" s="325">
        <f t="shared" ref="J72:U72" si="52">IF($C36&gt;0,(J$16*$C36)*$G72,0)</f>
        <v>0</v>
      </c>
      <c r="K72" s="325">
        <f t="shared" si="52"/>
        <v>0</v>
      </c>
      <c r="L72" s="325">
        <f t="shared" si="52"/>
        <v>0</v>
      </c>
      <c r="M72" s="325">
        <f t="shared" si="52"/>
        <v>0</v>
      </c>
      <c r="N72" s="325">
        <f t="shared" si="52"/>
        <v>0</v>
      </c>
      <c r="O72" s="325">
        <f t="shared" si="52"/>
        <v>0</v>
      </c>
      <c r="P72" s="325">
        <f t="shared" si="52"/>
        <v>0</v>
      </c>
      <c r="Q72" s="325">
        <f t="shared" si="52"/>
        <v>0</v>
      </c>
      <c r="R72" s="325">
        <f t="shared" si="52"/>
        <v>0</v>
      </c>
      <c r="S72" s="325">
        <f t="shared" si="52"/>
        <v>0</v>
      </c>
      <c r="T72" s="325">
        <f t="shared" si="52"/>
        <v>0</v>
      </c>
      <c r="U72" s="326">
        <f t="shared" si="52"/>
        <v>0</v>
      </c>
    </row>
    <row r="73" spans="1:23" x14ac:dyDescent="0.25">
      <c r="A73" s="11"/>
      <c r="B73" s="212" t="s">
        <v>32</v>
      </c>
      <c r="C73" s="322" t="s">
        <v>192</v>
      </c>
      <c r="D73" s="207" t="s">
        <v>47</v>
      </c>
      <c r="E73" s="395" t="s">
        <v>221</v>
      </c>
      <c r="F73" s="396"/>
      <c r="G73" s="360"/>
      <c r="H73" s="82">
        <f t="shared" si="35"/>
        <v>0</v>
      </c>
      <c r="I73" s="54"/>
      <c r="J73" s="325">
        <f t="shared" ref="J73:U73" si="53">IF($C37&gt;0,(J$16*$C37)*$G73,0)</f>
        <v>0</v>
      </c>
      <c r="K73" s="325">
        <f t="shared" si="53"/>
        <v>0</v>
      </c>
      <c r="L73" s="325">
        <f t="shared" si="53"/>
        <v>0</v>
      </c>
      <c r="M73" s="325">
        <f t="shared" si="53"/>
        <v>0</v>
      </c>
      <c r="N73" s="325">
        <f t="shared" si="53"/>
        <v>0</v>
      </c>
      <c r="O73" s="325">
        <f t="shared" si="53"/>
        <v>0</v>
      </c>
      <c r="P73" s="325">
        <f t="shared" si="53"/>
        <v>0</v>
      </c>
      <c r="Q73" s="325">
        <f t="shared" si="53"/>
        <v>0</v>
      </c>
      <c r="R73" s="325">
        <f t="shared" si="53"/>
        <v>0</v>
      </c>
      <c r="S73" s="325">
        <f t="shared" si="53"/>
        <v>0</v>
      </c>
      <c r="T73" s="325">
        <f t="shared" si="53"/>
        <v>0</v>
      </c>
      <c r="U73" s="326">
        <f t="shared" si="53"/>
        <v>0</v>
      </c>
    </row>
    <row r="74" spans="1:23" x14ac:dyDescent="0.25">
      <c r="A74" s="11"/>
      <c r="B74" s="102" t="s">
        <v>33</v>
      </c>
      <c r="C74" s="322" t="s">
        <v>192</v>
      </c>
      <c r="D74" s="207" t="s">
        <v>47</v>
      </c>
      <c r="E74" s="395" t="s">
        <v>221</v>
      </c>
      <c r="F74" s="396"/>
      <c r="G74" s="360"/>
      <c r="H74" s="82">
        <f t="shared" si="35"/>
        <v>0</v>
      </c>
      <c r="I74" s="54"/>
      <c r="J74" s="325">
        <f t="shared" ref="J74:U74" si="54">IF($C38&gt;0,(J$16*$C38)*$G74,0)</f>
        <v>0</v>
      </c>
      <c r="K74" s="325">
        <f t="shared" si="54"/>
        <v>0</v>
      </c>
      <c r="L74" s="325">
        <f t="shared" si="54"/>
        <v>0</v>
      </c>
      <c r="M74" s="325">
        <f t="shared" si="54"/>
        <v>0</v>
      </c>
      <c r="N74" s="325">
        <f t="shared" si="54"/>
        <v>0</v>
      </c>
      <c r="O74" s="325">
        <f t="shared" si="54"/>
        <v>0</v>
      </c>
      <c r="P74" s="325">
        <f t="shared" si="54"/>
        <v>0</v>
      </c>
      <c r="Q74" s="325">
        <f t="shared" si="54"/>
        <v>0</v>
      </c>
      <c r="R74" s="325">
        <f t="shared" si="54"/>
        <v>0</v>
      </c>
      <c r="S74" s="325">
        <f t="shared" si="54"/>
        <v>0</v>
      </c>
      <c r="T74" s="325">
        <f t="shared" si="54"/>
        <v>0</v>
      </c>
      <c r="U74" s="326">
        <f t="shared" si="54"/>
        <v>0</v>
      </c>
    </row>
    <row r="75" spans="1:23" x14ac:dyDescent="0.25">
      <c r="A75" s="11"/>
      <c r="B75" s="212" t="s">
        <v>35</v>
      </c>
      <c r="C75" s="322" t="s">
        <v>192</v>
      </c>
      <c r="D75" s="207" t="s">
        <v>47</v>
      </c>
      <c r="E75" s="395" t="s">
        <v>221</v>
      </c>
      <c r="F75" s="362"/>
      <c r="G75" s="360"/>
      <c r="H75" s="82">
        <f t="shared" si="35"/>
        <v>0</v>
      </c>
      <c r="I75" s="54"/>
      <c r="J75" s="325">
        <f t="shared" ref="J75:U75" si="55">IF($C39&gt;0,(J$16*$C39)*$G75,0)</f>
        <v>0</v>
      </c>
      <c r="K75" s="325">
        <f t="shared" si="55"/>
        <v>0</v>
      </c>
      <c r="L75" s="325">
        <f t="shared" si="55"/>
        <v>0</v>
      </c>
      <c r="M75" s="325">
        <f t="shared" si="55"/>
        <v>0</v>
      </c>
      <c r="N75" s="325">
        <f t="shared" si="55"/>
        <v>0</v>
      </c>
      <c r="O75" s="325">
        <f t="shared" si="55"/>
        <v>0</v>
      </c>
      <c r="P75" s="325">
        <f t="shared" si="55"/>
        <v>0</v>
      </c>
      <c r="Q75" s="325">
        <f t="shared" si="55"/>
        <v>0</v>
      </c>
      <c r="R75" s="325">
        <f t="shared" si="55"/>
        <v>0</v>
      </c>
      <c r="S75" s="325">
        <f t="shared" si="55"/>
        <v>0</v>
      </c>
      <c r="T75" s="325">
        <f t="shared" si="55"/>
        <v>0</v>
      </c>
      <c r="U75" s="326">
        <f t="shared" si="55"/>
        <v>0</v>
      </c>
    </row>
    <row r="76" spans="1:23" x14ac:dyDescent="0.25">
      <c r="A76" s="11"/>
      <c r="B76" s="212" t="s">
        <v>36</v>
      </c>
      <c r="C76" s="322" t="s">
        <v>192</v>
      </c>
      <c r="D76" s="207" t="s">
        <v>47</v>
      </c>
      <c r="E76" s="395" t="s">
        <v>221</v>
      </c>
      <c r="F76" s="361"/>
      <c r="G76" s="360"/>
      <c r="H76" s="82">
        <f t="shared" si="35"/>
        <v>0</v>
      </c>
      <c r="I76" s="54"/>
      <c r="J76" s="325">
        <f t="shared" ref="J76:U76" si="56">IF($C40&gt;0,(J$16*$C40)*$G76,0)</f>
        <v>0</v>
      </c>
      <c r="K76" s="325">
        <f t="shared" si="56"/>
        <v>0</v>
      </c>
      <c r="L76" s="325">
        <f t="shared" si="56"/>
        <v>0</v>
      </c>
      <c r="M76" s="325">
        <f t="shared" si="56"/>
        <v>0</v>
      </c>
      <c r="N76" s="325">
        <f t="shared" si="56"/>
        <v>0</v>
      </c>
      <c r="O76" s="325">
        <f t="shared" si="56"/>
        <v>0</v>
      </c>
      <c r="P76" s="325">
        <f t="shared" si="56"/>
        <v>0</v>
      </c>
      <c r="Q76" s="325">
        <f t="shared" si="56"/>
        <v>0</v>
      </c>
      <c r="R76" s="325">
        <f t="shared" si="56"/>
        <v>0</v>
      </c>
      <c r="S76" s="325">
        <f t="shared" si="56"/>
        <v>0</v>
      </c>
      <c r="T76" s="325">
        <f t="shared" si="56"/>
        <v>0</v>
      </c>
      <c r="U76" s="326">
        <f t="shared" si="56"/>
        <v>0</v>
      </c>
    </row>
    <row r="77" spans="1:23" ht="15.75" thickBot="1" x14ac:dyDescent="0.3">
      <c r="A77" s="84"/>
      <c r="B77" s="214" t="s">
        <v>38</v>
      </c>
      <c r="C77" s="323" t="s">
        <v>192</v>
      </c>
      <c r="D77" s="215" t="s">
        <v>47</v>
      </c>
      <c r="E77" s="397" t="s">
        <v>221</v>
      </c>
      <c r="F77" s="363"/>
      <c r="G77" s="360"/>
      <c r="H77" s="82">
        <f t="shared" si="35"/>
        <v>0</v>
      </c>
      <c r="I77" s="54"/>
      <c r="J77" s="325">
        <f t="shared" ref="J77:U77" si="57">IF($C41&gt;0,(J$16*$C41)*$G77,0)</f>
        <v>0</v>
      </c>
      <c r="K77" s="325">
        <f t="shared" si="57"/>
        <v>0</v>
      </c>
      <c r="L77" s="325">
        <f t="shared" si="57"/>
        <v>0</v>
      </c>
      <c r="M77" s="325">
        <f t="shared" si="57"/>
        <v>0</v>
      </c>
      <c r="N77" s="325">
        <f t="shared" si="57"/>
        <v>0</v>
      </c>
      <c r="O77" s="325">
        <f t="shared" si="57"/>
        <v>0</v>
      </c>
      <c r="P77" s="325">
        <f t="shared" si="57"/>
        <v>0</v>
      </c>
      <c r="Q77" s="325">
        <f t="shared" si="57"/>
        <v>0</v>
      </c>
      <c r="R77" s="325">
        <f t="shared" si="57"/>
        <v>0</v>
      </c>
      <c r="S77" s="325">
        <f t="shared" si="57"/>
        <v>0</v>
      </c>
      <c r="T77" s="325">
        <f t="shared" si="57"/>
        <v>0</v>
      </c>
      <c r="U77" s="326">
        <f t="shared" si="57"/>
        <v>0</v>
      </c>
    </row>
    <row r="78" spans="1:23" ht="16.5" thickTop="1" thickBot="1" x14ac:dyDescent="0.3">
      <c r="A78" s="11"/>
      <c r="B78" s="85"/>
      <c r="C78" s="86"/>
      <c r="D78" s="86"/>
      <c r="E78" s="87"/>
      <c r="F78" s="88"/>
      <c r="G78" s="89">
        <f>IFERROR(H78/W16,0)</f>
        <v>0</v>
      </c>
      <c r="H78" s="75">
        <f>SUM(H56:H77)</f>
        <v>0</v>
      </c>
      <c r="I78" s="76"/>
      <c r="J78" s="327">
        <f t="shared" ref="J78:U78" si="58">SUM(J56:J77)</f>
        <v>0</v>
      </c>
      <c r="K78" s="327">
        <f t="shared" si="58"/>
        <v>0</v>
      </c>
      <c r="L78" s="327">
        <f t="shared" si="58"/>
        <v>0</v>
      </c>
      <c r="M78" s="327">
        <f t="shared" si="58"/>
        <v>0</v>
      </c>
      <c r="N78" s="327">
        <f t="shared" si="58"/>
        <v>0</v>
      </c>
      <c r="O78" s="327">
        <f t="shared" si="58"/>
        <v>0</v>
      </c>
      <c r="P78" s="327">
        <f t="shared" si="58"/>
        <v>0</v>
      </c>
      <c r="Q78" s="327">
        <f t="shared" si="58"/>
        <v>0</v>
      </c>
      <c r="R78" s="327">
        <f t="shared" si="58"/>
        <v>0</v>
      </c>
      <c r="S78" s="327">
        <f t="shared" si="58"/>
        <v>0</v>
      </c>
      <c r="T78" s="327">
        <f t="shared" si="58"/>
        <v>0</v>
      </c>
      <c r="U78" s="328">
        <f t="shared" si="58"/>
        <v>0</v>
      </c>
      <c r="W78" s="67">
        <f>SUM(J78:U78)</f>
        <v>0</v>
      </c>
    </row>
    <row r="79" spans="1:23" ht="15.75" thickBot="1" x14ac:dyDescent="0.3">
      <c r="A79" s="11"/>
      <c r="B79" s="84"/>
      <c r="C79" s="84"/>
      <c r="D79" s="84"/>
      <c r="E79" s="52"/>
      <c r="F79" s="90"/>
      <c r="G79" s="91"/>
      <c r="H79" s="92"/>
      <c r="I79" s="46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</row>
    <row r="80" spans="1:23" ht="15.75" thickBot="1" x14ac:dyDescent="0.3">
      <c r="A80" s="11"/>
      <c r="B80" s="93" t="s">
        <v>48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40"/>
    </row>
    <row r="81" spans="1:21" x14ac:dyDescent="0.25">
      <c r="A81" s="11"/>
      <c r="B81" s="94" t="s">
        <v>49</v>
      </c>
      <c r="C81" s="80" t="s">
        <v>44</v>
      </c>
      <c r="D81" s="42" t="s">
        <v>220</v>
      </c>
      <c r="E81" s="80" t="s">
        <v>50</v>
      </c>
      <c r="F81" s="80" t="s">
        <v>51</v>
      </c>
      <c r="G81" s="42" t="s">
        <v>239</v>
      </c>
      <c r="H81" s="42" t="s">
        <v>18</v>
      </c>
      <c r="I81" s="43"/>
      <c r="J81" s="178">
        <v>45658</v>
      </c>
      <c r="K81" s="178">
        <v>45689</v>
      </c>
      <c r="L81" s="178">
        <v>45717</v>
      </c>
      <c r="M81" s="178">
        <v>45748</v>
      </c>
      <c r="N81" s="178">
        <v>45778</v>
      </c>
      <c r="O81" s="178">
        <v>45809</v>
      </c>
      <c r="P81" s="178">
        <v>45839</v>
      </c>
      <c r="Q81" s="178">
        <v>45870</v>
      </c>
      <c r="R81" s="178">
        <v>45901</v>
      </c>
      <c r="S81" s="178">
        <v>45931</v>
      </c>
      <c r="T81" s="178">
        <v>45962</v>
      </c>
      <c r="U81" s="178">
        <v>45992</v>
      </c>
    </row>
    <row r="82" spans="1:21" x14ac:dyDescent="0.25">
      <c r="A82" s="11"/>
      <c r="B82" s="95" t="s">
        <v>52</v>
      </c>
      <c r="C82" s="330" t="s">
        <v>212</v>
      </c>
      <c r="D82" s="97" t="s">
        <v>53</v>
      </c>
      <c r="E82" s="98"/>
      <c r="F82" s="98"/>
      <c r="G82" s="96"/>
      <c r="H82" s="99">
        <f t="shared" ref="H82:H105" si="59">SUM(J82:U82)</f>
        <v>0</v>
      </c>
      <c r="J82" s="364"/>
      <c r="K82" s="364"/>
      <c r="L82" s="364"/>
      <c r="M82" s="364"/>
      <c r="N82" s="364"/>
      <c r="O82" s="364"/>
      <c r="P82" s="364"/>
      <c r="Q82" s="364"/>
      <c r="R82" s="364"/>
      <c r="S82" s="364"/>
      <c r="T82" s="364"/>
      <c r="U82" s="365"/>
    </row>
    <row r="83" spans="1:21" x14ac:dyDescent="0.25">
      <c r="A83" s="11"/>
      <c r="B83" s="102" t="s">
        <v>227</v>
      </c>
      <c r="C83" s="331" t="s">
        <v>213</v>
      </c>
      <c r="D83" s="104" t="s">
        <v>53</v>
      </c>
      <c r="E83" s="103">
        <v>699</v>
      </c>
      <c r="F83" s="103">
        <v>3675</v>
      </c>
      <c r="G83" s="103"/>
      <c r="H83" s="99">
        <f t="shared" si="59"/>
        <v>0</v>
      </c>
      <c r="I83" s="46"/>
      <c r="J83" s="364"/>
      <c r="K83" s="364"/>
      <c r="L83" s="364"/>
      <c r="M83" s="364"/>
      <c r="N83" s="364"/>
      <c r="O83" s="364"/>
      <c r="P83" s="364"/>
      <c r="Q83" s="364"/>
      <c r="R83" s="364"/>
      <c r="S83" s="364"/>
      <c r="T83" s="364"/>
      <c r="U83" s="365"/>
    </row>
    <row r="84" spans="1:21" x14ac:dyDescent="0.25">
      <c r="A84" s="11"/>
      <c r="B84" s="102" t="s">
        <v>54</v>
      </c>
      <c r="C84" s="331" t="s">
        <v>216</v>
      </c>
      <c r="D84" s="104" t="s">
        <v>53</v>
      </c>
      <c r="E84" s="103">
        <v>699</v>
      </c>
      <c r="F84" s="103">
        <v>3691</v>
      </c>
      <c r="G84" s="103"/>
      <c r="H84" s="99">
        <f t="shared" si="59"/>
        <v>0</v>
      </c>
      <c r="I84" s="46"/>
      <c r="J84" s="364"/>
      <c r="K84" s="364"/>
      <c r="L84" s="364"/>
      <c r="M84" s="364"/>
      <c r="N84" s="364"/>
      <c r="O84" s="364"/>
      <c r="P84" s="364"/>
      <c r="Q84" s="364"/>
      <c r="R84" s="364"/>
      <c r="S84" s="364"/>
      <c r="T84" s="364"/>
      <c r="U84" s="365"/>
    </row>
    <row r="85" spans="1:21" x14ac:dyDescent="0.25">
      <c r="A85" s="11"/>
      <c r="B85" s="102" t="s">
        <v>55</v>
      </c>
      <c r="C85" s="331" t="s">
        <v>217</v>
      </c>
      <c r="D85" s="104" t="s">
        <v>53</v>
      </c>
      <c r="E85" s="103">
        <v>699</v>
      </c>
      <c r="F85" s="103">
        <v>3677</v>
      </c>
      <c r="G85" s="103"/>
      <c r="H85" s="99">
        <f t="shared" si="59"/>
        <v>0</v>
      </c>
      <c r="I85" s="46"/>
      <c r="J85" s="364"/>
      <c r="K85" s="364"/>
      <c r="L85" s="364"/>
      <c r="M85" s="364"/>
      <c r="N85" s="364"/>
      <c r="O85" s="364"/>
      <c r="P85" s="364"/>
      <c r="Q85" s="364"/>
      <c r="R85" s="364"/>
      <c r="S85" s="364"/>
      <c r="T85" s="364"/>
      <c r="U85" s="365"/>
    </row>
    <row r="86" spans="1:21" x14ac:dyDescent="0.25">
      <c r="A86" s="11"/>
      <c r="B86" s="105" t="s">
        <v>228</v>
      </c>
      <c r="C86" s="103">
        <v>721</v>
      </c>
      <c r="D86" s="104" t="s">
        <v>53</v>
      </c>
      <c r="E86" s="103">
        <v>699</v>
      </c>
      <c r="F86" s="103">
        <v>3671</v>
      </c>
      <c r="G86" s="103"/>
      <c r="H86" s="99">
        <f t="shared" si="59"/>
        <v>0</v>
      </c>
      <c r="J86" s="364"/>
      <c r="K86" s="364"/>
      <c r="L86" s="364"/>
      <c r="M86" s="364"/>
      <c r="N86" s="364"/>
      <c r="O86" s="364"/>
      <c r="P86" s="364"/>
      <c r="Q86" s="364"/>
      <c r="R86" s="364"/>
      <c r="S86" s="364"/>
      <c r="T86" s="364"/>
      <c r="U86" s="365"/>
    </row>
    <row r="87" spans="1:21" x14ac:dyDescent="0.25">
      <c r="A87" s="11"/>
      <c r="B87" s="105" t="s">
        <v>56</v>
      </c>
      <c r="C87" s="331" t="s">
        <v>218</v>
      </c>
      <c r="D87" s="104" t="s">
        <v>53</v>
      </c>
      <c r="E87" s="103">
        <v>699</v>
      </c>
      <c r="F87" s="103">
        <v>3669</v>
      </c>
      <c r="G87" s="103"/>
      <c r="H87" s="99">
        <f t="shared" si="59"/>
        <v>0</v>
      </c>
      <c r="J87" s="364"/>
      <c r="K87" s="364"/>
      <c r="L87" s="364"/>
      <c r="M87" s="364"/>
      <c r="N87" s="364"/>
      <c r="O87" s="364"/>
      <c r="P87" s="364"/>
      <c r="Q87" s="364"/>
      <c r="R87" s="364"/>
      <c r="S87" s="364"/>
      <c r="T87" s="364"/>
      <c r="U87" s="365"/>
    </row>
    <row r="88" spans="1:21" x14ac:dyDescent="0.25">
      <c r="A88" s="11"/>
      <c r="B88" s="105" t="s">
        <v>57</v>
      </c>
      <c r="C88" s="331" t="s">
        <v>219</v>
      </c>
      <c r="D88" s="104" t="s">
        <v>53</v>
      </c>
      <c r="E88" s="103">
        <v>699</v>
      </c>
      <c r="F88" s="103">
        <v>3665</v>
      </c>
      <c r="G88" s="103"/>
      <c r="H88" s="99">
        <f t="shared" si="59"/>
        <v>0</v>
      </c>
      <c r="J88" s="364"/>
      <c r="K88" s="364"/>
      <c r="L88" s="364"/>
      <c r="M88" s="364"/>
      <c r="N88" s="364"/>
      <c r="O88" s="364"/>
      <c r="P88" s="364"/>
      <c r="Q88" s="364"/>
      <c r="R88" s="364"/>
      <c r="S88" s="364"/>
      <c r="T88" s="364"/>
      <c r="U88" s="365"/>
    </row>
    <row r="89" spans="1:21" x14ac:dyDescent="0.25">
      <c r="A89" s="11"/>
      <c r="B89" s="105" t="s">
        <v>229</v>
      </c>
      <c r="C89" s="331" t="s">
        <v>215</v>
      </c>
      <c r="D89" s="104" t="s">
        <v>53</v>
      </c>
      <c r="E89" s="103">
        <v>699</v>
      </c>
      <c r="F89" s="103">
        <v>3963</v>
      </c>
      <c r="G89" s="103"/>
      <c r="H89" s="99">
        <f t="shared" si="59"/>
        <v>0</v>
      </c>
      <c r="J89" s="364"/>
      <c r="K89" s="364"/>
      <c r="L89" s="364"/>
      <c r="M89" s="364"/>
      <c r="N89" s="364"/>
      <c r="O89" s="364"/>
      <c r="P89" s="364"/>
      <c r="Q89" s="364"/>
      <c r="R89" s="364"/>
      <c r="S89" s="364"/>
      <c r="T89" s="364"/>
      <c r="U89" s="365"/>
    </row>
    <row r="90" spans="1:21" x14ac:dyDescent="0.25">
      <c r="A90" s="11"/>
      <c r="B90" s="105" t="s">
        <v>238</v>
      </c>
      <c r="C90" s="331" t="s">
        <v>214</v>
      </c>
      <c r="D90" s="332" t="s">
        <v>59</v>
      </c>
      <c r="E90" s="103"/>
      <c r="F90" s="103"/>
      <c r="G90" s="103"/>
      <c r="H90" s="99">
        <f t="shared" si="59"/>
        <v>0</v>
      </c>
      <c r="J90" s="347"/>
      <c r="K90" s="347"/>
      <c r="L90" s="347"/>
      <c r="M90" s="347"/>
      <c r="N90" s="347"/>
      <c r="O90" s="347"/>
      <c r="P90" s="347"/>
      <c r="Q90" s="347"/>
      <c r="R90" s="347"/>
      <c r="S90" s="347"/>
      <c r="T90" s="347"/>
      <c r="U90" s="348"/>
    </row>
    <row r="91" spans="1:21" x14ac:dyDescent="0.25">
      <c r="A91" s="11"/>
      <c r="B91" s="105" t="s">
        <v>225</v>
      </c>
      <c r="C91" s="103">
        <v>720</v>
      </c>
      <c r="D91" s="332" t="s">
        <v>59</v>
      </c>
      <c r="E91" s="103"/>
      <c r="F91" s="103"/>
      <c r="G91" s="103"/>
      <c r="H91" s="99">
        <f t="shared" si="59"/>
        <v>0</v>
      </c>
      <c r="I91" s="46"/>
      <c r="J91" s="47">
        <f t="shared" ref="J91:U91" si="60">J115</f>
        <v>0</v>
      </c>
      <c r="K91" s="47">
        <f t="shared" si="60"/>
        <v>0</v>
      </c>
      <c r="L91" s="47">
        <f t="shared" si="60"/>
        <v>0</v>
      </c>
      <c r="M91" s="47">
        <f t="shared" si="60"/>
        <v>0</v>
      </c>
      <c r="N91" s="47">
        <f t="shared" si="60"/>
        <v>0</v>
      </c>
      <c r="O91" s="47">
        <f t="shared" si="60"/>
        <v>0</v>
      </c>
      <c r="P91" s="47">
        <f t="shared" si="60"/>
        <v>0</v>
      </c>
      <c r="Q91" s="47">
        <f t="shared" si="60"/>
        <v>0</v>
      </c>
      <c r="R91" s="47">
        <f t="shared" si="60"/>
        <v>0</v>
      </c>
      <c r="S91" s="47">
        <f t="shared" si="60"/>
        <v>0</v>
      </c>
      <c r="T91" s="47">
        <f t="shared" si="60"/>
        <v>0</v>
      </c>
      <c r="U91" s="48">
        <f t="shared" si="60"/>
        <v>0</v>
      </c>
    </row>
    <row r="92" spans="1:21" x14ac:dyDescent="0.25">
      <c r="A92" s="11"/>
      <c r="B92" s="105" t="s">
        <v>226</v>
      </c>
      <c r="C92" s="103">
        <v>720</v>
      </c>
      <c r="D92" s="332" t="s">
        <v>59</v>
      </c>
      <c r="E92" s="103"/>
      <c r="F92" s="103"/>
      <c r="G92" s="103"/>
      <c r="H92" s="99">
        <f t="shared" si="59"/>
        <v>0</v>
      </c>
      <c r="I92" s="46"/>
      <c r="J92" s="47">
        <f t="shared" ref="J92:U92" si="61">J114</f>
        <v>0</v>
      </c>
      <c r="K92" s="47">
        <f t="shared" si="61"/>
        <v>0</v>
      </c>
      <c r="L92" s="47">
        <f t="shared" si="61"/>
        <v>0</v>
      </c>
      <c r="M92" s="47">
        <f t="shared" si="61"/>
        <v>0</v>
      </c>
      <c r="N92" s="47">
        <f t="shared" si="61"/>
        <v>0</v>
      </c>
      <c r="O92" s="47">
        <f t="shared" si="61"/>
        <v>0</v>
      </c>
      <c r="P92" s="47">
        <f t="shared" si="61"/>
        <v>0</v>
      </c>
      <c r="Q92" s="47">
        <f t="shared" si="61"/>
        <v>0</v>
      </c>
      <c r="R92" s="47">
        <f t="shared" si="61"/>
        <v>0</v>
      </c>
      <c r="S92" s="47">
        <f t="shared" si="61"/>
        <v>0</v>
      </c>
      <c r="T92" s="47">
        <f t="shared" si="61"/>
        <v>0</v>
      </c>
      <c r="U92" s="48">
        <f t="shared" si="61"/>
        <v>0</v>
      </c>
    </row>
    <row r="93" spans="1:21" x14ac:dyDescent="0.25">
      <c r="A93" s="11"/>
      <c r="B93" s="105" t="s">
        <v>205</v>
      </c>
      <c r="C93" s="103">
        <v>720</v>
      </c>
      <c r="D93" s="332" t="s">
        <v>59</v>
      </c>
      <c r="E93" s="103"/>
      <c r="F93" s="103"/>
      <c r="G93" s="103"/>
      <c r="H93" s="99">
        <f t="shared" si="59"/>
        <v>0</v>
      </c>
      <c r="I93" s="46"/>
      <c r="J93" s="47">
        <f t="shared" ref="J93:U93" si="62">J118</f>
        <v>0</v>
      </c>
      <c r="K93" s="47">
        <f t="shared" si="62"/>
        <v>0</v>
      </c>
      <c r="L93" s="47">
        <f t="shared" si="62"/>
        <v>0</v>
      </c>
      <c r="M93" s="47">
        <f t="shared" si="62"/>
        <v>0</v>
      </c>
      <c r="N93" s="47">
        <f t="shared" si="62"/>
        <v>0</v>
      </c>
      <c r="O93" s="47">
        <f t="shared" si="62"/>
        <v>0</v>
      </c>
      <c r="P93" s="47">
        <f t="shared" si="62"/>
        <v>0</v>
      </c>
      <c r="Q93" s="47">
        <f t="shared" si="62"/>
        <v>0</v>
      </c>
      <c r="R93" s="47">
        <f t="shared" si="62"/>
        <v>0</v>
      </c>
      <c r="S93" s="47">
        <f t="shared" si="62"/>
        <v>0</v>
      </c>
      <c r="T93" s="47">
        <f t="shared" si="62"/>
        <v>0</v>
      </c>
      <c r="U93" s="48">
        <f t="shared" si="62"/>
        <v>0</v>
      </c>
    </row>
    <row r="94" spans="1:21" x14ac:dyDescent="0.25">
      <c r="A94" s="11"/>
      <c r="B94" s="105" t="s">
        <v>60</v>
      </c>
      <c r="C94" s="331" t="s">
        <v>194</v>
      </c>
      <c r="D94" s="332" t="s">
        <v>59</v>
      </c>
      <c r="E94" s="103"/>
      <c r="F94" s="103"/>
      <c r="G94" s="103"/>
      <c r="H94" s="99">
        <f t="shared" si="59"/>
        <v>0</v>
      </c>
      <c r="J94" s="47">
        <f t="shared" ref="J94:U94" si="63">J119</f>
        <v>0</v>
      </c>
      <c r="K94" s="47">
        <f t="shared" si="63"/>
        <v>0</v>
      </c>
      <c r="L94" s="47">
        <f t="shared" si="63"/>
        <v>0</v>
      </c>
      <c r="M94" s="47">
        <f t="shared" si="63"/>
        <v>0</v>
      </c>
      <c r="N94" s="47">
        <f t="shared" si="63"/>
        <v>0</v>
      </c>
      <c r="O94" s="47">
        <f t="shared" si="63"/>
        <v>0</v>
      </c>
      <c r="P94" s="47">
        <f t="shared" si="63"/>
        <v>0</v>
      </c>
      <c r="Q94" s="47">
        <f t="shared" si="63"/>
        <v>0</v>
      </c>
      <c r="R94" s="47">
        <f t="shared" si="63"/>
        <v>0</v>
      </c>
      <c r="S94" s="47">
        <f t="shared" si="63"/>
        <v>0</v>
      </c>
      <c r="T94" s="47">
        <f t="shared" si="63"/>
        <v>0</v>
      </c>
      <c r="U94" s="48">
        <f t="shared" si="63"/>
        <v>0</v>
      </c>
    </row>
    <row r="95" spans="1:21" x14ac:dyDescent="0.25">
      <c r="A95" s="11"/>
      <c r="B95" s="105" t="s">
        <v>80</v>
      </c>
      <c r="C95" s="331" t="s">
        <v>194</v>
      </c>
      <c r="D95" s="332" t="s">
        <v>59</v>
      </c>
      <c r="E95" s="103"/>
      <c r="F95" s="103"/>
      <c r="G95" s="103"/>
      <c r="H95" s="99">
        <f t="shared" si="59"/>
        <v>0</v>
      </c>
      <c r="J95" s="47">
        <f t="shared" ref="J95:U95" si="64">J120</f>
        <v>0</v>
      </c>
      <c r="K95" s="47">
        <f t="shared" si="64"/>
        <v>0</v>
      </c>
      <c r="L95" s="47">
        <f t="shared" si="64"/>
        <v>0</v>
      </c>
      <c r="M95" s="47">
        <f t="shared" si="64"/>
        <v>0</v>
      </c>
      <c r="N95" s="47">
        <f t="shared" si="64"/>
        <v>0</v>
      </c>
      <c r="O95" s="47">
        <f t="shared" si="64"/>
        <v>0</v>
      </c>
      <c r="P95" s="47">
        <f t="shared" si="64"/>
        <v>0</v>
      </c>
      <c r="Q95" s="47">
        <f t="shared" si="64"/>
        <v>0</v>
      </c>
      <c r="R95" s="47">
        <f t="shared" si="64"/>
        <v>0</v>
      </c>
      <c r="S95" s="47">
        <f t="shared" si="64"/>
        <v>0</v>
      </c>
      <c r="T95" s="47">
        <f t="shared" si="64"/>
        <v>0</v>
      </c>
      <c r="U95" s="48">
        <f t="shared" si="64"/>
        <v>0</v>
      </c>
    </row>
    <row r="96" spans="1:21" x14ac:dyDescent="0.25">
      <c r="A96" s="11"/>
      <c r="B96" s="105" t="s">
        <v>230</v>
      </c>
      <c r="C96" s="104">
        <v>305</v>
      </c>
      <c r="D96" s="332" t="s">
        <v>61</v>
      </c>
      <c r="E96" s="103"/>
      <c r="F96" s="103"/>
      <c r="G96" s="103"/>
      <c r="H96" s="99">
        <f t="shared" si="59"/>
        <v>0</v>
      </c>
      <c r="J96" s="364"/>
      <c r="K96" s="364"/>
      <c r="L96" s="364"/>
      <c r="M96" s="364"/>
      <c r="N96" s="364"/>
      <c r="O96" s="364"/>
      <c r="P96" s="364"/>
      <c r="Q96" s="364"/>
      <c r="R96" s="364"/>
      <c r="S96" s="364"/>
      <c r="T96" s="364"/>
      <c r="U96" s="365"/>
    </row>
    <row r="97" spans="1:23" x14ac:dyDescent="0.25">
      <c r="A97" s="11"/>
      <c r="B97" s="105" t="s">
        <v>231</v>
      </c>
      <c r="C97" s="104">
        <v>306</v>
      </c>
      <c r="D97" s="332" t="s">
        <v>61</v>
      </c>
      <c r="E97" s="4"/>
      <c r="F97" s="103"/>
      <c r="G97" s="103"/>
      <c r="H97" s="99">
        <f t="shared" si="59"/>
        <v>0</v>
      </c>
      <c r="J97" s="364"/>
      <c r="K97" s="364"/>
      <c r="L97" s="364"/>
      <c r="M97" s="364"/>
      <c r="N97" s="364"/>
      <c r="O97" s="364"/>
      <c r="P97" s="364"/>
      <c r="Q97" s="364"/>
      <c r="R97" s="364"/>
      <c r="S97" s="364"/>
      <c r="T97" s="364"/>
      <c r="U97" s="365"/>
    </row>
    <row r="98" spans="1:23" x14ac:dyDescent="0.25">
      <c r="A98" s="11"/>
      <c r="B98" s="105" t="s">
        <v>232</v>
      </c>
      <c r="C98" s="334" t="s">
        <v>195</v>
      </c>
      <c r="D98" s="332" t="s">
        <v>62</v>
      </c>
      <c r="E98" s="103"/>
      <c r="F98" s="103"/>
      <c r="G98" s="103"/>
      <c r="H98" s="99">
        <f t="shared" si="59"/>
        <v>0</v>
      </c>
      <c r="J98" s="364"/>
      <c r="K98" s="364"/>
      <c r="L98" s="364"/>
      <c r="M98" s="364"/>
      <c r="N98" s="364"/>
      <c r="O98" s="364"/>
      <c r="P98" s="364"/>
      <c r="Q98" s="364"/>
      <c r="R98" s="364"/>
      <c r="S98" s="364"/>
      <c r="T98" s="364"/>
      <c r="U98" s="365"/>
    </row>
    <row r="99" spans="1:23" x14ac:dyDescent="0.25">
      <c r="A99" s="11"/>
      <c r="B99" s="105" t="s">
        <v>233</v>
      </c>
      <c r="C99" s="334" t="s">
        <v>196</v>
      </c>
      <c r="D99" s="332" t="s">
        <v>62</v>
      </c>
      <c r="E99" s="103"/>
      <c r="F99" s="103"/>
      <c r="G99" s="103"/>
      <c r="H99" s="99">
        <f t="shared" si="59"/>
        <v>0</v>
      </c>
      <c r="J99" s="364"/>
      <c r="K99" s="364"/>
      <c r="L99" s="364"/>
      <c r="M99" s="364"/>
      <c r="N99" s="364"/>
      <c r="O99" s="364"/>
      <c r="P99" s="364"/>
      <c r="Q99" s="364"/>
      <c r="R99" s="364"/>
      <c r="S99" s="364"/>
      <c r="T99" s="364"/>
      <c r="U99" s="365"/>
    </row>
    <row r="100" spans="1:23" x14ac:dyDescent="0.25">
      <c r="A100" s="11"/>
      <c r="B100" s="105" t="s">
        <v>235</v>
      </c>
      <c r="C100" s="334" t="s">
        <v>197</v>
      </c>
      <c r="D100" s="332" t="s">
        <v>63</v>
      </c>
      <c r="E100" s="103"/>
      <c r="F100" s="103"/>
      <c r="G100" s="103"/>
      <c r="H100" s="99">
        <f t="shared" si="59"/>
        <v>0</v>
      </c>
      <c r="J100" s="364"/>
      <c r="K100" s="364"/>
      <c r="L100" s="364"/>
      <c r="M100" s="364"/>
      <c r="N100" s="364"/>
      <c r="O100" s="364"/>
      <c r="P100" s="364"/>
      <c r="Q100" s="364"/>
      <c r="R100" s="364"/>
      <c r="S100" s="364"/>
      <c r="T100" s="364"/>
      <c r="U100" s="365"/>
    </row>
    <row r="101" spans="1:23" x14ac:dyDescent="0.25">
      <c r="A101" s="11"/>
      <c r="B101" s="105" t="s">
        <v>64</v>
      </c>
      <c r="C101" s="334" t="s">
        <v>198</v>
      </c>
      <c r="D101" s="332" t="s">
        <v>63</v>
      </c>
      <c r="E101" s="104"/>
      <c r="F101" s="103"/>
      <c r="G101" s="400">
        <f>IFERROR(H101/$W$16,0)</f>
        <v>0</v>
      </c>
      <c r="H101" s="99">
        <f t="shared" si="59"/>
        <v>0</v>
      </c>
      <c r="J101" s="364"/>
      <c r="K101" s="364"/>
      <c r="L101" s="364"/>
      <c r="M101" s="364"/>
      <c r="N101" s="364"/>
      <c r="O101" s="364"/>
      <c r="P101" s="364"/>
      <c r="Q101" s="364"/>
      <c r="R101" s="364"/>
      <c r="S101" s="364"/>
      <c r="T101" s="364"/>
      <c r="U101" s="365"/>
    </row>
    <row r="102" spans="1:23" x14ac:dyDescent="0.25">
      <c r="A102" s="11"/>
      <c r="B102" s="105" t="s">
        <v>65</v>
      </c>
      <c r="C102" s="334" t="s">
        <v>199</v>
      </c>
      <c r="D102" s="332" t="s">
        <v>63</v>
      </c>
      <c r="E102" s="104">
        <v>365</v>
      </c>
      <c r="F102" s="103"/>
      <c r="G102" s="103"/>
      <c r="H102" s="99">
        <f t="shared" si="59"/>
        <v>0</v>
      </c>
      <c r="J102" s="364"/>
      <c r="K102" s="364"/>
      <c r="L102" s="364"/>
      <c r="M102" s="364"/>
      <c r="N102" s="364"/>
      <c r="O102" s="364"/>
      <c r="P102" s="364"/>
      <c r="Q102" s="364"/>
      <c r="R102" s="364"/>
      <c r="S102" s="364"/>
      <c r="T102" s="364"/>
      <c r="U102" s="365"/>
    </row>
    <row r="103" spans="1:23" x14ac:dyDescent="0.25">
      <c r="A103" s="11"/>
      <c r="B103" s="105" t="s">
        <v>66</v>
      </c>
      <c r="C103" s="334" t="s">
        <v>200</v>
      </c>
      <c r="D103" s="332" t="s">
        <v>67</v>
      </c>
      <c r="E103" s="103">
        <v>338</v>
      </c>
      <c r="F103" s="103"/>
      <c r="G103" s="398">
        <v>0.33</v>
      </c>
      <c r="H103" s="99">
        <f t="shared" si="59"/>
        <v>0</v>
      </c>
      <c r="I103" s="46"/>
      <c r="J103" s="47">
        <f t="shared" ref="J103:U103" si="65">$G$103*J16</f>
        <v>0</v>
      </c>
      <c r="K103" s="47">
        <f t="shared" si="65"/>
        <v>0</v>
      </c>
      <c r="L103" s="47">
        <f t="shared" si="65"/>
        <v>0</v>
      </c>
      <c r="M103" s="47">
        <f t="shared" si="65"/>
        <v>0</v>
      </c>
      <c r="N103" s="47">
        <f t="shared" si="65"/>
        <v>0</v>
      </c>
      <c r="O103" s="47">
        <f t="shared" si="65"/>
        <v>0</v>
      </c>
      <c r="P103" s="47">
        <f t="shared" si="65"/>
        <v>0</v>
      </c>
      <c r="Q103" s="47">
        <f t="shared" si="65"/>
        <v>0</v>
      </c>
      <c r="R103" s="47">
        <f t="shared" si="65"/>
        <v>0</v>
      </c>
      <c r="S103" s="47">
        <f t="shared" si="65"/>
        <v>0</v>
      </c>
      <c r="T103" s="47">
        <f t="shared" si="65"/>
        <v>0</v>
      </c>
      <c r="U103" s="48">
        <f t="shared" si="65"/>
        <v>0</v>
      </c>
    </row>
    <row r="104" spans="1:23" x14ac:dyDescent="0.25">
      <c r="A104" s="11"/>
      <c r="B104" s="105" t="s">
        <v>234</v>
      </c>
      <c r="C104" s="104">
        <v>351</v>
      </c>
      <c r="D104" s="332" t="s">
        <v>67</v>
      </c>
      <c r="E104" s="103">
        <v>324</v>
      </c>
      <c r="F104" s="103"/>
      <c r="G104" s="399">
        <v>1.6000000000000001E-3</v>
      </c>
      <c r="H104" s="99">
        <f t="shared" si="59"/>
        <v>0</v>
      </c>
      <c r="J104" s="47">
        <f t="shared" ref="J104:U104" si="66">$G$104*J46/100</f>
        <v>0</v>
      </c>
      <c r="K104" s="47">
        <f t="shared" si="66"/>
        <v>0</v>
      </c>
      <c r="L104" s="47">
        <f t="shared" si="66"/>
        <v>0</v>
      </c>
      <c r="M104" s="47">
        <f t="shared" si="66"/>
        <v>0</v>
      </c>
      <c r="N104" s="47">
        <f t="shared" si="66"/>
        <v>0</v>
      </c>
      <c r="O104" s="47">
        <f t="shared" si="66"/>
        <v>0</v>
      </c>
      <c r="P104" s="47">
        <f t="shared" si="66"/>
        <v>0</v>
      </c>
      <c r="Q104" s="47">
        <f t="shared" si="66"/>
        <v>0</v>
      </c>
      <c r="R104" s="47">
        <f t="shared" si="66"/>
        <v>0</v>
      </c>
      <c r="S104" s="47">
        <f t="shared" si="66"/>
        <v>0</v>
      </c>
      <c r="T104" s="47">
        <f t="shared" si="66"/>
        <v>0</v>
      </c>
      <c r="U104" s="48">
        <f t="shared" si="66"/>
        <v>0</v>
      </c>
    </row>
    <row r="105" spans="1:23" ht="15.75" thickBot="1" x14ac:dyDescent="0.3">
      <c r="A105" s="11"/>
      <c r="B105" s="106" t="s">
        <v>68</v>
      </c>
      <c r="C105" s="333" t="s">
        <v>201</v>
      </c>
      <c r="D105" s="335" t="s">
        <v>67</v>
      </c>
      <c r="E105" s="108"/>
      <c r="F105" s="108"/>
      <c r="G105" s="398">
        <v>3.75</v>
      </c>
      <c r="H105" s="99">
        <f t="shared" si="59"/>
        <v>0</v>
      </c>
      <c r="J105" s="350">
        <f t="shared" ref="J105:U105" si="67">$G$105*J16</f>
        <v>0</v>
      </c>
      <c r="K105" s="350">
        <f t="shared" si="67"/>
        <v>0</v>
      </c>
      <c r="L105" s="350">
        <f t="shared" si="67"/>
        <v>0</v>
      </c>
      <c r="M105" s="350">
        <f t="shared" si="67"/>
        <v>0</v>
      </c>
      <c r="N105" s="350">
        <f t="shared" si="67"/>
        <v>0</v>
      </c>
      <c r="O105" s="350">
        <f t="shared" si="67"/>
        <v>0</v>
      </c>
      <c r="P105" s="350">
        <f t="shared" si="67"/>
        <v>0</v>
      </c>
      <c r="Q105" s="350">
        <f t="shared" si="67"/>
        <v>0</v>
      </c>
      <c r="R105" s="350">
        <f t="shared" si="67"/>
        <v>0</v>
      </c>
      <c r="S105" s="350">
        <f t="shared" si="67"/>
        <v>0</v>
      </c>
      <c r="T105" s="350">
        <f t="shared" si="67"/>
        <v>0</v>
      </c>
      <c r="U105" s="351">
        <f t="shared" si="67"/>
        <v>0</v>
      </c>
    </row>
    <row r="106" spans="1:23" x14ac:dyDescent="0.25">
      <c r="B106" s="11"/>
      <c r="U106" s="109"/>
    </row>
    <row r="107" spans="1:23" ht="15.75" thickBot="1" x14ac:dyDescent="0.3">
      <c r="A107" s="11"/>
      <c r="B107" s="110" t="s">
        <v>69</v>
      </c>
      <c r="C107" s="33"/>
      <c r="D107" s="33"/>
      <c r="E107" s="33"/>
      <c r="F107" s="33"/>
      <c r="G107" s="111">
        <f>IFERROR(H107/B127,0)</f>
        <v>0</v>
      </c>
      <c r="H107" s="64">
        <f>SUM(H82:H105)</f>
        <v>0</v>
      </c>
      <c r="I107" s="112"/>
      <c r="J107" s="64">
        <f t="shared" ref="J107:U107" si="68">SUM(J82:J105)</f>
        <v>0</v>
      </c>
      <c r="K107" s="64">
        <f t="shared" si="68"/>
        <v>0</v>
      </c>
      <c r="L107" s="64">
        <f t="shared" si="68"/>
        <v>0</v>
      </c>
      <c r="M107" s="64">
        <f t="shared" si="68"/>
        <v>0</v>
      </c>
      <c r="N107" s="64">
        <f t="shared" si="68"/>
        <v>0</v>
      </c>
      <c r="O107" s="64">
        <f t="shared" si="68"/>
        <v>0</v>
      </c>
      <c r="P107" s="64">
        <f t="shared" si="68"/>
        <v>0</v>
      </c>
      <c r="Q107" s="64">
        <f t="shared" si="68"/>
        <v>0</v>
      </c>
      <c r="R107" s="64">
        <f t="shared" si="68"/>
        <v>0</v>
      </c>
      <c r="S107" s="64">
        <f t="shared" si="68"/>
        <v>0</v>
      </c>
      <c r="T107" s="64">
        <f t="shared" si="68"/>
        <v>0</v>
      </c>
      <c r="U107" s="66">
        <f t="shared" si="68"/>
        <v>0</v>
      </c>
    </row>
    <row r="108" spans="1:23" ht="15.75" thickBot="1" x14ac:dyDescent="0.3"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</row>
    <row r="109" spans="1:23" ht="16.5" thickTop="1" thickBot="1" x14ac:dyDescent="0.3">
      <c r="B109" s="113" t="s">
        <v>70</v>
      </c>
      <c r="C109" s="114"/>
      <c r="D109" s="114"/>
      <c r="E109" s="114"/>
      <c r="F109" s="114"/>
      <c r="G109" s="115"/>
      <c r="H109" s="116">
        <f>H51+H78+H107</f>
        <v>0</v>
      </c>
      <c r="I109" s="115"/>
      <c r="J109" s="116">
        <f t="shared" ref="J109:U109" si="69">J51+J78+J107</f>
        <v>0</v>
      </c>
      <c r="K109" s="116">
        <f t="shared" si="69"/>
        <v>0</v>
      </c>
      <c r="L109" s="116">
        <f t="shared" si="69"/>
        <v>0</v>
      </c>
      <c r="M109" s="116">
        <f t="shared" si="69"/>
        <v>0</v>
      </c>
      <c r="N109" s="116">
        <f t="shared" si="69"/>
        <v>0</v>
      </c>
      <c r="O109" s="116">
        <f t="shared" si="69"/>
        <v>0</v>
      </c>
      <c r="P109" s="116">
        <f t="shared" si="69"/>
        <v>0</v>
      </c>
      <c r="Q109" s="116">
        <f t="shared" si="69"/>
        <v>0</v>
      </c>
      <c r="R109" s="116">
        <f t="shared" si="69"/>
        <v>0</v>
      </c>
      <c r="S109" s="116">
        <f t="shared" si="69"/>
        <v>0</v>
      </c>
      <c r="T109" s="116">
        <f t="shared" si="69"/>
        <v>0</v>
      </c>
      <c r="U109" s="117">
        <f t="shared" si="69"/>
        <v>0</v>
      </c>
      <c r="W109" s="67">
        <f>SUM(J109:U109)</f>
        <v>0</v>
      </c>
    </row>
    <row r="110" spans="1:23" ht="15.75" thickBot="1" x14ac:dyDescent="0.3"/>
    <row r="111" spans="1:23" ht="16.5" thickTop="1" thickBot="1" x14ac:dyDescent="0.3">
      <c r="B111" s="113" t="s">
        <v>71</v>
      </c>
      <c r="C111" s="114"/>
      <c r="D111" s="114"/>
      <c r="E111" s="114"/>
      <c r="F111" s="114"/>
      <c r="G111" s="114"/>
      <c r="H111" s="116">
        <f>H46-H109</f>
        <v>0</v>
      </c>
      <c r="I111" s="115"/>
      <c r="J111" s="116">
        <f t="shared" ref="J111:U111" si="70">J46-J109</f>
        <v>0</v>
      </c>
      <c r="K111" s="116">
        <f t="shared" si="70"/>
        <v>0</v>
      </c>
      <c r="L111" s="116">
        <f t="shared" si="70"/>
        <v>0</v>
      </c>
      <c r="M111" s="116">
        <f t="shared" si="70"/>
        <v>0</v>
      </c>
      <c r="N111" s="116">
        <f t="shared" si="70"/>
        <v>0</v>
      </c>
      <c r="O111" s="116">
        <f t="shared" si="70"/>
        <v>0</v>
      </c>
      <c r="P111" s="116">
        <f t="shared" si="70"/>
        <v>0</v>
      </c>
      <c r="Q111" s="116">
        <f t="shared" si="70"/>
        <v>0</v>
      </c>
      <c r="R111" s="116">
        <f t="shared" si="70"/>
        <v>0</v>
      </c>
      <c r="S111" s="116">
        <f t="shared" si="70"/>
        <v>0</v>
      </c>
      <c r="T111" s="116">
        <f t="shared" si="70"/>
        <v>0</v>
      </c>
      <c r="U111" s="117">
        <f t="shared" si="70"/>
        <v>0</v>
      </c>
      <c r="W111" s="67">
        <f>SUM(J111:U111)</f>
        <v>0</v>
      </c>
    </row>
    <row r="112" spans="1:23" ht="15.75" thickBot="1" x14ac:dyDescent="0.3"/>
    <row r="113" spans="2:21" x14ac:dyDescent="0.25">
      <c r="B113" s="71" t="s">
        <v>72</v>
      </c>
      <c r="C113" s="80" t="s">
        <v>44</v>
      </c>
      <c r="D113" s="42" t="s">
        <v>220</v>
      </c>
      <c r="E113" s="42" t="s">
        <v>203</v>
      </c>
      <c r="F113" s="42" t="s">
        <v>240</v>
      </c>
      <c r="G113" s="42" t="s">
        <v>239</v>
      </c>
      <c r="H113" s="9"/>
      <c r="I113" s="118"/>
      <c r="J113" s="448" t="s">
        <v>73</v>
      </c>
      <c r="K113" s="448"/>
      <c r="L113" s="448"/>
      <c r="M113" s="448"/>
      <c r="N113" s="448"/>
      <c r="O113" s="448"/>
      <c r="P113" s="448"/>
      <c r="Q113" s="448"/>
      <c r="R113" s="448"/>
      <c r="S113" s="448"/>
      <c r="T113" s="448"/>
      <c r="U113" s="449"/>
    </row>
    <row r="114" spans="2:21" x14ac:dyDescent="0.25">
      <c r="B114" s="119" t="s">
        <v>74</v>
      </c>
      <c r="C114" s="340">
        <v>720</v>
      </c>
      <c r="D114" s="120" t="s">
        <v>59</v>
      </c>
      <c r="E114" s="121" t="s">
        <v>75</v>
      </c>
      <c r="F114" s="401"/>
      <c r="G114" s="345">
        <f t="shared" ref="G114:G122" si="71">IFERROR(H114/F114,0)</f>
        <v>0</v>
      </c>
      <c r="H114" s="345">
        <f t="shared" ref="H114:H122" si="72">SUM(J114:U114)</f>
        <v>0</v>
      </c>
      <c r="J114" s="366"/>
      <c r="K114" s="366"/>
      <c r="L114" s="366"/>
      <c r="M114" s="366"/>
      <c r="N114" s="366"/>
      <c r="O114" s="366"/>
      <c r="P114" s="366"/>
      <c r="Q114" s="366"/>
      <c r="R114" s="366"/>
      <c r="S114" s="366"/>
      <c r="T114" s="366"/>
      <c r="U114" s="367"/>
    </row>
    <row r="115" spans="2:21" x14ac:dyDescent="0.25">
      <c r="B115" s="119" t="s">
        <v>76</v>
      </c>
      <c r="C115" s="340">
        <v>720</v>
      </c>
      <c r="D115" s="120" t="s">
        <v>59</v>
      </c>
      <c r="E115" s="121" t="s">
        <v>75</v>
      </c>
      <c r="F115" s="401">
        <v>1250</v>
      </c>
      <c r="G115" s="345">
        <f t="shared" si="71"/>
        <v>0</v>
      </c>
      <c r="H115" s="345">
        <f t="shared" si="72"/>
        <v>0</v>
      </c>
      <c r="J115" s="366"/>
      <c r="K115" s="366"/>
      <c r="L115" s="366"/>
      <c r="M115" s="366"/>
      <c r="N115" s="366"/>
      <c r="O115" s="366"/>
      <c r="P115" s="366"/>
      <c r="Q115" s="366"/>
      <c r="R115" s="366"/>
      <c r="S115" s="366"/>
      <c r="T115" s="366"/>
      <c r="U115" s="368"/>
    </row>
    <row r="116" spans="2:21" x14ac:dyDescent="0.25">
      <c r="B116" s="119" t="s">
        <v>77</v>
      </c>
      <c r="C116" s="340">
        <v>720</v>
      </c>
      <c r="D116" s="120" t="s">
        <v>59</v>
      </c>
      <c r="E116" s="121" t="s">
        <v>75</v>
      </c>
      <c r="F116" s="401"/>
      <c r="G116" s="345">
        <f t="shared" si="71"/>
        <v>0</v>
      </c>
      <c r="H116" s="345">
        <f t="shared" si="72"/>
        <v>0</v>
      </c>
      <c r="J116" s="366"/>
      <c r="K116" s="366"/>
      <c r="L116" s="366"/>
      <c r="M116" s="366"/>
      <c r="N116" s="366"/>
      <c r="O116" s="366"/>
      <c r="P116" s="366"/>
      <c r="Q116" s="366"/>
      <c r="R116" s="366"/>
      <c r="S116" s="366"/>
      <c r="T116" s="366"/>
      <c r="U116" s="368"/>
    </row>
    <row r="117" spans="2:21" x14ac:dyDescent="0.25">
      <c r="B117" s="119" t="s">
        <v>78</v>
      </c>
      <c r="C117" s="340">
        <v>720</v>
      </c>
      <c r="D117" s="120" t="s">
        <v>59</v>
      </c>
      <c r="E117" s="121" t="s">
        <v>75</v>
      </c>
      <c r="F117" s="401"/>
      <c r="G117" s="345">
        <f t="shared" si="71"/>
        <v>0</v>
      </c>
      <c r="H117" s="345">
        <f t="shared" si="72"/>
        <v>0</v>
      </c>
      <c r="J117" s="366"/>
      <c r="K117" s="366"/>
      <c r="L117" s="366"/>
      <c r="M117" s="366"/>
      <c r="N117" s="366"/>
      <c r="O117" s="366"/>
      <c r="P117" s="366"/>
      <c r="Q117" s="366"/>
      <c r="R117" s="366"/>
      <c r="S117" s="366"/>
      <c r="T117" s="366"/>
      <c r="U117" s="368"/>
    </row>
    <row r="118" spans="2:21" x14ac:dyDescent="0.25">
      <c r="B118" s="119" t="s">
        <v>205</v>
      </c>
      <c r="C118" s="340">
        <v>720</v>
      </c>
      <c r="D118" s="120" t="s">
        <v>59</v>
      </c>
      <c r="E118" s="121" t="s">
        <v>206</v>
      </c>
      <c r="F118" s="401"/>
      <c r="G118" s="345">
        <f t="shared" si="71"/>
        <v>0</v>
      </c>
      <c r="H118" s="345">
        <f t="shared" si="72"/>
        <v>0</v>
      </c>
      <c r="J118" s="366"/>
      <c r="K118" s="366"/>
      <c r="L118" s="366"/>
      <c r="M118" s="366"/>
      <c r="N118" s="366"/>
      <c r="O118" s="366"/>
      <c r="P118" s="366"/>
      <c r="Q118" s="366"/>
      <c r="R118" s="366"/>
      <c r="S118" s="366"/>
      <c r="T118" s="366"/>
      <c r="U118" s="368"/>
    </row>
    <row r="119" spans="2:21" x14ac:dyDescent="0.25">
      <c r="B119" s="119" t="s">
        <v>60</v>
      </c>
      <c r="C119" s="341" t="s">
        <v>194</v>
      </c>
      <c r="D119" s="120" t="s">
        <v>59</v>
      </c>
      <c r="E119" s="121" t="s">
        <v>79</v>
      </c>
      <c r="F119" s="401">
        <v>4</v>
      </c>
      <c r="G119" s="345">
        <f t="shared" si="71"/>
        <v>0</v>
      </c>
      <c r="H119" s="345">
        <f t="shared" si="72"/>
        <v>0</v>
      </c>
      <c r="J119" s="366"/>
      <c r="K119" s="366"/>
      <c r="L119" s="366"/>
      <c r="M119" s="366"/>
      <c r="N119" s="366"/>
      <c r="O119" s="366"/>
      <c r="P119" s="366"/>
      <c r="Q119" s="366"/>
      <c r="R119" s="366"/>
      <c r="S119" s="366"/>
      <c r="T119" s="366"/>
      <c r="U119" s="368"/>
    </row>
    <row r="120" spans="2:21" x14ac:dyDescent="0.25">
      <c r="B120" s="119" t="s">
        <v>80</v>
      </c>
      <c r="C120" s="341" t="s">
        <v>194</v>
      </c>
      <c r="D120" s="120" t="s">
        <v>59</v>
      </c>
      <c r="E120" s="121" t="s">
        <v>81</v>
      </c>
      <c r="F120" s="401"/>
      <c r="G120" s="345">
        <f t="shared" si="71"/>
        <v>0</v>
      </c>
      <c r="H120" s="345">
        <f t="shared" si="72"/>
        <v>0</v>
      </c>
      <c r="J120" s="366"/>
      <c r="K120" s="366"/>
      <c r="L120" s="366"/>
      <c r="M120" s="366"/>
      <c r="N120" s="366"/>
      <c r="O120" s="366"/>
      <c r="P120" s="366"/>
      <c r="Q120" s="366"/>
      <c r="R120" s="366"/>
      <c r="S120" s="366"/>
      <c r="T120" s="366"/>
      <c r="U120" s="368"/>
    </row>
    <row r="121" spans="2:21" x14ac:dyDescent="0.25">
      <c r="B121" s="336" t="s">
        <v>237</v>
      </c>
      <c r="C121" s="342" t="s">
        <v>195</v>
      </c>
      <c r="D121" s="337" t="s">
        <v>62</v>
      </c>
      <c r="E121" s="338" t="s">
        <v>79</v>
      </c>
      <c r="F121" s="402"/>
      <c r="G121" s="345">
        <f t="shared" si="71"/>
        <v>0</v>
      </c>
      <c r="H121" s="345">
        <f t="shared" si="72"/>
        <v>0</v>
      </c>
      <c r="J121" s="366"/>
      <c r="K121" s="366"/>
      <c r="L121" s="366"/>
      <c r="M121" s="366"/>
      <c r="N121" s="366"/>
      <c r="O121" s="366"/>
      <c r="P121" s="366"/>
      <c r="Q121" s="366"/>
      <c r="R121" s="366"/>
      <c r="S121" s="366"/>
      <c r="T121" s="366"/>
      <c r="U121" s="369"/>
    </row>
    <row r="122" spans="2:21" ht="15.75" thickBot="1" x14ac:dyDescent="0.3">
      <c r="B122" s="125" t="s">
        <v>236</v>
      </c>
      <c r="C122" s="343" t="s">
        <v>195</v>
      </c>
      <c r="D122" s="126" t="s">
        <v>62</v>
      </c>
      <c r="E122" s="127" t="s">
        <v>81</v>
      </c>
      <c r="F122" s="403"/>
      <c r="G122" s="437">
        <f t="shared" si="71"/>
        <v>0</v>
      </c>
      <c r="H122" s="346">
        <f t="shared" si="72"/>
        <v>0</v>
      </c>
      <c r="I122" s="33"/>
      <c r="J122" s="370"/>
      <c r="K122" s="370"/>
      <c r="L122" s="370"/>
      <c r="M122" s="370"/>
      <c r="N122" s="370"/>
      <c r="O122" s="370"/>
      <c r="P122" s="370"/>
      <c r="Q122" s="370"/>
      <c r="R122" s="370"/>
      <c r="S122" s="370"/>
      <c r="T122" s="370"/>
      <c r="U122" s="371"/>
    </row>
    <row r="123" spans="2:21" x14ac:dyDescent="0.25">
      <c r="J123" s="131"/>
      <c r="K123" s="131"/>
      <c r="L123" s="131"/>
      <c r="M123" s="131"/>
      <c r="N123" s="131"/>
      <c r="O123" s="131"/>
      <c r="P123" s="131"/>
      <c r="Q123" s="131"/>
      <c r="R123" s="131"/>
      <c r="S123" s="131"/>
      <c r="T123" s="131"/>
      <c r="U123" s="131"/>
    </row>
    <row r="124" spans="2:21" ht="15.75" thickBot="1" x14ac:dyDescent="0.3">
      <c r="J124" s="131"/>
      <c r="K124" s="131"/>
      <c r="L124" s="131"/>
      <c r="M124" s="131"/>
      <c r="N124" s="131"/>
      <c r="O124" s="131"/>
      <c r="P124" s="131"/>
      <c r="Q124" s="131"/>
      <c r="R124" s="131"/>
      <c r="S124" s="131"/>
      <c r="T124" s="131"/>
      <c r="U124" s="131"/>
    </row>
    <row r="125" spans="2:21" x14ac:dyDescent="0.25">
      <c r="B125" s="71" t="s">
        <v>82</v>
      </c>
      <c r="C125" s="9"/>
      <c r="D125" s="9"/>
      <c r="E125" s="9"/>
      <c r="F125" s="9"/>
      <c r="G125" s="40"/>
      <c r="J125" s="131"/>
      <c r="K125" s="131"/>
      <c r="L125" s="131"/>
      <c r="M125" s="131"/>
      <c r="N125" s="131"/>
      <c r="O125" s="131"/>
      <c r="P125" s="131"/>
      <c r="Q125" s="131"/>
      <c r="R125" s="131"/>
      <c r="S125" s="131"/>
      <c r="T125" s="131"/>
      <c r="U125" s="131"/>
    </row>
    <row r="126" spans="2:21" x14ac:dyDescent="0.25">
      <c r="B126" s="132" t="s">
        <v>83</v>
      </c>
      <c r="C126" s="43" t="s">
        <v>84</v>
      </c>
      <c r="D126"/>
      <c r="E126"/>
      <c r="F126" s="450" t="s">
        <v>85</v>
      </c>
      <c r="G126" s="451"/>
      <c r="I126" s="131"/>
      <c r="J126" s="131"/>
      <c r="K126" s="131"/>
      <c r="L126" s="131"/>
      <c r="M126" s="131"/>
      <c r="N126" s="131"/>
      <c r="O126" s="131"/>
      <c r="P126" s="131"/>
      <c r="Q126" s="131"/>
      <c r="R126" s="131"/>
      <c r="S126" s="131"/>
      <c r="T126" s="131"/>
    </row>
    <row r="127" spans="2:21" ht="18.75" x14ac:dyDescent="0.3">
      <c r="B127" s="133">
        <f>W16</f>
        <v>0</v>
      </c>
      <c r="C127" s="134"/>
      <c r="D127" s="134"/>
      <c r="E127" s="134"/>
      <c r="F127" s="135"/>
      <c r="G127" s="136"/>
      <c r="I127" s="131"/>
      <c r="J127" s="131"/>
      <c r="K127" s="131"/>
      <c r="L127" s="131"/>
      <c r="M127" s="131"/>
      <c r="N127" s="131"/>
      <c r="O127" s="131"/>
      <c r="P127" s="131"/>
      <c r="Q127" s="131"/>
      <c r="R127" s="131"/>
      <c r="S127" s="131"/>
      <c r="T127" s="131"/>
    </row>
    <row r="128" spans="2:21" x14ac:dyDescent="0.25">
      <c r="B128" s="137" t="s">
        <v>86</v>
      </c>
      <c r="C128" s="134"/>
      <c r="D128" s="134"/>
      <c r="E128" s="138">
        <f>H46</f>
        <v>0</v>
      </c>
      <c r="F128" s="135"/>
      <c r="G128" s="139" t="e">
        <f>E128/$B$127</f>
        <v>#DIV/0!</v>
      </c>
      <c r="I128" s="131"/>
      <c r="J128" s="131"/>
      <c r="K128" s="131"/>
      <c r="L128" s="131"/>
      <c r="M128" s="131"/>
      <c r="N128" s="131"/>
      <c r="O128" s="131"/>
      <c r="P128" s="131"/>
      <c r="Q128" s="131"/>
      <c r="R128" s="131"/>
      <c r="S128" s="131"/>
      <c r="T128" s="131"/>
    </row>
    <row r="129" spans="2:21" ht="9" customHeight="1" x14ac:dyDescent="0.25">
      <c r="B129" s="11"/>
      <c r="C129" s="134"/>
      <c r="D129" s="134"/>
      <c r="E129" s="134"/>
      <c r="F129" s="135"/>
      <c r="G129" s="136"/>
      <c r="I129" s="131"/>
      <c r="J129" s="131"/>
      <c r="K129" s="131"/>
      <c r="L129" s="131"/>
      <c r="M129" s="131"/>
      <c r="N129" s="131"/>
      <c r="O129" s="131"/>
      <c r="P129" s="131"/>
      <c r="Q129" s="131"/>
      <c r="R129" s="131"/>
      <c r="S129" s="131"/>
      <c r="T129" s="131"/>
    </row>
    <row r="130" spans="2:21" x14ac:dyDescent="0.25">
      <c r="B130" s="137" t="s">
        <v>87</v>
      </c>
      <c r="C130" s="134"/>
      <c r="D130" s="134"/>
      <c r="E130" s="134"/>
      <c r="F130" s="135"/>
      <c r="G130" s="136"/>
      <c r="I130" s="131"/>
      <c r="J130" s="131"/>
      <c r="K130" s="131"/>
      <c r="L130" s="131"/>
      <c r="M130" s="131"/>
      <c r="N130" s="131"/>
      <c r="O130" s="131"/>
      <c r="P130" s="131"/>
      <c r="Q130" s="131"/>
      <c r="R130" s="131"/>
      <c r="S130" s="131"/>
      <c r="T130" s="131"/>
    </row>
    <row r="131" spans="2:21" x14ac:dyDescent="0.25">
      <c r="B131" s="24" t="s">
        <v>88</v>
      </c>
      <c r="C131" s="138">
        <f>H51+SUM(H82:H89)</f>
        <v>0</v>
      </c>
      <c r="D131" s="138"/>
      <c r="E131" s="134"/>
      <c r="F131" s="140" t="e">
        <f t="shared" ref="F131:F138" si="73">C131/$B$127</f>
        <v>#DIV/0!</v>
      </c>
      <c r="G131" s="136"/>
      <c r="I131" s="131"/>
      <c r="J131" s="131"/>
      <c r="K131" s="131"/>
      <c r="L131" s="131"/>
      <c r="M131" s="131"/>
      <c r="N131" s="131"/>
      <c r="O131" s="131"/>
      <c r="P131" s="131"/>
      <c r="Q131" s="131"/>
      <c r="R131" s="131"/>
      <c r="S131" s="131"/>
      <c r="T131" s="131"/>
    </row>
    <row r="132" spans="2:21" x14ac:dyDescent="0.25">
      <c r="B132" s="24" t="s">
        <v>89</v>
      </c>
      <c r="C132" s="138">
        <f>H78</f>
        <v>0</v>
      </c>
      <c r="D132" s="138"/>
      <c r="E132" s="134"/>
      <c r="F132" s="140" t="e">
        <f t="shared" si="73"/>
        <v>#DIV/0!</v>
      </c>
      <c r="G132" s="136"/>
      <c r="I132" s="131"/>
      <c r="J132" s="131"/>
      <c r="K132" s="131"/>
      <c r="L132" s="131"/>
      <c r="M132" s="131"/>
      <c r="N132" s="131"/>
      <c r="O132" s="131"/>
      <c r="P132" s="131"/>
      <c r="Q132" s="131"/>
      <c r="R132" s="131"/>
      <c r="S132" s="131"/>
      <c r="T132" s="131"/>
    </row>
    <row r="133" spans="2:21" x14ac:dyDescent="0.25">
      <c r="B133" s="24" t="s">
        <v>59</v>
      </c>
      <c r="C133" s="138">
        <f>SUM(H90:H95)</f>
        <v>0</v>
      </c>
      <c r="D133" s="138"/>
      <c r="E133" s="134"/>
      <c r="F133" s="140" t="e">
        <f t="shared" si="73"/>
        <v>#DIV/0!</v>
      </c>
      <c r="G133" s="136"/>
      <c r="I133" s="131"/>
      <c r="J133" s="131"/>
      <c r="K133" s="131"/>
      <c r="L133" s="131"/>
      <c r="M133" s="131"/>
      <c r="N133" s="131"/>
      <c r="O133" s="131"/>
      <c r="P133" s="131"/>
      <c r="Q133" s="148"/>
      <c r="R133" s="131"/>
      <c r="S133" s="131"/>
      <c r="T133" s="131"/>
    </row>
    <row r="134" spans="2:21" x14ac:dyDescent="0.25">
      <c r="B134" s="24" t="s">
        <v>90</v>
      </c>
      <c r="C134" s="138">
        <f>SUM(H96:H97)</f>
        <v>0</v>
      </c>
      <c r="D134" s="138"/>
      <c r="E134" s="134"/>
      <c r="F134" s="140" t="e">
        <f t="shared" si="73"/>
        <v>#DIV/0!</v>
      </c>
      <c r="G134" s="136"/>
      <c r="I134" s="131"/>
      <c r="J134" s="131"/>
      <c r="K134" s="131"/>
      <c r="L134" s="131"/>
      <c r="M134" s="131"/>
      <c r="N134" s="131"/>
      <c r="O134" s="131"/>
      <c r="P134" s="131"/>
      <c r="Q134" s="131"/>
      <c r="R134" s="131"/>
      <c r="S134" s="131"/>
      <c r="T134" s="131"/>
    </row>
    <row r="135" spans="2:21" x14ac:dyDescent="0.25">
      <c r="B135" s="24" t="s">
        <v>91</v>
      </c>
      <c r="C135" s="138">
        <f>SUM(H98:H99)</f>
        <v>0</v>
      </c>
      <c r="D135" s="138"/>
      <c r="E135" s="134"/>
      <c r="F135" s="140" t="e">
        <f t="shared" si="73"/>
        <v>#DIV/0!</v>
      </c>
      <c r="G135" s="136"/>
      <c r="I135" s="131"/>
      <c r="J135" s="131"/>
      <c r="K135" s="131"/>
      <c r="L135" s="131"/>
      <c r="M135" s="131"/>
      <c r="N135" s="131"/>
      <c r="O135" s="131"/>
      <c r="P135" s="131"/>
      <c r="Q135" s="131"/>
      <c r="R135" s="131"/>
      <c r="S135" s="131"/>
      <c r="T135" s="131"/>
    </row>
    <row r="136" spans="2:21" x14ac:dyDescent="0.25">
      <c r="B136" s="24" t="s">
        <v>63</v>
      </c>
      <c r="C136" s="138">
        <f>SUM(H100:H102)</f>
        <v>0</v>
      </c>
      <c r="D136" s="138"/>
      <c r="E136" s="134"/>
      <c r="F136" s="140" t="e">
        <f t="shared" si="73"/>
        <v>#DIV/0!</v>
      </c>
      <c r="G136" s="136"/>
      <c r="I136" s="131"/>
      <c r="J136" s="131"/>
      <c r="K136" s="131"/>
      <c r="L136" s="131"/>
      <c r="M136" s="131"/>
      <c r="N136" s="131"/>
      <c r="O136" s="131"/>
      <c r="P136" s="131"/>
      <c r="Q136" s="131"/>
      <c r="R136" s="131"/>
      <c r="S136" s="131"/>
      <c r="T136" s="131"/>
    </row>
    <row r="137" spans="2:21" x14ac:dyDescent="0.25">
      <c r="B137" s="24" t="s">
        <v>68</v>
      </c>
      <c r="C137" s="138">
        <f>H105</f>
        <v>0</v>
      </c>
      <c r="D137" s="138"/>
      <c r="E137" s="134"/>
      <c r="F137" s="140" t="e">
        <f t="shared" si="73"/>
        <v>#DIV/0!</v>
      </c>
      <c r="G137" s="136"/>
      <c r="I137" s="131"/>
      <c r="J137" s="131"/>
      <c r="K137" s="131"/>
      <c r="L137" s="131"/>
      <c r="M137" s="131"/>
      <c r="N137" s="131"/>
      <c r="O137" s="131"/>
      <c r="P137" s="131"/>
      <c r="Q137" s="131"/>
      <c r="R137" s="131"/>
      <c r="S137" s="131"/>
      <c r="T137" s="131"/>
    </row>
    <row r="138" spans="2:21" x14ac:dyDescent="0.25">
      <c r="B138" s="24" t="s">
        <v>92</v>
      </c>
      <c r="C138" s="141">
        <f>SUM(H103:H104)</f>
        <v>0</v>
      </c>
      <c r="D138" s="141"/>
      <c r="E138" s="141">
        <f>SUM(C131:C138)</f>
        <v>0</v>
      </c>
      <c r="F138" s="142" t="e">
        <f t="shared" si="73"/>
        <v>#DIV/0!</v>
      </c>
      <c r="G138" s="143" t="e">
        <f>SUM(F131:F138)</f>
        <v>#DIV/0!</v>
      </c>
      <c r="I138" s="131"/>
      <c r="J138" s="131"/>
      <c r="K138" s="131"/>
      <c r="L138" s="131"/>
      <c r="M138" s="131"/>
      <c r="N138" s="131"/>
      <c r="O138" s="131"/>
      <c r="P138" s="131"/>
      <c r="Q138" s="131"/>
      <c r="R138" s="131"/>
      <c r="S138" s="131"/>
      <c r="T138" s="131"/>
    </row>
    <row r="139" spans="2:21" ht="19.5" thickBot="1" x14ac:dyDescent="0.35">
      <c r="B139" s="32"/>
      <c r="C139" s="144"/>
      <c r="D139" s="144"/>
      <c r="E139" s="145">
        <f>E128-E138</f>
        <v>0</v>
      </c>
      <c r="F139" s="146"/>
      <c r="G139" s="147" t="e">
        <f>G128-G138</f>
        <v>#DIV/0!</v>
      </c>
      <c r="I139" s="131"/>
      <c r="J139" s="131"/>
      <c r="K139" s="131"/>
      <c r="L139" s="131"/>
      <c r="M139" s="131"/>
      <c r="N139" s="131"/>
      <c r="O139" s="131"/>
      <c r="P139" s="131"/>
      <c r="Q139" s="131"/>
      <c r="R139" s="131"/>
      <c r="S139" s="131"/>
      <c r="T139" s="131"/>
    </row>
    <row r="140" spans="2:21" x14ac:dyDescent="0.25">
      <c r="J140" s="131"/>
      <c r="K140" s="131"/>
      <c r="L140" s="131"/>
      <c r="M140" s="131"/>
      <c r="N140" s="131"/>
      <c r="O140" s="131"/>
      <c r="P140" s="131"/>
      <c r="Q140" s="131"/>
      <c r="R140" s="131"/>
      <c r="S140" s="131"/>
      <c r="T140" s="131"/>
      <c r="U140" s="131"/>
    </row>
    <row r="141" spans="2:21" x14ac:dyDescent="0.25">
      <c r="J141" s="131"/>
      <c r="K141" s="131"/>
      <c r="L141" s="131"/>
      <c r="M141" s="131"/>
      <c r="N141" s="131"/>
      <c r="O141" s="131"/>
      <c r="P141" s="131"/>
      <c r="Q141" s="131"/>
      <c r="R141" s="131"/>
      <c r="S141" s="131"/>
      <c r="T141" s="131"/>
      <c r="U141" s="131"/>
    </row>
    <row r="142" spans="2:21" x14ac:dyDescent="0.25">
      <c r="J142" s="131"/>
      <c r="K142" s="131"/>
      <c r="L142" s="131"/>
      <c r="M142" s="148"/>
      <c r="N142" s="131"/>
      <c r="O142" s="131"/>
      <c r="P142" s="131"/>
      <c r="Q142" s="131"/>
      <c r="R142" s="131"/>
      <c r="S142" s="131"/>
      <c r="T142" s="131"/>
      <c r="U142" s="131"/>
    </row>
  </sheetData>
  <sheetProtection algorithmName="SHA-512" hashValue="Qd27uIXXEeQ4nY78LpKNvnYHT8vvnH18ajJ4cjigPkEYgOIU4R9WiTahKQl4HDbQzepxXa9PVU94RMCXLWFI1A==" saltValue="s4zXw8tBh2Op30S+Fdn/xg==" spinCount="100000" sheet="1" selectLockedCells="1"/>
  <protectedRanges>
    <protectedRange sqref="J7:U13" name="Production_1"/>
    <protectedRange sqref="J4:U6" name="Production_1_1"/>
    <protectedRange sqref="F41:G41" name="JAS converions_1"/>
    <protectedRange sqref="G56:G77" name="Log transport costs_1"/>
    <protectedRange sqref="C20:C40" name="Grade mix_1"/>
    <protectedRange sqref="F20:G40" name="JAS converions_1_1"/>
  </protectedRanges>
  <mergeCells count="6">
    <mergeCell ref="J113:U113"/>
    <mergeCell ref="F126:G126"/>
    <mergeCell ref="I10:I12"/>
    <mergeCell ref="I13:I16"/>
    <mergeCell ref="I4:I6"/>
    <mergeCell ref="I7:I9"/>
  </mergeCells>
  <conditionalFormatting sqref="C42">
    <cfRule type="cellIs" dxfId="10" priority="1" operator="greaterThan">
      <formula>0.99</formula>
    </cfRule>
  </conditionalFormatting>
  <dataValidations count="1">
    <dataValidation type="whole" errorStyle="warning" allowBlank="1" showInputMessage="1" showErrorMessage="1" errorTitle="High number of skids" error="Are you sure you are going to build this many skids?" sqref="J119:U122" xr:uid="{760956B9-831B-487B-BA2A-87A522EC74DC}">
      <formula1>0</formula1>
      <formula2>10</formula2>
    </dataValidation>
  </dataValidations>
  <pageMargins left="0.70866141732283472" right="0.70866141732283472" top="0.74803149606299213" bottom="0.74803149606299213" header="0.31496062992125984" footer="0.31496062992125984"/>
  <pageSetup paperSize="8" scale="36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EC6C1-5B46-4595-BB9E-51575B42ED39}">
  <sheetPr codeName="Sheet11">
    <tabColor rgb="FF002060"/>
    <pageSetUpPr fitToPage="1"/>
  </sheetPr>
  <dimension ref="A1:X173"/>
  <sheetViews>
    <sheetView zoomScale="80" zoomScaleNormal="80" workbookViewId="0">
      <pane xSplit="8" ySplit="19" topLeftCell="I40" activePane="bottomRight" state="frozen"/>
      <selection activeCell="I2" sqref="I2"/>
      <selection pane="topRight" activeCell="I2" sqref="I2"/>
      <selection pane="bottomLeft" activeCell="I2" sqref="I2"/>
      <selection pane="bottomRight" activeCell="I2" sqref="I2"/>
    </sheetView>
  </sheetViews>
  <sheetFormatPr defaultColWidth="9" defaultRowHeight="15" x14ac:dyDescent="0.25"/>
  <cols>
    <col min="1" max="1" width="2.28515625" style="1" customWidth="1"/>
    <col min="2" max="2" width="39.7109375" style="1" customWidth="1"/>
    <col min="3" max="3" width="13.85546875" style="1" customWidth="1"/>
    <col min="4" max="4" width="14.7109375" style="1" customWidth="1"/>
    <col min="5" max="5" width="19.7109375" style="1" customWidth="1"/>
    <col min="6" max="6" width="12.42578125" style="1" customWidth="1"/>
    <col min="7" max="7" width="13.28515625" style="1" bestFit="1" customWidth="1"/>
    <col min="8" max="8" width="20.42578125" style="1" customWidth="1"/>
    <col min="9" max="9" width="8.7109375" style="1" customWidth="1"/>
    <col min="10" max="21" width="15.7109375" style="1" bestFit="1" customWidth="1"/>
    <col min="22" max="22" width="5" style="1" customWidth="1"/>
    <col min="23" max="23" width="15.28515625" style="4" bestFit="1" customWidth="1"/>
    <col min="24" max="24" width="17.5703125" style="1" customWidth="1"/>
    <col min="25" max="16384" width="9" style="1"/>
  </cols>
  <sheetData>
    <row r="1" spans="2:24" ht="15.75" thickBot="1" x14ac:dyDescent="0.3">
      <c r="C1" s="2">
        <f>'Mount Erin (T&amp;M) Budget'!C1</f>
        <v>2025</v>
      </c>
      <c r="D1" s="3" t="s">
        <v>0</v>
      </c>
    </row>
    <row r="2" spans="2:24" ht="27" thickBot="1" x14ac:dyDescent="0.45">
      <c r="B2" s="5" t="str">
        <f>'Mount Erin (T&amp;M) Budget'!B2</f>
        <v>Mount Erin</v>
      </c>
      <c r="H2" s="43" t="s">
        <v>209</v>
      </c>
      <c r="I2" s="404"/>
      <c r="W2" s="6"/>
      <c r="X2" s="7"/>
    </row>
    <row r="3" spans="2:24" ht="15.75" x14ac:dyDescent="0.25">
      <c r="B3" s="8" t="s">
        <v>1</v>
      </c>
      <c r="C3" s="9"/>
      <c r="D3" s="9"/>
      <c r="E3" s="9"/>
      <c r="F3" s="9"/>
      <c r="G3" s="9" t="s">
        <v>241</v>
      </c>
      <c r="H3" s="10"/>
      <c r="I3" s="304">
        <f>IF(NOT(ISBLANK(J5)), J5, IF(NOT(ISBLANK(J8)), J8, IF(NOT(ISBLANK(J11)), J11, 0)))+IF(NOT(ISBLANK(K5)), K5, IF(NOT(ISBLANK(K8)), K8, IF(NOT(ISBLANK(K11)), K11, 0)))+IF(NOT(ISBLANK(L5)), L5, IF(NOT(ISBLANK(L8)), L8, IF(NOT(ISBLANK(L11)), L11, 0)))+IF(NOT(ISBLANK(M5)), M5, IF(NOT(ISBLANK(M8)), M8, IF(NOT(ISBLANK(M11)), M11, 0)))+IF(NOT(ISBLANK(N5)), N5, IF(NOT(ISBLANK(N8)), N8, IF(NOT(ISBLANK(N11)), N11, 0)))+IF(NOT(ISBLANK(O5)), O5, IF(NOT(ISBLANK(O8)), O8, IF(NOT(ISBLANK(O11)), O11, 0)))+IF(NOT(ISBLANK(P5)), P5, IF(NOT(ISBLANK(P8)), P8, IF(NOT(ISBLANK(P11)), P11, 0)))+IF(NOT(ISBLANK(Q5)), Q5, IF(NOT(ISBLANK(Q8)), Q8, IF(NOT(ISBLANK(Q11)), Q11, 0)))+IF(NOT(ISBLANK(R5)), R5, IF(NOT(ISBLANK(R8)), R8, IF(NOT(ISBLANK(R11)), R11, 0)))+IF(NOT(ISBLANK(S5)), S5, IF(NOT(ISBLANK(S8)), S8, IF(NOT(ISBLANK(S11)), S11, 0)))+IF(NOT(ISBLANK(T5)), T5, IF(NOT(ISBLANK(T8)), T8, IF(NOT(ISBLANK(T11)), T11, 0)))+IF(NOT(ISBLANK(U5)), U5, IF(NOT(ISBLANK(U8)), U8, IF(NOT(ISBLANK(U11)), U11, 0)))</f>
        <v>0</v>
      </c>
      <c r="J3" s="178">
        <v>45658</v>
      </c>
      <c r="K3" s="178">
        <v>45689</v>
      </c>
      <c r="L3" s="178">
        <v>45717</v>
      </c>
      <c r="M3" s="178">
        <v>45748</v>
      </c>
      <c r="N3" s="178">
        <v>45778</v>
      </c>
      <c r="O3" s="178">
        <v>45809</v>
      </c>
      <c r="P3" s="178">
        <v>45839</v>
      </c>
      <c r="Q3" s="178">
        <v>45870</v>
      </c>
      <c r="R3" s="178">
        <v>45901</v>
      </c>
      <c r="S3" s="178">
        <v>45931</v>
      </c>
      <c r="T3" s="178">
        <v>45962</v>
      </c>
      <c r="U3" s="178">
        <v>45992</v>
      </c>
      <c r="W3" s="6"/>
      <c r="X3" s="7"/>
    </row>
    <row r="4" spans="2:24" x14ac:dyDescent="0.25">
      <c r="B4" s="11"/>
      <c r="G4" s="12" t="s">
        <v>3</v>
      </c>
      <c r="H4" s="301" t="s">
        <v>242</v>
      </c>
      <c r="I4" s="458">
        <f>IFERROR(SUM(J4:U4)/$W$16,0)</f>
        <v>0</v>
      </c>
      <c r="J4" s="13"/>
      <c r="K4" s="13"/>
      <c r="L4" s="13"/>
      <c r="M4" s="14"/>
      <c r="N4" s="14"/>
      <c r="O4" s="14"/>
      <c r="P4" s="14"/>
      <c r="Q4" s="14"/>
      <c r="R4" s="14"/>
      <c r="S4" s="14"/>
      <c r="T4" s="14"/>
      <c r="U4" s="15"/>
      <c r="W4" s="6"/>
      <c r="X4" s="7"/>
    </row>
    <row r="5" spans="2:24" x14ac:dyDescent="0.25">
      <c r="B5" s="11"/>
      <c r="G5" s="16"/>
      <c r="H5" s="1" t="s">
        <v>5</v>
      </c>
      <c r="I5" s="459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5"/>
      <c r="W5" s="6"/>
      <c r="X5" s="7"/>
    </row>
    <row r="6" spans="2:24" ht="15.75" thickBot="1" x14ac:dyDescent="0.3">
      <c r="B6" s="11"/>
      <c r="G6" s="17"/>
      <c r="H6" s="302" t="s">
        <v>6</v>
      </c>
      <c r="I6" s="460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380"/>
      <c r="W6" s="6"/>
      <c r="X6" s="7"/>
    </row>
    <row r="7" spans="2:24" x14ac:dyDescent="0.25">
      <c r="B7" s="11"/>
      <c r="G7" s="12" t="s">
        <v>7</v>
      </c>
      <c r="H7" s="301" t="s">
        <v>242</v>
      </c>
      <c r="I7" s="458">
        <f>IFERROR(SUM(J7:U7)/$W$16,0)</f>
        <v>0</v>
      </c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20"/>
      <c r="W7" s="6"/>
      <c r="X7" s="7"/>
    </row>
    <row r="8" spans="2:24" x14ac:dyDescent="0.25">
      <c r="B8" s="11"/>
      <c r="G8" s="16"/>
      <c r="H8" s="1" t="s">
        <v>5</v>
      </c>
      <c r="I8" s="459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5"/>
      <c r="W8" s="6"/>
      <c r="X8" s="7"/>
    </row>
    <row r="9" spans="2:24" ht="15.75" thickBot="1" x14ac:dyDescent="0.3">
      <c r="B9" s="11"/>
      <c r="G9" s="17"/>
      <c r="H9" s="302" t="s">
        <v>6</v>
      </c>
      <c r="I9" s="460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2"/>
      <c r="W9" s="6"/>
      <c r="X9" s="7"/>
    </row>
    <row r="10" spans="2:24" x14ac:dyDescent="0.25">
      <c r="B10" s="11"/>
      <c r="G10" s="12" t="s">
        <v>8</v>
      </c>
      <c r="H10" s="301" t="s">
        <v>242</v>
      </c>
      <c r="I10" s="458">
        <f>IFERROR(SUM(J10:U10)/$W$16,0)</f>
        <v>0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5"/>
      <c r="W10" s="6"/>
      <c r="X10" s="7"/>
    </row>
    <row r="11" spans="2:24" x14ac:dyDescent="0.25">
      <c r="B11" s="11"/>
      <c r="G11" s="16"/>
      <c r="H11" s="1" t="s">
        <v>5</v>
      </c>
      <c r="I11" s="459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5"/>
      <c r="W11" s="6"/>
      <c r="X11" s="7"/>
    </row>
    <row r="12" spans="2:24" ht="15.75" thickBot="1" x14ac:dyDescent="0.3">
      <c r="B12" s="11"/>
      <c r="G12" s="17"/>
      <c r="H12" s="302" t="s">
        <v>6</v>
      </c>
      <c r="I12" s="460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2"/>
      <c r="V12" s="7"/>
      <c r="W12" s="6"/>
      <c r="X12" s="7"/>
    </row>
    <row r="13" spans="2:24" x14ac:dyDescent="0.25">
      <c r="B13" s="11"/>
      <c r="G13" s="1" t="s">
        <v>2</v>
      </c>
      <c r="H13" s="1" t="s">
        <v>244</v>
      </c>
      <c r="I13" s="461">
        <f>SUM(I4:I12)</f>
        <v>0</v>
      </c>
      <c r="J13" s="412">
        <f t="shared" ref="J13:U13" si="0">J4+J7+J10</f>
        <v>0</v>
      </c>
      <c r="K13" s="412">
        <f t="shared" si="0"/>
        <v>0</v>
      </c>
      <c r="L13" s="412">
        <f t="shared" si="0"/>
        <v>0</v>
      </c>
      <c r="M13" s="412">
        <f t="shared" si="0"/>
        <v>0</v>
      </c>
      <c r="N13" s="412">
        <f t="shared" si="0"/>
        <v>0</v>
      </c>
      <c r="O13" s="412">
        <f t="shared" si="0"/>
        <v>0</v>
      </c>
      <c r="P13" s="412">
        <f t="shared" si="0"/>
        <v>0</v>
      </c>
      <c r="Q13" s="412">
        <f t="shared" si="0"/>
        <v>0</v>
      </c>
      <c r="R13" s="412">
        <f t="shared" si="0"/>
        <v>0</v>
      </c>
      <c r="S13" s="412">
        <f t="shared" si="0"/>
        <v>0</v>
      </c>
      <c r="T13" s="412">
        <f t="shared" si="0"/>
        <v>0</v>
      </c>
      <c r="U13" s="413">
        <f t="shared" si="0"/>
        <v>0</v>
      </c>
      <c r="V13" s="7"/>
      <c r="W13" s="28">
        <f>I3</f>
        <v>0</v>
      </c>
      <c r="X13" s="306" t="s">
        <v>208</v>
      </c>
    </row>
    <row r="14" spans="2:24" x14ac:dyDescent="0.25">
      <c r="B14" s="24"/>
      <c r="C14" s="25"/>
      <c r="D14" s="26"/>
      <c r="H14" t="s">
        <v>245</v>
      </c>
      <c r="I14" s="462"/>
      <c r="J14" s="414">
        <f t="shared" ref="J14:U14" si="1">J13-J16</f>
        <v>0</v>
      </c>
      <c r="K14" s="414">
        <f t="shared" si="1"/>
        <v>0</v>
      </c>
      <c r="L14" s="414">
        <f t="shared" si="1"/>
        <v>0</v>
      </c>
      <c r="M14" s="414">
        <f t="shared" si="1"/>
        <v>0</v>
      </c>
      <c r="N14" s="414">
        <f t="shared" si="1"/>
        <v>0</v>
      </c>
      <c r="O14" s="414">
        <f t="shared" si="1"/>
        <v>0</v>
      </c>
      <c r="P14" s="414">
        <f t="shared" si="1"/>
        <v>0</v>
      </c>
      <c r="Q14" s="414">
        <f t="shared" si="1"/>
        <v>0</v>
      </c>
      <c r="R14" s="414">
        <f t="shared" si="1"/>
        <v>0</v>
      </c>
      <c r="S14" s="414">
        <f t="shared" si="1"/>
        <v>0</v>
      </c>
      <c r="T14" s="414">
        <f t="shared" si="1"/>
        <v>0</v>
      </c>
      <c r="U14" s="415">
        <f t="shared" si="1"/>
        <v>0</v>
      </c>
      <c r="W14" s="28">
        <f>SUM(J14:U14)</f>
        <v>0</v>
      </c>
      <c r="X14" s="306" t="str">
        <f>H14</f>
        <v>Variance Tones</v>
      </c>
    </row>
    <row r="15" spans="2:24" x14ac:dyDescent="0.25">
      <c r="B15" s="24"/>
      <c r="C15" s="29"/>
      <c r="D15" s="30"/>
      <c r="G15" s="1" t="s">
        <v>2</v>
      </c>
      <c r="H15" s="1" t="s">
        <v>207</v>
      </c>
      <c r="I15" s="462"/>
      <c r="J15" s="412">
        <f t="shared" ref="J15:U15" si="2">IFERROR(J13/$I$2,0)</f>
        <v>0</v>
      </c>
      <c r="K15" s="412">
        <f t="shared" si="2"/>
        <v>0</v>
      </c>
      <c r="L15" s="412">
        <f t="shared" si="2"/>
        <v>0</v>
      </c>
      <c r="M15" s="412">
        <f t="shared" si="2"/>
        <v>0</v>
      </c>
      <c r="N15" s="412">
        <f t="shared" si="2"/>
        <v>0</v>
      </c>
      <c r="O15" s="412">
        <f t="shared" si="2"/>
        <v>0</v>
      </c>
      <c r="P15" s="412">
        <f t="shared" si="2"/>
        <v>0</v>
      </c>
      <c r="Q15" s="412">
        <f t="shared" si="2"/>
        <v>0</v>
      </c>
      <c r="R15" s="412">
        <f t="shared" si="2"/>
        <v>0</v>
      </c>
      <c r="S15" s="412">
        <f t="shared" si="2"/>
        <v>0</v>
      </c>
      <c r="T15" s="412">
        <f t="shared" si="2"/>
        <v>0</v>
      </c>
      <c r="U15" s="413">
        <f t="shared" si="2"/>
        <v>0</v>
      </c>
      <c r="V15" s="31"/>
      <c r="W15" s="28">
        <f>SUM(J15:U15)</f>
        <v>0</v>
      </c>
      <c r="X15" s="306" t="str">
        <f>H15</f>
        <v>Hectare (ha)</v>
      </c>
    </row>
    <row r="16" spans="2:24" ht="15.75" thickBot="1" x14ac:dyDescent="0.3">
      <c r="B16" s="32"/>
      <c r="C16" s="33"/>
      <c r="D16" s="33"/>
      <c r="E16" s="33"/>
      <c r="F16" s="33"/>
      <c r="G16" s="33" t="s">
        <v>2</v>
      </c>
      <c r="H16" s="33" t="s">
        <v>243</v>
      </c>
      <c r="I16" s="463"/>
      <c r="J16" s="416">
        <f>Volume_4!D27</f>
        <v>0</v>
      </c>
      <c r="K16" s="416">
        <f>Volume_4!H27</f>
        <v>0</v>
      </c>
      <c r="L16" s="416">
        <f>Volume_4!L27</f>
        <v>0</v>
      </c>
      <c r="M16" s="416">
        <f>Volume_4!P27</f>
        <v>0</v>
      </c>
      <c r="N16" s="416">
        <f>Volume_4!T27</f>
        <v>0</v>
      </c>
      <c r="O16" s="416">
        <f>Volume_4!X27</f>
        <v>0</v>
      </c>
      <c r="P16" s="416">
        <f>Volume_4!AB27</f>
        <v>0</v>
      </c>
      <c r="Q16" s="416">
        <f>Volume_4!AF27</f>
        <v>0</v>
      </c>
      <c r="R16" s="416">
        <f>Volume_4!AJ27</f>
        <v>0</v>
      </c>
      <c r="S16" s="416">
        <f>Volume_4!AN27</f>
        <v>0</v>
      </c>
      <c r="T16" s="416">
        <f>Volume_4!AR27</f>
        <v>0</v>
      </c>
      <c r="U16" s="417">
        <f>Volume_4!AV27</f>
        <v>0</v>
      </c>
      <c r="W16" s="28">
        <f>SUM(J16:U16)</f>
        <v>0</v>
      </c>
      <c r="X16" s="35" t="str">
        <f>H16</f>
        <v>Invoice Tonnes</v>
      </c>
    </row>
    <row r="17" spans="1:24" ht="25.5" customHeight="1" thickBot="1" x14ac:dyDescent="0.3">
      <c r="C17" s="7"/>
      <c r="D17" s="7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7"/>
      <c r="W17" s="38"/>
    </row>
    <row r="18" spans="1:24" ht="16.5" thickBot="1" x14ac:dyDescent="0.3">
      <c r="B18" s="8" t="s">
        <v>12</v>
      </c>
      <c r="C18" s="9"/>
      <c r="D18" s="9"/>
      <c r="E18" s="9"/>
      <c r="F18" s="9"/>
      <c r="G18" s="9"/>
      <c r="H18" s="9"/>
      <c r="I18" s="9"/>
      <c r="J18" s="39"/>
      <c r="K18" s="9"/>
      <c r="L18" s="9"/>
      <c r="M18" s="9"/>
      <c r="N18" s="9"/>
      <c r="O18" s="9"/>
      <c r="P18" s="9"/>
      <c r="Q18" s="9"/>
      <c r="R18" s="9"/>
      <c r="S18" s="9"/>
      <c r="T18" s="9"/>
      <c r="U18" s="40"/>
    </row>
    <row r="19" spans="1:24" x14ac:dyDescent="0.25">
      <c r="B19" s="41" t="s">
        <v>13</v>
      </c>
      <c r="C19" s="42" t="s">
        <v>14</v>
      </c>
      <c r="D19" s="42" t="s">
        <v>210</v>
      </c>
      <c r="E19" s="42" t="s">
        <v>15</v>
      </c>
      <c r="F19" s="42" t="s">
        <v>16</v>
      </c>
      <c r="G19" s="42" t="s">
        <v>17</v>
      </c>
      <c r="H19" s="42" t="s">
        <v>18</v>
      </c>
      <c r="I19" s="43"/>
      <c r="J19" s="178">
        <v>45658</v>
      </c>
      <c r="K19" s="178">
        <v>45689</v>
      </c>
      <c r="L19" s="178">
        <v>45717</v>
      </c>
      <c r="M19" s="178">
        <v>45748</v>
      </c>
      <c r="N19" s="178">
        <v>45778</v>
      </c>
      <c r="O19" s="178">
        <v>45809</v>
      </c>
      <c r="P19" s="178">
        <v>45839</v>
      </c>
      <c r="Q19" s="178">
        <v>45870</v>
      </c>
      <c r="R19" s="178">
        <v>45901</v>
      </c>
      <c r="S19" s="178">
        <v>45931</v>
      </c>
      <c r="T19" s="178">
        <v>45962</v>
      </c>
      <c r="U19" s="178">
        <v>45992</v>
      </c>
    </row>
    <row r="20" spans="1:24" x14ac:dyDescent="0.25">
      <c r="A20" s="11"/>
      <c r="B20" s="239" t="s">
        <v>20</v>
      </c>
      <c r="C20" s="240"/>
      <c r="D20" s="240"/>
      <c r="E20" s="409" t="s">
        <v>21</v>
      </c>
      <c r="F20" s="241"/>
      <c r="G20" s="241"/>
      <c r="H20" s="418">
        <f t="shared" ref="H20:H41" si="3">SUM(J20:U20)</f>
        <v>0</v>
      </c>
      <c r="I20" s="419"/>
      <c r="J20" s="420">
        <f>Volume_4!G4</f>
        <v>0</v>
      </c>
      <c r="K20" s="420">
        <f>Volume_4!K4</f>
        <v>0</v>
      </c>
      <c r="L20" s="420">
        <f>Volume_4!O4</f>
        <v>0</v>
      </c>
      <c r="M20" s="420">
        <f>Volume_4!S4</f>
        <v>0</v>
      </c>
      <c r="N20" s="420">
        <f>Volume_4!W4</f>
        <v>0</v>
      </c>
      <c r="O20" s="420">
        <f>Volume_4!AA4</f>
        <v>0</v>
      </c>
      <c r="P20" s="420">
        <f>Volume_4!AE4</f>
        <v>0</v>
      </c>
      <c r="Q20" s="420">
        <f>Volume_4!AI4</f>
        <v>0</v>
      </c>
      <c r="R20" s="420">
        <f>Volume_4!AM4</f>
        <v>0</v>
      </c>
      <c r="S20" s="420">
        <f>Volume_4!AQ4</f>
        <v>0</v>
      </c>
      <c r="T20" s="420">
        <f>Volume_4!AU4</f>
        <v>0</v>
      </c>
      <c r="U20" s="420">
        <f>Volume_4!AY4</f>
        <v>0</v>
      </c>
      <c r="W20" s="38"/>
    </row>
    <row r="21" spans="1:24" x14ac:dyDescent="0.25">
      <c r="A21" s="11"/>
      <c r="B21" s="239" t="s">
        <v>22</v>
      </c>
      <c r="C21" s="240"/>
      <c r="D21" s="240"/>
      <c r="E21" s="409" t="s">
        <v>21</v>
      </c>
      <c r="F21" s="241"/>
      <c r="G21" s="241"/>
      <c r="H21" s="418">
        <f t="shared" si="3"/>
        <v>0</v>
      </c>
      <c r="I21" s="419"/>
      <c r="J21" s="420">
        <f>Volume_4!G5</f>
        <v>0</v>
      </c>
      <c r="K21" s="420">
        <f>Volume_4!K5</f>
        <v>0</v>
      </c>
      <c r="L21" s="420">
        <f>Volume_4!O5</f>
        <v>0</v>
      </c>
      <c r="M21" s="420">
        <f>Volume_4!S5</f>
        <v>0</v>
      </c>
      <c r="N21" s="420">
        <f>Volume_4!W5</f>
        <v>0</v>
      </c>
      <c r="O21" s="420">
        <f>Volume_4!AA5</f>
        <v>0</v>
      </c>
      <c r="P21" s="420">
        <f>Volume_4!AE5</f>
        <v>0</v>
      </c>
      <c r="Q21" s="420">
        <f>Volume_4!AI5</f>
        <v>0</v>
      </c>
      <c r="R21" s="420">
        <f>Volume_4!AM5</f>
        <v>0</v>
      </c>
      <c r="S21" s="420">
        <f>Volume_4!AQ5</f>
        <v>0</v>
      </c>
      <c r="T21" s="420">
        <f>Volume_4!AU5</f>
        <v>0</v>
      </c>
      <c r="U21" s="420">
        <f>Volume_4!AY5</f>
        <v>0</v>
      </c>
      <c r="W21" s="38"/>
    </row>
    <row r="22" spans="1:24" x14ac:dyDescent="0.25">
      <c r="A22" s="11"/>
      <c r="B22" s="239" t="s">
        <v>25</v>
      </c>
      <c r="C22" s="240"/>
      <c r="D22" s="240"/>
      <c r="E22" s="409" t="s">
        <v>21</v>
      </c>
      <c r="F22" s="241"/>
      <c r="G22" s="241"/>
      <c r="H22" s="418">
        <f t="shared" si="3"/>
        <v>0</v>
      </c>
      <c r="I22" s="419"/>
      <c r="J22" s="420">
        <f>Volume_4!G6</f>
        <v>0</v>
      </c>
      <c r="K22" s="420">
        <f>Volume_4!K6</f>
        <v>0</v>
      </c>
      <c r="L22" s="420">
        <f>Volume_4!O6</f>
        <v>0</v>
      </c>
      <c r="M22" s="420">
        <f>Volume_4!S6</f>
        <v>0</v>
      </c>
      <c r="N22" s="420">
        <f>Volume_4!W6</f>
        <v>0</v>
      </c>
      <c r="O22" s="420">
        <f>Volume_4!AA6</f>
        <v>0</v>
      </c>
      <c r="P22" s="420">
        <f>Volume_4!AE6</f>
        <v>0</v>
      </c>
      <c r="Q22" s="420">
        <f>Volume_4!AI6</f>
        <v>0</v>
      </c>
      <c r="R22" s="420">
        <f>Volume_4!AM6</f>
        <v>0</v>
      </c>
      <c r="S22" s="420">
        <f>Volume_4!AQ6</f>
        <v>0</v>
      </c>
      <c r="T22" s="420">
        <f>Volume_4!AU6</f>
        <v>0</v>
      </c>
      <c r="U22" s="420">
        <f>Volume_4!AY6</f>
        <v>0</v>
      </c>
      <c r="W22" s="38"/>
      <c r="X22"/>
    </row>
    <row r="23" spans="1:24" x14ac:dyDescent="0.25">
      <c r="A23" s="11"/>
      <c r="B23" s="242" t="s">
        <v>30</v>
      </c>
      <c r="C23" s="240"/>
      <c r="D23" s="240"/>
      <c r="E23" s="409" t="s">
        <v>21</v>
      </c>
      <c r="F23" s="241"/>
      <c r="G23" s="241"/>
      <c r="H23" s="418">
        <f t="shared" si="3"/>
        <v>0</v>
      </c>
      <c r="I23" s="419"/>
      <c r="J23" s="420">
        <f>Volume_4!G7</f>
        <v>0</v>
      </c>
      <c r="K23" s="420">
        <f>Volume_4!K7</f>
        <v>0</v>
      </c>
      <c r="L23" s="420">
        <f>Volume_4!O7</f>
        <v>0</v>
      </c>
      <c r="M23" s="420">
        <f>Volume_4!S7</f>
        <v>0</v>
      </c>
      <c r="N23" s="420">
        <f>Volume_4!W7</f>
        <v>0</v>
      </c>
      <c r="O23" s="420">
        <f>Volume_4!AA7</f>
        <v>0</v>
      </c>
      <c r="P23" s="420">
        <f>Volume_4!AE7</f>
        <v>0</v>
      </c>
      <c r="Q23" s="420">
        <f>Volume_4!AI7</f>
        <v>0</v>
      </c>
      <c r="R23" s="420">
        <f>Volume_4!AM7</f>
        <v>0</v>
      </c>
      <c r="S23" s="420">
        <f>Volume_4!AQ7</f>
        <v>0</v>
      </c>
      <c r="T23" s="420">
        <f>Volume_4!AU7</f>
        <v>0</v>
      </c>
      <c r="U23" s="420">
        <f>Volume_4!AY7</f>
        <v>0</v>
      </c>
      <c r="W23" s="38"/>
    </row>
    <row r="24" spans="1:24" x14ac:dyDescent="0.25">
      <c r="A24" s="11"/>
      <c r="B24" s="242" t="s">
        <v>222</v>
      </c>
      <c r="C24" s="240"/>
      <c r="D24" s="240"/>
      <c r="E24" s="409" t="s">
        <v>21</v>
      </c>
      <c r="F24" s="241"/>
      <c r="G24" s="241"/>
      <c r="H24" s="418">
        <f t="shared" si="3"/>
        <v>0</v>
      </c>
      <c r="I24" s="419"/>
      <c r="J24" s="420">
        <f>Volume_4!G8</f>
        <v>0</v>
      </c>
      <c r="K24" s="420">
        <f>Volume_4!K8</f>
        <v>0</v>
      </c>
      <c r="L24" s="420">
        <f>Volume_4!O8</f>
        <v>0</v>
      </c>
      <c r="M24" s="420">
        <f>Volume_4!S8</f>
        <v>0</v>
      </c>
      <c r="N24" s="420">
        <f>Volume_4!W8</f>
        <v>0</v>
      </c>
      <c r="O24" s="420">
        <f>Volume_4!AA8</f>
        <v>0</v>
      </c>
      <c r="P24" s="420">
        <f>Volume_4!AE8</f>
        <v>0</v>
      </c>
      <c r="Q24" s="420">
        <f>Volume_4!AI8</f>
        <v>0</v>
      </c>
      <c r="R24" s="420">
        <f>Volume_4!AM8</f>
        <v>0</v>
      </c>
      <c r="S24" s="420">
        <f>Volume_4!AQ8</f>
        <v>0</v>
      </c>
      <c r="T24" s="420">
        <f>Volume_4!AU8</f>
        <v>0</v>
      </c>
      <c r="U24" s="420">
        <f>Volume_4!AY8</f>
        <v>0</v>
      </c>
      <c r="W24" s="38"/>
    </row>
    <row r="25" spans="1:24" x14ac:dyDescent="0.25">
      <c r="A25" s="11"/>
      <c r="B25" s="242" t="s">
        <v>34</v>
      </c>
      <c r="C25" s="240"/>
      <c r="D25" s="240"/>
      <c r="E25" s="409" t="s">
        <v>21</v>
      </c>
      <c r="F25" s="241"/>
      <c r="G25" s="241"/>
      <c r="H25" s="418">
        <f t="shared" si="3"/>
        <v>0</v>
      </c>
      <c r="I25" s="419"/>
      <c r="J25" s="420">
        <f>Volume_4!G9</f>
        <v>0</v>
      </c>
      <c r="K25" s="420">
        <f>Volume_4!K9</f>
        <v>0</v>
      </c>
      <c r="L25" s="420">
        <f>Volume_4!O9</f>
        <v>0</v>
      </c>
      <c r="M25" s="420">
        <f>Volume_4!S9</f>
        <v>0</v>
      </c>
      <c r="N25" s="420">
        <f>Volume_4!W9</f>
        <v>0</v>
      </c>
      <c r="O25" s="420">
        <f>Volume_4!AA9</f>
        <v>0</v>
      </c>
      <c r="P25" s="420">
        <f>Volume_4!AE9</f>
        <v>0</v>
      </c>
      <c r="Q25" s="420">
        <f>Volume_4!AI9</f>
        <v>0</v>
      </c>
      <c r="R25" s="420">
        <f>Volume_4!AM9</f>
        <v>0</v>
      </c>
      <c r="S25" s="420">
        <f>Volume_4!AQ9</f>
        <v>0</v>
      </c>
      <c r="T25" s="420">
        <f>Volume_4!AU9</f>
        <v>0</v>
      </c>
      <c r="U25" s="420">
        <f>Volume_4!AY9</f>
        <v>0</v>
      </c>
      <c r="W25" s="38"/>
    </row>
    <row r="26" spans="1:24" x14ac:dyDescent="0.25">
      <c r="A26" s="11"/>
      <c r="B26" s="242" t="s">
        <v>37</v>
      </c>
      <c r="C26" s="240"/>
      <c r="D26" s="240"/>
      <c r="E26" s="409" t="s">
        <v>21</v>
      </c>
      <c r="F26" s="241"/>
      <c r="G26" s="241"/>
      <c r="H26" s="418">
        <f t="shared" si="3"/>
        <v>0</v>
      </c>
      <c r="I26" s="419"/>
      <c r="J26" s="420">
        <f>Volume_4!G10</f>
        <v>0</v>
      </c>
      <c r="K26" s="420">
        <f>Volume_4!K10</f>
        <v>0</v>
      </c>
      <c r="L26" s="420">
        <f>Volume_4!O10</f>
        <v>0</v>
      </c>
      <c r="M26" s="420">
        <f>Volume_4!S10</f>
        <v>0</v>
      </c>
      <c r="N26" s="420">
        <f>Volume_4!W10</f>
        <v>0</v>
      </c>
      <c r="O26" s="420">
        <f>Volume_4!AA10</f>
        <v>0</v>
      </c>
      <c r="P26" s="420">
        <f>Volume_4!AE10</f>
        <v>0</v>
      </c>
      <c r="Q26" s="420">
        <f>Volume_4!AI10</f>
        <v>0</v>
      </c>
      <c r="R26" s="420">
        <f>Volume_4!AM10</f>
        <v>0</v>
      </c>
      <c r="S26" s="420">
        <f>Volume_4!AQ10</f>
        <v>0</v>
      </c>
      <c r="T26" s="420">
        <f>Volume_4!AU10</f>
        <v>0</v>
      </c>
      <c r="U26" s="420">
        <f>Volume_4!AY10</f>
        <v>0</v>
      </c>
      <c r="W26" s="38"/>
    </row>
    <row r="27" spans="1:24" x14ac:dyDescent="0.25">
      <c r="A27" s="11"/>
      <c r="B27" s="242" t="s">
        <v>174</v>
      </c>
      <c r="C27" s="240"/>
      <c r="D27" s="240"/>
      <c r="E27" s="409" t="s">
        <v>21</v>
      </c>
      <c r="F27" s="241"/>
      <c r="G27" s="241"/>
      <c r="H27" s="418">
        <f t="shared" si="3"/>
        <v>0</v>
      </c>
      <c r="I27" s="419"/>
      <c r="J27" s="420">
        <f>Volume_4!G11</f>
        <v>0</v>
      </c>
      <c r="K27" s="420">
        <f>Volume_4!K11</f>
        <v>0</v>
      </c>
      <c r="L27" s="420">
        <f>Volume_4!O11</f>
        <v>0</v>
      </c>
      <c r="M27" s="420">
        <f>Volume_4!S11</f>
        <v>0</v>
      </c>
      <c r="N27" s="420">
        <f>Volume_4!W11</f>
        <v>0</v>
      </c>
      <c r="O27" s="420">
        <f>Volume_4!AA11</f>
        <v>0</v>
      </c>
      <c r="P27" s="420">
        <f>Volume_4!AE11</f>
        <v>0</v>
      </c>
      <c r="Q27" s="420">
        <f>Volume_4!AI11</f>
        <v>0</v>
      </c>
      <c r="R27" s="420">
        <f>Volume_4!AM11</f>
        <v>0</v>
      </c>
      <c r="S27" s="420">
        <f>Volume_4!AQ11</f>
        <v>0</v>
      </c>
      <c r="T27" s="420">
        <f>Volume_4!AU11</f>
        <v>0</v>
      </c>
      <c r="U27" s="420">
        <f>Volume_4!AY11</f>
        <v>0</v>
      </c>
      <c r="W27" s="38"/>
    </row>
    <row r="28" spans="1:24" x14ac:dyDescent="0.25">
      <c r="A28" s="11"/>
      <c r="B28" s="376" t="s">
        <v>202</v>
      </c>
      <c r="C28" s="377"/>
      <c r="D28" s="377"/>
      <c r="E28" s="390" t="s">
        <v>21</v>
      </c>
      <c r="F28" s="44"/>
      <c r="G28" s="44"/>
      <c r="H28" s="418">
        <f t="shared" si="3"/>
        <v>0</v>
      </c>
      <c r="I28" s="419"/>
      <c r="J28" s="420">
        <f>Volume_4!G12</f>
        <v>0</v>
      </c>
      <c r="K28" s="420">
        <f>Volume_4!K12</f>
        <v>0</v>
      </c>
      <c r="L28" s="420">
        <f>Volume_4!O12</f>
        <v>0</v>
      </c>
      <c r="M28" s="420">
        <f>Volume_4!S12</f>
        <v>0</v>
      </c>
      <c r="N28" s="420">
        <f>Volume_4!W12</f>
        <v>0</v>
      </c>
      <c r="O28" s="420">
        <f>Volume_4!AA12</f>
        <v>0</v>
      </c>
      <c r="P28" s="420">
        <f>Volume_4!AE12</f>
        <v>0</v>
      </c>
      <c r="Q28" s="420">
        <f>Volume_4!AI12</f>
        <v>0</v>
      </c>
      <c r="R28" s="420">
        <f>Volume_4!AM12</f>
        <v>0</v>
      </c>
      <c r="S28" s="420">
        <f>Volume_4!AQ12</f>
        <v>0</v>
      </c>
      <c r="T28" s="420">
        <f>Volume_4!AU12</f>
        <v>0</v>
      </c>
      <c r="U28" s="420">
        <f>Volume_4!AY12</f>
        <v>0</v>
      </c>
      <c r="W28" s="38"/>
    </row>
    <row r="29" spans="1:24" x14ac:dyDescent="0.25">
      <c r="A29" s="11"/>
      <c r="B29" s="243" t="s">
        <v>175</v>
      </c>
      <c r="C29" s="244"/>
      <c r="D29" s="244"/>
      <c r="E29" s="410" t="s">
        <v>19</v>
      </c>
      <c r="F29" s="245"/>
      <c r="G29" s="245"/>
      <c r="H29" s="418">
        <f t="shared" si="3"/>
        <v>0</v>
      </c>
      <c r="I29" s="419"/>
      <c r="J29" s="420">
        <f>Volume_4!G13</f>
        <v>0</v>
      </c>
      <c r="K29" s="420">
        <f>Volume_4!K13</f>
        <v>0</v>
      </c>
      <c r="L29" s="420">
        <f>Volume_4!O13</f>
        <v>0</v>
      </c>
      <c r="M29" s="420">
        <f>Volume_4!S13</f>
        <v>0</v>
      </c>
      <c r="N29" s="420">
        <f>Volume_4!W13</f>
        <v>0</v>
      </c>
      <c r="O29" s="420">
        <f>Volume_4!AA13</f>
        <v>0</v>
      </c>
      <c r="P29" s="420">
        <f>Volume_4!AE13</f>
        <v>0</v>
      </c>
      <c r="Q29" s="420">
        <f>Volume_4!AI13</f>
        <v>0</v>
      </c>
      <c r="R29" s="420">
        <f>Volume_4!AM13</f>
        <v>0</v>
      </c>
      <c r="S29" s="420">
        <f>Volume_4!AQ13</f>
        <v>0</v>
      </c>
      <c r="T29" s="420">
        <f>Volume_4!AU13</f>
        <v>0</v>
      </c>
      <c r="U29" s="420">
        <f>Volume_4!AY13</f>
        <v>0</v>
      </c>
      <c r="W29" s="38"/>
    </row>
    <row r="30" spans="1:24" x14ac:dyDescent="0.25">
      <c r="A30" s="11"/>
      <c r="B30" s="243" t="s">
        <v>176</v>
      </c>
      <c r="C30" s="244"/>
      <c r="D30" s="244"/>
      <c r="E30" s="410" t="s">
        <v>19</v>
      </c>
      <c r="F30" s="245"/>
      <c r="G30" s="245"/>
      <c r="H30" s="418">
        <f t="shared" si="3"/>
        <v>0</v>
      </c>
      <c r="I30" s="419"/>
      <c r="J30" s="420">
        <f>Volume_4!G14</f>
        <v>0</v>
      </c>
      <c r="K30" s="420">
        <f>Volume_4!K14</f>
        <v>0</v>
      </c>
      <c r="L30" s="420">
        <f>Volume_4!O14</f>
        <v>0</v>
      </c>
      <c r="M30" s="420">
        <f>Volume_4!S14</f>
        <v>0</v>
      </c>
      <c r="N30" s="420">
        <f>Volume_4!W14</f>
        <v>0</v>
      </c>
      <c r="O30" s="420">
        <f>Volume_4!AA14</f>
        <v>0</v>
      </c>
      <c r="P30" s="420">
        <f>Volume_4!AE14</f>
        <v>0</v>
      </c>
      <c r="Q30" s="420">
        <f>Volume_4!AI14</f>
        <v>0</v>
      </c>
      <c r="R30" s="420">
        <f>Volume_4!AM14</f>
        <v>0</v>
      </c>
      <c r="S30" s="420">
        <f>Volume_4!AQ14</f>
        <v>0</v>
      </c>
      <c r="T30" s="420">
        <f>Volume_4!AU14</f>
        <v>0</v>
      </c>
      <c r="U30" s="420">
        <f>Volume_4!AY14</f>
        <v>0</v>
      </c>
      <c r="W30" s="38"/>
    </row>
    <row r="31" spans="1:24" x14ac:dyDescent="0.25">
      <c r="A31" s="11"/>
      <c r="B31" s="243" t="s">
        <v>23</v>
      </c>
      <c r="C31" s="244"/>
      <c r="D31" s="244"/>
      <c r="E31" s="411" t="s">
        <v>19</v>
      </c>
      <c r="F31" s="245"/>
      <c r="G31" s="245"/>
      <c r="H31" s="418">
        <f t="shared" si="3"/>
        <v>0</v>
      </c>
      <c r="I31" s="419"/>
      <c r="J31" s="420">
        <f>Volume_4!G15</f>
        <v>0</v>
      </c>
      <c r="K31" s="420">
        <f>Volume_4!K15</f>
        <v>0</v>
      </c>
      <c r="L31" s="420">
        <f>Volume_4!O15</f>
        <v>0</v>
      </c>
      <c r="M31" s="420">
        <f>Volume_4!S15</f>
        <v>0</v>
      </c>
      <c r="N31" s="420">
        <f>Volume_4!W15</f>
        <v>0</v>
      </c>
      <c r="O31" s="420">
        <f>Volume_4!AA15</f>
        <v>0</v>
      </c>
      <c r="P31" s="420">
        <f>Volume_4!AE15</f>
        <v>0</v>
      </c>
      <c r="Q31" s="420">
        <f>Volume_4!AI15</f>
        <v>0</v>
      </c>
      <c r="R31" s="420">
        <f>Volume_4!AM15</f>
        <v>0</v>
      </c>
      <c r="S31" s="420">
        <f>Volume_4!AQ15</f>
        <v>0</v>
      </c>
      <c r="T31" s="420">
        <f>Volume_4!AU15</f>
        <v>0</v>
      </c>
      <c r="U31" s="420">
        <f>Volume_4!AY15</f>
        <v>0</v>
      </c>
      <c r="W31" s="38"/>
    </row>
    <row r="32" spans="1:24" x14ac:dyDescent="0.25">
      <c r="A32" s="11"/>
      <c r="B32" s="246" t="s">
        <v>24</v>
      </c>
      <c r="C32" s="244"/>
      <c r="D32" s="244"/>
      <c r="E32" s="411" t="s">
        <v>19</v>
      </c>
      <c r="F32" s="245"/>
      <c r="G32" s="245"/>
      <c r="H32" s="418">
        <f t="shared" si="3"/>
        <v>0</v>
      </c>
      <c r="I32" s="419"/>
      <c r="J32" s="420">
        <f>Volume_4!G16</f>
        <v>0</v>
      </c>
      <c r="K32" s="420">
        <f>Volume_4!K16</f>
        <v>0</v>
      </c>
      <c r="L32" s="420">
        <f>Volume_4!O16</f>
        <v>0</v>
      </c>
      <c r="M32" s="420">
        <f>Volume_4!S16</f>
        <v>0</v>
      </c>
      <c r="N32" s="420">
        <f>Volume_4!W16</f>
        <v>0</v>
      </c>
      <c r="O32" s="420">
        <f>Volume_4!AA16</f>
        <v>0</v>
      </c>
      <c r="P32" s="420">
        <f>Volume_4!AE16</f>
        <v>0</v>
      </c>
      <c r="Q32" s="420">
        <f>Volume_4!AI16</f>
        <v>0</v>
      </c>
      <c r="R32" s="420">
        <f>Volume_4!AM16</f>
        <v>0</v>
      </c>
      <c r="S32" s="420">
        <f>Volume_4!AQ16</f>
        <v>0</v>
      </c>
      <c r="T32" s="420">
        <f>Volume_4!AU16</f>
        <v>0</v>
      </c>
      <c r="U32" s="420">
        <f>Volume_4!AY16</f>
        <v>0</v>
      </c>
      <c r="W32" s="38"/>
    </row>
    <row r="33" spans="1:23" x14ac:dyDescent="0.25">
      <c r="A33" s="11"/>
      <c r="B33" s="246" t="s">
        <v>26</v>
      </c>
      <c r="C33" s="244"/>
      <c r="D33" s="244"/>
      <c r="E33" s="411" t="s">
        <v>19</v>
      </c>
      <c r="F33" s="245"/>
      <c r="G33" s="245"/>
      <c r="H33" s="418">
        <f t="shared" si="3"/>
        <v>0</v>
      </c>
      <c r="I33" s="419"/>
      <c r="J33" s="420">
        <f>Volume_4!G17</f>
        <v>0</v>
      </c>
      <c r="K33" s="420">
        <f>Volume_4!K17</f>
        <v>0</v>
      </c>
      <c r="L33" s="420">
        <f>Volume_4!O17</f>
        <v>0</v>
      </c>
      <c r="M33" s="420">
        <f>Volume_4!S17</f>
        <v>0</v>
      </c>
      <c r="N33" s="420">
        <f>Volume_4!W17</f>
        <v>0</v>
      </c>
      <c r="O33" s="420">
        <f>Volume_4!AA17</f>
        <v>0</v>
      </c>
      <c r="P33" s="420">
        <f>Volume_4!AE17</f>
        <v>0</v>
      </c>
      <c r="Q33" s="420">
        <f>Volume_4!AI17</f>
        <v>0</v>
      </c>
      <c r="R33" s="420">
        <f>Volume_4!AM17</f>
        <v>0</v>
      </c>
      <c r="S33" s="420">
        <f>Volume_4!AQ17</f>
        <v>0</v>
      </c>
      <c r="T33" s="420">
        <f>Volume_4!AU17</f>
        <v>0</v>
      </c>
      <c r="U33" s="420">
        <f>Volume_4!AY17</f>
        <v>0</v>
      </c>
      <c r="W33" s="38"/>
    </row>
    <row r="34" spans="1:23" x14ac:dyDescent="0.25">
      <c r="A34" s="11"/>
      <c r="B34" s="246" t="s">
        <v>27</v>
      </c>
      <c r="C34" s="244"/>
      <c r="D34" s="244"/>
      <c r="E34" s="410" t="s">
        <v>19</v>
      </c>
      <c r="F34" s="245"/>
      <c r="G34" s="245"/>
      <c r="H34" s="418">
        <f t="shared" si="3"/>
        <v>0</v>
      </c>
      <c r="I34" s="419"/>
      <c r="J34" s="420">
        <f>Volume_4!G18</f>
        <v>0</v>
      </c>
      <c r="K34" s="420">
        <f>Volume_4!K18</f>
        <v>0</v>
      </c>
      <c r="L34" s="420">
        <f>Volume_4!O18</f>
        <v>0</v>
      </c>
      <c r="M34" s="420">
        <f>Volume_4!S18</f>
        <v>0</v>
      </c>
      <c r="N34" s="420">
        <f>Volume_4!W18</f>
        <v>0</v>
      </c>
      <c r="O34" s="420">
        <f>Volume_4!AA18</f>
        <v>0</v>
      </c>
      <c r="P34" s="420">
        <f>Volume_4!AE18</f>
        <v>0</v>
      </c>
      <c r="Q34" s="420">
        <f>Volume_4!AI18</f>
        <v>0</v>
      </c>
      <c r="R34" s="420">
        <f>Volume_4!AM18</f>
        <v>0</v>
      </c>
      <c r="S34" s="420">
        <f>Volume_4!AQ18</f>
        <v>0</v>
      </c>
      <c r="T34" s="420">
        <f>Volume_4!AU18</f>
        <v>0</v>
      </c>
      <c r="U34" s="420">
        <f>Volume_4!AY18</f>
        <v>0</v>
      </c>
      <c r="W34" s="38"/>
    </row>
    <row r="35" spans="1:23" x14ac:dyDescent="0.25">
      <c r="A35" s="11"/>
      <c r="B35" s="243" t="s">
        <v>29</v>
      </c>
      <c r="C35" s="244"/>
      <c r="D35" s="244"/>
      <c r="E35" s="411" t="s">
        <v>19</v>
      </c>
      <c r="F35" s="245"/>
      <c r="G35" s="245"/>
      <c r="H35" s="418">
        <f t="shared" si="3"/>
        <v>0</v>
      </c>
      <c r="I35" s="419"/>
      <c r="J35" s="420">
        <f>Volume_4!G19</f>
        <v>0</v>
      </c>
      <c r="K35" s="420">
        <f>Volume_4!K19</f>
        <v>0</v>
      </c>
      <c r="L35" s="420">
        <f>Volume_4!O19</f>
        <v>0</v>
      </c>
      <c r="M35" s="420">
        <f>Volume_4!S19</f>
        <v>0</v>
      </c>
      <c r="N35" s="420">
        <f>Volume_4!W19</f>
        <v>0</v>
      </c>
      <c r="O35" s="420">
        <f>Volume_4!AA19</f>
        <v>0</v>
      </c>
      <c r="P35" s="420">
        <f>Volume_4!AE19</f>
        <v>0</v>
      </c>
      <c r="Q35" s="420">
        <f>Volume_4!AI19</f>
        <v>0</v>
      </c>
      <c r="R35" s="420">
        <f>Volume_4!AM19</f>
        <v>0</v>
      </c>
      <c r="S35" s="420">
        <f>Volume_4!AQ19</f>
        <v>0</v>
      </c>
      <c r="T35" s="420">
        <f>Volume_4!AU19</f>
        <v>0</v>
      </c>
      <c r="U35" s="420">
        <f>Volume_4!AY19</f>
        <v>0</v>
      </c>
      <c r="W35" s="38"/>
    </row>
    <row r="36" spans="1:23" x14ac:dyDescent="0.25">
      <c r="A36" s="11"/>
      <c r="B36" s="243" t="s">
        <v>28</v>
      </c>
      <c r="C36" s="244"/>
      <c r="D36" s="244"/>
      <c r="E36" s="411" t="s">
        <v>19</v>
      </c>
      <c r="F36" s="245"/>
      <c r="G36" s="245"/>
      <c r="H36" s="418">
        <f t="shared" si="3"/>
        <v>0</v>
      </c>
      <c r="I36" s="419"/>
      <c r="J36" s="420">
        <f>Volume_4!G20</f>
        <v>0</v>
      </c>
      <c r="K36" s="420">
        <f>Volume_4!K20</f>
        <v>0</v>
      </c>
      <c r="L36" s="420">
        <f>Volume_4!O20</f>
        <v>0</v>
      </c>
      <c r="M36" s="420">
        <f>Volume_4!S20</f>
        <v>0</v>
      </c>
      <c r="N36" s="420">
        <f>Volume_4!W20</f>
        <v>0</v>
      </c>
      <c r="O36" s="420">
        <f>Volume_4!AA20</f>
        <v>0</v>
      </c>
      <c r="P36" s="420">
        <f>Volume_4!AE20</f>
        <v>0</v>
      </c>
      <c r="Q36" s="420">
        <f>Volume_4!AI20</f>
        <v>0</v>
      </c>
      <c r="R36" s="420">
        <f>Volume_4!AM20</f>
        <v>0</v>
      </c>
      <c r="S36" s="420">
        <f>Volume_4!AQ20</f>
        <v>0</v>
      </c>
      <c r="T36" s="420">
        <f>Volume_4!AU20</f>
        <v>0</v>
      </c>
      <c r="U36" s="420">
        <f>Volume_4!AY20</f>
        <v>0</v>
      </c>
      <c r="W36" s="38"/>
    </row>
    <row r="37" spans="1:23" x14ac:dyDescent="0.25">
      <c r="A37" s="11"/>
      <c r="B37" s="246" t="s">
        <v>31</v>
      </c>
      <c r="C37" s="244"/>
      <c r="D37" s="244"/>
      <c r="E37" s="411" t="s">
        <v>19</v>
      </c>
      <c r="F37" s="245"/>
      <c r="G37" s="245"/>
      <c r="H37" s="418">
        <f t="shared" si="3"/>
        <v>0</v>
      </c>
      <c r="I37" s="419"/>
      <c r="J37" s="420">
        <f>Volume_4!G21</f>
        <v>0</v>
      </c>
      <c r="K37" s="420">
        <f>Volume_4!K21</f>
        <v>0</v>
      </c>
      <c r="L37" s="420">
        <f>Volume_4!O21</f>
        <v>0</v>
      </c>
      <c r="M37" s="420">
        <f>Volume_4!S21</f>
        <v>0</v>
      </c>
      <c r="N37" s="420">
        <f>Volume_4!W21</f>
        <v>0</v>
      </c>
      <c r="O37" s="420">
        <f>Volume_4!AA21</f>
        <v>0</v>
      </c>
      <c r="P37" s="420">
        <f>Volume_4!AE21</f>
        <v>0</v>
      </c>
      <c r="Q37" s="420">
        <f>Volume_4!AI21</f>
        <v>0</v>
      </c>
      <c r="R37" s="420">
        <f>Volume_4!AM21</f>
        <v>0</v>
      </c>
      <c r="S37" s="420">
        <f>Volume_4!AQ21</f>
        <v>0</v>
      </c>
      <c r="T37" s="420">
        <f>Volume_4!AU21</f>
        <v>0</v>
      </c>
      <c r="U37" s="420">
        <f>Volume_4!AY21</f>
        <v>0</v>
      </c>
      <c r="W37" s="38"/>
    </row>
    <row r="38" spans="1:23" x14ac:dyDescent="0.25">
      <c r="A38" s="11"/>
      <c r="B38" s="246" t="s">
        <v>32</v>
      </c>
      <c r="C38" s="244"/>
      <c r="D38" s="244"/>
      <c r="E38" s="411" t="s">
        <v>19</v>
      </c>
      <c r="F38" s="245"/>
      <c r="G38" s="245"/>
      <c r="H38" s="418">
        <f t="shared" si="3"/>
        <v>0</v>
      </c>
      <c r="I38" s="419"/>
      <c r="J38" s="420">
        <f>Volume_4!G22</f>
        <v>0</v>
      </c>
      <c r="K38" s="420">
        <f>Volume_4!K22</f>
        <v>0</v>
      </c>
      <c r="L38" s="420">
        <f>Volume_4!O22</f>
        <v>0</v>
      </c>
      <c r="M38" s="420">
        <f>Volume_4!S22</f>
        <v>0</v>
      </c>
      <c r="N38" s="420">
        <f>Volume_4!W22</f>
        <v>0</v>
      </c>
      <c r="O38" s="420">
        <f>Volume_4!AA22</f>
        <v>0</v>
      </c>
      <c r="P38" s="420">
        <f>Volume_4!AE22</f>
        <v>0</v>
      </c>
      <c r="Q38" s="420">
        <f>Volume_4!AI22</f>
        <v>0</v>
      </c>
      <c r="R38" s="420">
        <f>Volume_4!AM22</f>
        <v>0</v>
      </c>
      <c r="S38" s="420">
        <f>Volume_4!AQ22</f>
        <v>0</v>
      </c>
      <c r="T38" s="420">
        <f>Volume_4!AU22</f>
        <v>0</v>
      </c>
      <c r="U38" s="420">
        <f>Volume_4!AY22</f>
        <v>0</v>
      </c>
      <c r="W38" s="38"/>
    </row>
    <row r="39" spans="1:23" x14ac:dyDescent="0.25">
      <c r="A39" s="11"/>
      <c r="B39" s="246" t="s">
        <v>33</v>
      </c>
      <c r="C39" s="244"/>
      <c r="D39" s="244"/>
      <c r="E39" s="411" t="s">
        <v>19</v>
      </c>
      <c r="F39" s="245"/>
      <c r="G39" s="245"/>
      <c r="H39" s="418">
        <f t="shared" si="3"/>
        <v>0</v>
      </c>
      <c r="I39" s="419"/>
      <c r="J39" s="420">
        <f>Volume_4!G23</f>
        <v>0</v>
      </c>
      <c r="K39" s="420">
        <f>Volume_4!K23</f>
        <v>0</v>
      </c>
      <c r="L39" s="420">
        <f>Volume_4!O23</f>
        <v>0</v>
      </c>
      <c r="M39" s="420">
        <f>Volume_4!S23</f>
        <v>0</v>
      </c>
      <c r="N39" s="420">
        <f>Volume_4!W23</f>
        <v>0</v>
      </c>
      <c r="O39" s="420">
        <f>Volume_4!AA23</f>
        <v>0</v>
      </c>
      <c r="P39" s="420">
        <f>Volume_4!AE23</f>
        <v>0</v>
      </c>
      <c r="Q39" s="420">
        <f>Volume_4!AI23</f>
        <v>0</v>
      </c>
      <c r="R39" s="420">
        <f>Volume_4!AM23</f>
        <v>0</v>
      </c>
      <c r="S39" s="420">
        <f>Volume_4!AQ23</f>
        <v>0</v>
      </c>
      <c r="T39" s="420">
        <f>Volume_4!AU23</f>
        <v>0</v>
      </c>
      <c r="U39" s="420">
        <f>Volume_4!AY23</f>
        <v>0</v>
      </c>
      <c r="W39" s="38"/>
    </row>
    <row r="40" spans="1:23" x14ac:dyDescent="0.25">
      <c r="A40" s="11"/>
      <c r="B40" s="246" t="s">
        <v>35</v>
      </c>
      <c r="C40" s="244"/>
      <c r="D40" s="244"/>
      <c r="E40" s="411" t="s">
        <v>19</v>
      </c>
      <c r="F40" s="245"/>
      <c r="G40" s="245"/>
      <c r="H40" s="418">
        <f t="shared" si="3"/>
        <v>0</v>
      </c>
      <c r="I40" s="419"/>
      <c r="J40" s="420">
        <f>Volume_4!G24</f>
        <v>0</v>
      </c>
      <c r="K40" s="420">
        <f>Volume_4!K24</f>
        <v>0</v>
      </c>
      <c r="L40" s="420">
        <f>Volume_4!O24</f>
        <v>0</v>
      </c>
      <c r="M40" s="420">
        <f>Volume_4!S24</f>
        <v>0</v>
      </c>
      <c r="N40" s="420">
        <f>Volume_4!W24</f>
        <v>0</v>
      </c>
      <c r="O40" s="420">
        <f>Volume_4!AA24</f>
        <v>0</v>
      </c>
      <c r="P40" s="420">
        <f>Volume_4!AE24</f>
        <v>0</v>
      </c>
      <c r="Q40" s="420">
        <f>Volume_4!AI24</f>
        <v>0</v>
      </c>
      <c r="R40" s="420">
        <f>Volume_4!AM24</f>
        <v>0</v>
      </c>
      <c r="S40" s="420">
        <f>Volume_4!AQ24</f>
        <v>0</v>
      </c>
      <c r="T40" s="420">
        <f>Volume_4!AU24</f>
        <v>0</v>
      </c>
      <c r="U40" s="420">
        <f>Volume_4!AY24</f>
        <v>0</v>
      </c>
      <c r="W40" s="38"/>
    </row>
    <row r="41" spans="1:23" x14ac:dyDescent="0.25">
      <c r="A41" s="11"/>
      <c r="B41" s="243" t="s">
        <v>36</v>
      </c>
      <c r="C41" s="244"/>
      <c r="D41" s="244"/>
      <c r="E41" s="411" t="s">
        <v>19</v>
      </c>
      <c r="F41" s="245"/>
      <c r="G41" s="245"/>
      <c r="H41" s="418">
        <f t="shared" si="3"/>
        <v>0</v>
      </c>
      <c r="I41" s="419"/>
      <c r="J41" s="420">
        <f>Volume_4!G25</f>
        <v>0</v>
      </c>
      <c r="K41" s="420">
        <f>Volume_4!K25</f>
        <v>0</v>
      </c>
      <c r="L41" s="420">
        <f>Volume_4!O25</f>
        <v>0</v>
      </c>
      <c r="M41" s="420">
        <f>Volume_4!S25</f>
        <v>0</v>
      </c>
      <c r="N41" s="420">
        <f>Volume_4!W25</f>
        <v>0</v>
      </c>
      <c r="O41" s="420">
        <f>Volume_4!AA25</f>
        <v>0</v>
      </c>
      <c r="P41" s="420">
        <f>Volume_4!AE25</f>
        <v>0</v>
      </c>
      <c r="Q41" s="420">
        <f>Volume_4!AI25</f>
        <v>0</v>
      </c>
      <c r="R41" s="420">
        <f>Volume_4!AM25</f>
        <v>0</v>
      </c>
      <c r="S41" s="420">
        <f>Volume_4!AQ25</f>
        <v>0</v>
      </c>
      <c r="T41" s="420">
        <f>Volume_4!AU25</f>
        <v>0</v>
      </c>
      <c r="U41" s="420">
        <f>Volume_4!AY25</f>
        <v>0</v>
      </c>
      <c r="W41" s="38"/>
    </row>
    <row r="42" spans="1:23" ht="15.75" thickBot="1" x14ac:dyDescent="0.3">
      <c r="A42" s="11"/>
      <c r="B42" s="49"/>
      <c r="C42" s="50">
        <f>SUM(C20:C41)</f>
        <v>0</v>
      </c>
      <c r="D42" s="51"/>
      <c r="E42" s="52"/>
      <c r="F42" s="53"/>
      <c r="G42" s="54"/>
      <c r="H42" s="421"/>
      <c r="I42" s="419"/>
      <c r="J42" s="419"/>
      <c r="K42" s="419"/>
      <c r="L42" s="419"/>
      <c r="M42" s="419"/>
      <c r="N42" s="419"/>
      <c r="O42" s="419"/>
      <c r="P42" s="419"/>
      <c r="Q42" s="419"/>
      <c r="R42" s="419"/>
      <c r="S42" s="419"/>
      <c r="T42" s="419"/>
      <c r="U42" s="422"/>
    </row>
    <row r="43" spans="1:23" ht="15.75" thickTop="1" x14ac:dyDescent="0.25">
      <c r="A43" s="11"/>
      <c r="B43" s="55" t="s">
        <v>39</v>
      </c>
      <c r="C43" s="51">
        <f>SUMIF(E20:E41,"JAS",C20:C41)</f>
        <v>0</v>
      </c>
      <c r="D43" s="51"/>
      <c r="E43" s="52"/>
      <c r="F43" s="53"/>
      <c r="G43" s="421"/>
      <c r="H43" s="418">
        <f>SUM(J43:U43)</f>
        <v>0</v>
      </c>
      <c r="I43" s="419"/>
      <c r="J43" s="423">
        <f t="shared" ref="J43:U43" si="4">SUM(J28:J41)</f>
        <v>0</v>
      </c>
      <c r="K43" s="423">
        <f t="shared" si="4"/>
        <v>0</v>
      </c>
      <c r="L43" s="423">
        <f t="shared" si="4"/>
        <v>0</v>
      </c>
      <c r="M43" s="423">
        <f t="shared" si="4"/>
        <v>0</v>
      </c>
      <c r="N43" s="423">
        <f t="shared" si="4"/>
        <v>0</v>
      </c>
      <c r="O43" s="423">
        <f t="shared" si="4"/>
        <v>0</v>
      </c>
      <c r="P43" s="423">
        <f t="shared" si="4"/>
        <v>0</v>
      </c>
      <c r="Q43" s="423">
        <f t="shared" si="4"/>
        <v>0</v>
      </c>
      <c r="R43" s="423">
        <f t="shared" si="4"/>
        <v>0</v>
      </c>
      <c r="S43" s="423">
        <f t="shared" si="4"/>
        <v>0</v>
      </c>
      <c r="T43" s="423">
        <f t="shared" si="4"/>
        <v>0</v>
      </c>
      <c r="U43" s="423">
        <f t="shared" si="4"/>
        <v>0</v>
      </c>
      <c r="W43" s="38"/>
    </row>
    <row r="44" spans="1:23" x14ac:dyDescent="0.25">
      <c r="A44" s="11"/>
      <c r="B44" s="55" t="s">
        <v>40</v>
      </c>
      <c r="C44" s="51">
        <f>SUMIF(E20:E41,"Tonnes",C20:C41)</f>
        <v>0</v>
      </c>
      <c r="D44" s="51"/>
      <c r="E44" s="52"/>
      <c r="F44" s="53"/>
      <c r="G44" s="421"/>
      <c r="H44" s="418">
        <f>SUM(J44:U44)</f>
        <v>0</v>
      </c>
      <c r="I44" s="419"/>
      <c r="J44" s="423">
        <f t="shared" ref="J44:U44" si="5">SUM(J20:J27)</f>
        <v>0</v>
      </c>
      <c r="K44" s="423">
        <f t="shared" si="5"/>
        <v>0</v>
      </c>
      <c r="L44" s="423">
        <f t="shared" si="5"/>
        <v>0</v>
      </c>
      <c r="M44" s="423">
        <f t="shared" si="5"/>
        <v>0</v>
      </c>
      <c r="N44" s="423">
        <f t="shared" si="5"/>
        <v>0</v>
      </c>
      <c r="O44" s="423">
        <f t="shared" si="5"/>
        <v>0</v>
      </c>
      <c r="P44" s="423">
        <f t="shared" si="5"/>
        <v>0</v>
      </c>
      <c r="Q44" s="423">
        <f t="shared" si="5"/>
        <v>0</v>
      </c>
      <c r="R44" s="423">
        <f t="shared" si="5"/>
        <v>0</v>
      </c>
      <c r="S44" s="423">
        <f t="shared" si="5"/>
        <v>0</v>
      </c>
      <c r="T44" s="423">
        <f t="shared" si="5"/>
        <v>0</v>
      </c>
      <c r="U44" s="423">
        <f t="shared" si="5"/>
        <v>0</v>
      </c>
    </row>
    <row r="45" spans="1:23" ht="15.75" thickBot="1" x14ac:dyDescent="0.3">
      <c r="A45" s="11"/>
      <c r="B45" s="49"/>
      <c r="C45" s="51"/>
      <c r="D45" s="51"/>
      <c r="E45" s="52"/>
      <c r="F45" s="53"/>
      <c r="G45" s="421"/>
      <c r="H45" s="421"/>
      <c r="I45" s="419"/>
      <c r="J45" s="421"/>
      <c r="K45" s="421"/>
      <c r="L45" s="421"/>
      <c r="M45" s="421"/>
      <c r="N45" s="421"/>
      <c r="O45" s="421"/>
      <c r="P45" s="421"/>
      <c r="Q45" s="421"/>
      <c r="R45" s="421"/>
      <c r="S45" s="421"/>
      <c r="T45" s="421"/>
      <c r="U45" s="424"/>
    </row>
    <row r="46" spans="1:23" ht="16.5" thickTop="1" thickBot="1" x14ac:dyDescent="0.3">
      <c r="A46" s="11"/>
      <c r="B46" s="59" t="s">
        <v>18</v>
      </c>
      <c r="C46" s="60"/>
      <c r="D46" s="60"/>
      <c r="E46" s="61"/>
      <c r="F46" s="62"/>
      <c r="G46" s="427" t="e">
        <f>H46/W16</f>
        <v>#DIV/0!</v>
      </c>
      <c r="H46" s="425">
        <f>SUM(H20:H41)</f>
        <v>0</v>
      </c>
      <c r="I46" s="65"/>
      <c r="J46" s="425">
        <f t="shared" ref="J46:U46" si="6">SUM(J20:J41)</f>
        <v>0</v>
      </c>
      <c r="K46" s="425">
        <f t="shared" si="6"/>
        <v>0</v>
      </c>
      <c r="L46" s="425">
        <f t="shared" si="6"/>
        <v>0</v>
      </c>
      <c r="M46" s="425">
        <f t="shared" si="6"/>
        <v>0</v>
      </c>
      <c r="N46" s="425">
        <f t="shared" si="6"/>
        <v>0</v>
      </c>
      <c r="O46" s="425">
        <f t="shared" si="6"/>
        <v>0</v>
      </c>
      <c r="P46" s="425">
        <f t="shared" si="6"/>
        <v>0</v>
      </c>
      <c r="Q46" s="425">
        <f t="shared" si="6"/>
        <v>0</v>
      </c>
      <c r="R46" s="425">
        <f t="shared" si="6"/>
        <v>0</v>
      </c>
      <c r="S46" s="425">
        <f t="shared" si="6"/>
        <v>0</v>
      </c>
      <c r="T46" s="425">
        <f t="shared" si="6"/>
        <v>0</v>
      </c>
      <c r="U46" s="426">
        <f t="shared" si="6"/>
        <v>0</v>
      </c>
      <c r="W46" s="67">
        <f>SUM(J46:U46)</f>
        <v>0</v>
      </c>
    </row>
    <row r="47" spans="1:23" x14ac:dyDescent="0.25">
      <c r="A47" s="11"/>
      <c r="B47" s="68"/>
      <c r="G47" s="52"/>
      <c r="H47" s="69"/>
      <c r="I47" s="69"/>
    </row>
    <row r="48" spans="1:23" ht="16.5" thickBot="1" x14ac:dyDescent="0.3">
      <c r="A48" s="11"/>
      <c r="B48" s="70" t="s">
        <v>41</v>
      </c>
      <c r="C48" s="80" t="s">
        <v>44</v>
      </c>
      <c r="D48" s="42" t="s">
        <v>220</v>
      </c>
    </row>
    <row r="49" spans="1:23" ht="15.75" thickBot="1" x14ac:dyDescent="0.3">
      <c r="A49" s="11"/>
      <c r="B49" s="71" t="s">
        <v>42</v>
      </c>
      <c r="C49" s="321" t="s">
        <v>193</v>
      </c>
      <c r="D49" s="324" t="s">
        <v>53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40"/>
    </row>
    <row r="50" spans="1:23" ht="15.75" thickBot="1" x14ac:dyDescent="0.3">
      <c r="A50" s="11"/>
      <c r="B50" s="72"/>
      <c r="C50" s="43"/>
      <c r="D50" s="43"/>
      <c r="E50" s="43"/>
      <c r="F50" s="43"/>
      <c r="G50" s="43"/>
      <c r="H50" s="42" t="s">
        <v>18</v>
      </c>
      <c r="I50" s="43"/>
      <c r="J50" s="178">
        <v>45658</v>
      </c>
      <c r="K50" s="178">
        <v>45689</v>
      </c>
      <c r="L50" s="178">
        <v>45717</v>
      </c>
      <c r="M50" s="178">
        <v>45748</v>
      </c>
      <c r="N50" s="178">
        <v>45778</v>
      </c>
      <c r="O50" s="178">
        <v>45809</v>
      </c>
      <c r="P50" s="178">
        <v>45839</v>
      </c>
      <c r="Q50" s="178">
        <v>45870</v>
      </c>
      <c r="R50" s="178">
        <v>45901</v>
      </c>
      <c r="S50" s="178">
        <v>45931</v>
      </c>
      <c r="T50" s="178">
        <v>45962</v>
      </c>
      <c r="U50" s="178">
        <v>45992</v>
      </c>
    </row>
    <row r="51" spans="1:23" ht="16.5" thickTop="1" thickBot="1" x14ac:dyDescent="0.3">
      <c r="A51" s="11"/>
      <c r="B51" s="73"/>
      <c r="C51" s="74"/>
      <c r="D51" s="74"/>
      <c r="E51" s="74"/>
      <c r="F51" s="74"/>
      <c r="G51" s="433" t="e">
        <f>H51/W16</f>
        <v>#DIV/0!</v>
      </c>
      <c r="H51" s="434">
        <f>SUM(J51:U51)</f>
        <v>0</v>
      </c>
      <c r="I51" s="76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2"/>
      <c r="W51" s="67">
        <f>SUM(J51:U51)</f>
        <v>0</v>
      </c>
    </row>
    <row r="52" spans="1:23" x14ac:dyDescent="0.25">
      <c r="A52" s="11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</row>
    <row r="53" spans="1:23" ht="15.75" thickBot="1" x14ac:dyDescent="0.3">
      <c r="A53" s="11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</row>
    <row r="54" spans="1:23" ht="15.75" thickBot="1" x14ac:dyDescent="0.3">
      <c r="A54" s="11"/>
      <c r="B54" s="71" t="s">
        <v>43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40"/>
    </row>
    <row r="55" spans="1:23" x14ac:dyDescent="0.25">
      <c r="A55" s="11"/>
      <c r="B55" s="41" t="s">
        <v>13</v>
      </c>
      <c r="C55" s="80" t="s">
        <v>44</v>
      </c>
      <c r="D55" s="42" t="s">
        <v>220</v>
      </c>
      <c r="E55" s="80" t="s">
        <v>45</v>
      </c>
      <c r="F55" s="80" t="s">
        <v>45</v>
      </c>
      <c r="G55" s="80" t="s">
        <v>46</v>
      </c>
      <c r="H55" s="81" t="s">
        <v>18</v>
      </c>
      <c r="I55" s="43"/>
      <c r="J55" s="178">
        <v>45658</v>
      </c>
      <c r="K55" s="178">
        <v>45689</v>
      </c>
      <c r="L55" s="178">
        <v>45717</v>
      </c>
      <c r="M55" s="178">
        <v>45748</v>
      </c>
      <c r="N55" s="178">
        <v>45778</v>
      </c>
      <c r="O55" s="178">
        <v>45809</v>
      </c>
      <c r="P55" s="178">
        <v>45839</v>
      </c>
      <c r="Q55" s="178">
        <v>45870</v>
      </c>
      <c r="R55" s="178">
        <v>45901</v>
      </c>
      <c r="S55" s="178">
        <v>45931</v>
      </c>
      <c r="T55" s="178">
        <v>45962</v>
      </c>
      <c r="U55" s="178">
        <v>45992</v>
      </c>
    </row>
    <row r="56" spans="1:23" x14ac:dyDescent="0.25">
      <c r="A56" s="11"/>
      <c r="B56" s="203" t="s">
        <v>20</v>
      </c>
      <c r="C56" s="83" t="s">
        <v>192</v>
      </c>
      <c r="D56" s="83" t="s">
        <v>47</v>
      </c>
      <c r="E56" s="204" t="s">
        <v>172</v>
      </c>
      <c r="F56" s="205"/>
      <c r="G56" s="206">
        <v>18.84</v>
      </c>
      <c r="H56" s="435">
        <f>SUM(J56:U56)</f>
        <v>0</v>
      </c>
      <c r="I56" s="54"/>
      <c r="J56" s="428"/>
      <c r="K56" s="428"/>
      <c r="L56" s="428"/>
      <c r="M56" s="428"/>
      <c r="N56" s="428"/>
      <c r="O56" s="428"/>
      <c r="P56" s="428"/>
      <c r="Q56" s="428"/>
      <c r="R56" s="428"/>
      <c r="S56" s="428"/>
      <c r="T56" s="428"/>
      <c r="U56" s="428"/>
    </row>
    <row r="57" spans="1:23" x14ac:dyDescent="0.25">
      <c r="A57" s="11"/>
      <c r="B57" s="102" t="s">
        <v>22</v>
      </c>
      <c r="C57" s="207" t="s">
        <v>192</v>
      </c>
      <c r="D57" s="207" t="s">
        <v>47</v>
      </c>
      <c r="E57" s="208" t="s">
        <v>172</v>
      </c>
      <c r="F57" s="209" t="s">
        <v>249</v>
      </c>
      <c r="G57" s="206">
        <v>18.84</v>
      </c>
      <c r="H57" s="435">
        <v>0</v>
      </c>
      <c r="I57" s="54"/>
      <c r="J57" s="428"/>
      <c r="K57" s="428"/>
      <c r="L57" s="428"/>
      <c r="M57" s="428"/>
      <c r="N57" s="428"/>
      <c r="O57" s="428"/>
      <c r="P57" s="428"/>
      <c r="Q57" s="428"/>
      <c r="R57" s="428"/>
      <c r="S57" s="428"/>
      <c r="T57" s="428"/>
      <c r="U57" s="428"/>
    </row>
    <row r="58" spans="1:23" x14ac:dyDescent="0.25">
      <c r="A58" s="11"/>
      <c r="B58" s="102" t="s">
        <v>25</v>
      </c>
      <c r="C58" s="207" t="s">
        <v>192</v>
      </c>
      <c r="D58" s="207" t="s">
        <v>47</v>
      </c>
      <c r="E58" s="210" t="s">
        <v>172</v>
      </c>
      <c r="F58" s="211"/>
      <c r="G58" s="206">
        <v>18.84</v>
      </c>
      <c r="H58" s="435">
        <f t="shared" ref="H58:H77" si="7">SUM(J58:U58)</f>
        <v>0</v>
      </c>
      <c r="I58" s="54"/>
      <c r="J58" s="428"/>
      <c r="K58" s="428"/>
      <c r="L58" s="428"/>
      <c r="M58" s="428"/>
      <c r="N58" s="428"/>
      <c r="O58" s="428"/>
      <c r="P58" s="428"/>
      <c r="Q58" s="428"/>
      <c r="R58" s="428"/>
      <c r="S58" s="428"/>
      <c r="T58" s="428"/>
      <c r="U58" s="428"/>
    </row>
    <row r="59" spans="1:23" x14ac:dyDescent="0.25">
      <c r="A59" s="11"/>
      <c r="B59" s="102" t="s">
        <v>30</v>
      </c>
      <c r="C59" s="207" t="s">
        <v>192</v>
      </c>
      <c r="D59" s="207" t="s">
        <v>47</v>
      </c>
      <c r="E59" s="210" t="s">
        <v>172</v>
      </c>
      <c r="F59" s="211"/>
      <c r="G59" s="206">
        <v>18.84</v>
      </c>
      <c r="H59" s="435">
        <f t="shared" si="7"/>
        <v>0</v>
      </c>
      <c r="I59" s="54"/>
      <c r="J59" s="428"/>
      <c r="K59" s="428"/>
      <c r="L59" s="428"/>
      <c r="M59" s="428"/>
      <c r="N59" s="428"/>
      <c r="O59" s="428"/>
      <c r="P59" s="428"/>
      <c r="Q59" s="428"/>
      <c r="R59" s="428"/>
      <c r="S59" s="428"/>
      <c r="T59" s="428"/>
      <c r="U59" s="428"/>
    </row>
    <row r="60" spans="1:23" x14ac:dyDescent="0.25">
      <c r="A60" s="11"/>
      <c r="B60" s="102" t="s">
        <v>222</v>
      </c>
      <c r="C60" s="207" t="s">
        <v>192</v>
      </c>
      <c r="D60" s="207" t="s">
        <v>47</v>
      </c>
      <c r="E60" s="210" t="s">
        <v>172</v>
      </c>
      <c r="F60" s="211"/>
      <c r="G60" s="206"/>
      <c r="H60" s="435">
        <f t="shared" si="7"/>
        <v>0</v>
      </c>
      <c r="I60" s="54"/>
      <c r="J60" s="428"/>
      <c r="K60" s="428"/>
      <c r="L60" s="428"/>
      <c r="M60" s="428"/>
      <c r="N60" s="428"/>
      <c r="O60" s="428"/>
      <c r="P60" s="428"/>
      <c r="Q60" s="428"/>
      <c r="R60" s="428"/>
      <c r="S60" s="428"/>
      <c r="T60" s="428"/>
      <c r="U60" s="428"/>
    </row>
    <row r="61" spans="1:23" x14ac:dyDescent="0.25">
      <c r="A61" s="11"/>
      <c r="B61" s="102" t="s">
        <v>34</v>
      </c>
      <c r="C61" s="207" t="s">
        <v>192</v>
      </c>
      <c r="D61" s="207" t="s">
        <v>47</v>
      </c>
      <c r="E61" s="210" t="s">
        <v>172</v>
      </c>
      <c r="F61" s="211"/>
      <c r="G61" s="206"/>
      <c r="H61" s="435">
        <f t="shared" si="7"/>
        <v>0</v>
      </c>
      <c r="I61" s="54"/>
      <c r="J61" s="428"/>
      <c r="K61" s="428"/>
      <c r="L61" s="428"/>
      <c r="M61" s="428"/>
      <c r="N61" s="428"/>
      <c r="O61" s="428"/>
      <c r="P61" s="428"/>
      <c r="Q61" s="428"/>
      <c r="R61" s="428"/>
      <c r="S61" s="428"/>
      <c r="T61" s="428"/>
      <c r="U61" s="428"/>
    </row>
    <row r="62" spans="1:23" x14ac:dyDescent="0.25">
      <c r="A62" s="11"/>
      <c r="B62" s="102" t="s">
        <v>37</v>
      </c>
      <c r="C62" s="207" t="s">
        <v>192</v>
      </c>
      <c r="D62" s="207" t="s">
        <v>47</v>
      </c>
      <c r="E62" s="210" t="s">
        <v>172</v>
      </c>
      <c r="F62" s="211"/>
      <c r="G62" s="206"/>
      <c r="H62" s="435">
        <f t="shared" si="7"/>
        <v>0</v>
      </c>
      <c r="I62" s="54"/>
      <c r="J62" s="428"/>
      <c r="K62" s="428"/>
      <c r="L62" s="428"/>
      <c r="M62" s="428"/>
      <c r="N62" s="428"/>
      <c r="O62" s="428"/>
      <c r="P62" s="428"/>
      <c r="Q62" s="428"/>
      <c r="R62" s="428"/>
      <c r="S62" s="428"/>
      <c r="T62" s="428"/>
      <c r="U62" s="428"/>
    </row>
    <row r="63" spans="1:23" x14ac:dyDescent="0.25">
      <c r="A63" s="11"/>
      <c r="B63" s="102" t="s">
        <v>174</v>
      </c>
      <c r="C63" s="207" t="s">
        <v>192</v>
      </c>
      <c r="D63" s="207" t="s">
        <v>47</v>
      </c>
      <c r="E63" s="210" t="s">
        <v>172</v>
      </c>
      <c r="F63" s="211"/>
      <c r="G63" s="206"/>
      <c r="H63" s="435">
        <f t="shared" si="7"/>
        <v>0</v>
      </c>
      <c r="I63" s="54"/>
      <c r="J63" s="428"/>
      <c r="K63" s="428"/>
      <c r="L63" s="428"/>
      <c r="M63" s="428"/>
      <c r="N63" s="428"/>
      <c r="O63" s="428"/>
      <c r="P63" s="428"/>
      <c r="Q63" s="428"/>
      <c r="R63" s="428"/>
      <c r="S63" s="428"/>
      <c r="T63" s="428"/>
      <c r="U63" s="428"/>
    </row>
    <row r="64" spans="1:23" x14ac:dyDescent="0.25">
      <c r="A64" s="11"/>
      <c r="B64" s="102" t="s">
        <v>175</v>
      </c>
      <c r="C64" s="207" t="s">
        <v>192</v>
      </c>
      <c r="D64" s="207" t="s">
        <v>47</v>
      </c>
      <c r="E64" s="210" t="s">
        <v>221</v>
      </c>
      <c r="F64" s="211" t="s">
        <v>224</v>
      </c>
      <c r="G64" s="206">
        <v>39.380000000000003</v>
      </c>
      <c r="H64" s="435">
        <f t="shared" si="7"/>
        <v>0</v>
      </c>
      <c r="I64" s="54"/>
      <c r="J64" s="428"/>
      <c r="K64" s="428"/>
      <c r="L64" s="428"/>
      <c r="M64" s="428"/>
      <c r="N64" s="428"/>
      <c r="O64" s="428"/>
      <c r="P64" s="428"/>
      <c r="Q64" s="428"/>
      <c r="R64" s="428"/>
      <c r="S64" s="428"/>
      <c r="T64" s="428"/>
      <c r="U64" s="428"/>
    </row>
    <row r="65" spans="1:23" x14ac:dyDescent="0.25">
      <c r="A65" s="11"/>
      <c r="B65" s="102" t="s">
        <v>176</v>
      </c>
      <c r="C65" s="207" t="s">
        <v>192</v>
      </c>
      <c r="D65" s="207" t="s">
        <v>47</v>
      </c>
      <c r="E65" s="210" t="s">
        <v>221</v>
      </c>
      <c r="F65" s="211" t="s">
        <v>224</v>
      </c>
      <c r="G65" s="206">
        <v>39.380000000000003</v>
      </c>
      <c r="H65" s="435">
        <f t="shared" si="7"/>
        <v>0</v>
      </c>
      <c r="I65" s="54"/>
      <c r="J65" s="428"/>
      <c r="K65" s="428"/>
      <c r="L65" s="428"/>
      <c r="M65" s="428"/>
      <c r="N65" s="428"/>
      <c r="O65" s="428"/>
      <c r="P65" s="428"/>
      <c r="Q65" s="428"/>
      <c r="R65" s="428"/>
      <c r="S65" s="428"/>
      <c r="T65" s="428"/>
      <c r="U65" s="428"/>
    </row>
    <row r="66" spans="1:23" x14ac:dyDescent="0.25">
      <c r="A66" s="11"/>
      <c r="B66" s="102" t="s">
        <v>23</v>
      </c>
      <c r="C66" s="207" t="s">
        <v>192</v>
      </c>
      <c r="D66" s="207" t="s">
        <v>47</v>
      </c>
      <c r="E66" s="210" t="s">
        <v>221</v>
      </c>
      <c r="F66" s="211" t="s">
        <v>224</v>
      </c>
      <c r="G66" s="206">
        <v>39.380000000000003</v>
      </c>
      <c r="H66" s="435">
        <f t="shared" si="7"/>
        <v>0</v>
      </c>
      <c r="I66" s="54"/>
      <c r="J66" s="428"/>
      <c r="K66" s="428"/>
      <c r="L66" s="428"/>
      <c r="M66" s="428"/>
      <c r="N66" s="428"/>
      <c r="O66" s="428"/>
      <c r="P66" s="428"/>
      <c r="Q66" s="428"/>
      <c r="R66" s="428"/>
      <c r="S66" s="428"/>
      <c r="T66" s="428"/>
      <c r="U66" s="428"/>
    </row>
    <row r="67" spans="1:23" x14ac:dyDescent="0.25">
      <c r="A67" s="11"/>
      <c r="B67" s="102" t="s">
        <v>24</v>
      </c>
      <c r="C67" s="207" t="s">
        <v>192</v>
      </c>
      <c r="D67" s="207" t="s">
        <v>47</v>
      </c>
      <c r="E67" s="208" t="s">
        <v>221</v>
      </c>
      <c r="F67" s="211" t="s">
        <v>224</v>
      </c>
      <c r="G67" s="206">
        <v>39.380000000000003</v>
      </c>
      <c r="H67" s="435">
        <f t="shared" si="7"/>
        <v>0</v>
      </c>
      <c r="I67" s="54"/>
      <c r="J67" s="428"/>
      <c r="K67" s="428"/>
      <c r="L67" s="428"/>
      <c r="M67" s="428"/>
      <c r="N67" s="428"/>
      <c r="O67" s="428"/>
      <c r="P67" s="428"/>
      <c r="Q67" s="428"/>
      <c r="R67" s="428"/>
      <c r="S67" s="428"/>
      <c r="T67" s="428"/>
      <c r="U67" s="428"/>
    </row>
    <row r="68" spans="1:23" x14ac:dyDescent="0.25">
      <c r="A68" s="11"/>
      <c r="B68" s="212" t="s">
        <v>26</v>
      </c>
      <c r="C68" s="207" t="s">
        <v>192</v>
      </c>
      <c r="D68" s="207" t="s">
        <v>47</v>
      </c>
      <c r="E68" s="210" t="s">
        <v>221</v>
      </c>
      <c r="F68" s="211" t="s">
        <v>224</v>
      </c>
      <c r="G68" s="206">
        <v>39.380000000000003</v>
      </c>
      <c r="H68" s="435">
        <f t="shared" si="7"/>
        <v>0</v>
      </c>
      <c r="I68" s="54"/>
      <c r="J68" s="428"/>
      <c r="K68" s="428"/>
      <c r="L68" s="428"/>
      <c r="M68" s="428"/>
      <c r="N68" s="428"/>
      <c r="O68" s="428"/>
      <c r="P68" s="428"/>
      <c r="Q68" s="428"/>
      <c r="R68" s="428"/>
      <c r="S68" s="428"/>
      <c r="T68" s="428"/>
      <c r="U68" s="428"/>
    </row>
    <row r="69" spans="1:23" x14ac:dyDescent="0.25">
      <c r="A69" s="11"/>
      <c r="B69" s="102" t="s">
        <v>27</v>
      </c>
      <c r="C69" s="207" t="s">
        <v>192</v>
      </c>
      <c r="D69" s="207" t="s">
        <v>47</v>
      </c>
      <c r="E69" s="210" t="s">
        <v>221</v>
      </c>
      <c r="F69" s="211" t="s">
        <v>224</v>
      </c>
      <c r="G69" s="206">
        <v>39.380000000000003</v>
      </c>
      <c r="H69" s="435">
        <f t="shared" si="7"/>
        <v>0</v>
      </c>
      <c r="I69" s="54"/>
      <c r="J69" s="428"/>
      <c r="K69" s="428"/>
      <c r="L69" s="428"/>
      <c r="M69" s="428"/>
      <c r="N69" s="428"/>
      <c r="O69" s="428"/>
      <c r="P69" s="428"/>
      <c r="Q69" s="428"/>
      <c r="R69" s="428"/>
      <c r="S69" s="428"/>
      <c r="T69" s="428"/>
      <c r="U69" s="428"/>
    </row>
    <row r="70" spans="1:23" x14ac:dyDescent="0.25">
      <c r="A70" s="11"/>
      <c r="B70" s="102" t="s">
        <v>28</v>
      </c>
      <c r="C70" s="207" t="s">
        <v>192</v>
      </c>
      <c r="D70" s="207" t="s">
        <v>47</v>
      </c>
      <c r="E70" s="210" t="s">
        <v>221</v>
      </c>
      <c r="F70" s="211" t="s">
        <v>224</v>
      </c>
      <c r="G70" s="206">
        <v>39.380000000000003</v>
      </c>
      <c r="H70" s="435">
        <f t="shared" si="7"/>
        <v>0</v>
      </c>
      <c r="I70" s="54"/>
      <c r="J70" s="428"/>
      <c r="K70" s="428"/>
      <c r="L70" s="428"/>
      <c r="M70" s="428"/>
      <c r="N70" s="428"/>
      <c r="O70" s="428"/>
      <c r="P70" s="428"/>
      <c r="Q70" s="428"/>
      <c r="R70" s="428"/>
      <c r="S70" s="428"/>
      <c r="T70" s="428"/>
      <c r="U70" s="428"/>
    </row>
    <row r="71" spans="1:23" x14ac:dyDescent="0.25">
      <c r="A71" s="11"/>
      <c r="B71" s="212" t="s">
        <v>29</v>
      </c>
      <c r="C71" s="207" t="s">
        <v>192</v>
      </c>
      <c r="D71" s="207" t="s">
        <v>47</v>
      </c>
      <c r="E71" s="208" t="s">
        <v>221</v>
      </c>
      <c r="F71" s="211" t="s">
        <v>224</v>
      </c>
      <c r="G71" s="206">
        <v>39.380000000000003</v>
      </c>
      <c r="H71" s="435">
        <f t="shared" si="7"/>
        <v>0</v>
      </c>
      <c r="I71" s="54"/>
      <c r="J71" s="428"/>
      <c r="K71" s="428"/>
      <c r="L71" s="428"/>
      <c r="M71" s="428"/>
      <c r="N71" s="428"/>
      <c r="O71" s="428"/>
      <c r="P71" s="428"/>
      <c r="Q71" s="428"/>
      <c r="R71" s="428"/>
      <c r="S71" s="428"/>
      <c r="T71" s="428"/>
      <c r="U71" s="428"/>
    </row>
    <row r="72" spans="1:23" x14ac:dyDescent="0.25">
      <c r="A72" s="11"/>
      <c r="B72" s="212" t="s">
        <v>31</v>
      </c>
      <c r="C72" s="207" t="s">
        <v>192</v>
      </c>
      <c r="D72" s="207" t="s">
        <v>47</v>
      </c>
      <c r="E72" s="208" t="s">
        <v>221</v>
      </c>
      <c r="F72" s="211" t="s">
        <v>224</v>
      </c>
      <c r="G72" s="206">
        <v>39.380000000000003</v>
      </c>
      <c r="H72" s="435">
        <f t="shared" si="7"/>
        <v>0</v>
      </c>
      <c r="I72" s="54"/>
      <c r="J72" s="428"/>
      <c r="K72" s="428"/>
      <c r="L72" s="428"/>
      <c r="M72" s="428"/>
      <c r="N72" s="428"/>
      <c r="O72" s="428"/>
      <c r="P72" s="428"/>
      <c r="Q72" s="428"/>
      <c r="R72" s="428"/>
      <c r="S72" s="428"/>
      <c r="T72" s="428"/>
      <c r="U72" s="428"/>
    </row>
    <row r="73" spans="1:23" x14ac:dyDescent="0.25">
      <c r="A73" s="11"/>
      <c r="B73" s="212" t="s">
        <v>32</v>
      </c>
      <c r="C73" s="207" t="s">
        <v>192</v>
      </c>
      <c r="D73" s="207" t="s">
        <v>47</v>
      </c>
      <c r="E73" s="210" t="s">
        <v>221</v>
      </c>
      <c r="F73" s="211" t="s">
        <v>224</v>
      </c>
      <c r="G73" s="206">
        <v>39.380000000000003</v>
      </c>
      <c r="H73" s="435">
        <f t="shared" si="7"/>
        <v>0</v>
      </c>
      <c r="I73" s="54"/>
      <c r="J73" s="428"/>
      <c r="K73" s="428"/>
      <c r="L73" s="428"/>
      <c r="M73" s="428"/>
      <c r="N73" s="428"/>
      <c r="O73" s="428"/>
      <c r="P73" s="428"/>
      <c r="Q73" s="428"/>
      <c r="R73" s="428"/>
      <c r="S73" s="428"/>
      <c r="T73" s="428"/>
      <c r="U73" s="428"/>
    </row>
    <row r="74" spans="1:23" x14ac:dyDescent="0.25">
      <c r="A74" s="11"/>
      <c r="B74" s="102" t="s">
        <v>33</v>
      </c>
      <c r="C74" s="207" t="s">
        <v>192</v>
      </c>
      <c r="D74" s="207" t="s">
        <v>47</v>
      </c>
      <c r="E74" s="210" t="s">
        <v>221</v>
      </c>
      <c r="F74" s="211" t="s">
        <v>224</v>
      </c>
      <c r="G74" s="206">
        <v>39.380000000000003</v>
      </c>
      <c r="H74" s="435">
        <f t="shared" si="7"/>
        <v>0</v>
      </c>
      <c r="I74" s="54"/>
      <c r="J74" s="428"/>
      <c r="K74" s="428"/>
      <c r="L74" s="428"/>
      <c r="M74" s="428"/>
      <c r="N74" s="428"/>
      <c r="O74" s="428"/>
      <c r="P74" s="428"/>
      <c r="Q74" s="428"/>
      <c r="R74" s="428"/>
      <c r="S74" s="428"/>
      <c r="T74" s="428"/>
      <c r="U74" s="428"/>
    </row>
    <row r="75" spans="1:23" x14ac:dyDescent="0.25">
      <c r="A75" s="11"/>
      <c r="B75" s="212" t="s">
        <v>35</v>
      </c>
      <c r="C75" s="207" t="s">
        <v>192</v>
      </c>
      <c r="D75" s="207" t="s">
        <v>47</v>
      </c>
      <c r="E75" s="208"/>
      <c r="F75" s="213"/>
      <c r="G75" s="206"/>
      <c r="H75" s="435">
        <f t="shared" si="7"/>
        <v>0</v>
      </c>
      <c r="I75" s="54"/>
      <c r="J75" s="428"/>
      <c r="K75" s="428"/>
      <c r="L75" s="428"/>
      <c r="M75" s="428"/>
      <c r="N75" s="428"/>
      <c r="O75" s="428"/>
      <c r="P75" s="428"/>
      <c r="Q75" s="428"/>
      <c r="R75" s="428"/>
      <c r="S75" s="428"/>
      <c r="T75" s="428"/>
      <c r="U75" s="428"/>
    </row>
    <row r="76" spans="1:23" x14ac:dyDescent="0.25">
      <c r="A76" s="11"/>
      <c r="B76" s="212" t="s">
        <v>36</v>
      </c>
      <c r="C76" s="207" t="s">
        <v>192</v>
      </c>
      <c r="D76" s="207" t="s">
        <v>47</v>
      </c>
      <c r="E76" s="208"/>
      <c r="F76" s="209"/>
      <c r="G76" s="206"/>
      <c r="H76" s="435">
        <f t="shared" si="7"/>
        <v>0</v>
      </c>
      <c r="I76" s="54"/>
      <c r="J76" s="428"/>
      <c r="K76" s="428"/>
      <c r="L76" s="428"/>
      <c r="M76" s="428"/>
      <c r="N76" s="428"/>
      <c r="O76" s="428"/>
      <c r="P76" s="428"/>
      <c r="Q76" s="428"/>
      <c r="R76" s="428"/>
      <c r="S76" s="428"/>
      <c r="T76" s="428"/>
      <c r="U76" s="428"/>
    </row>
    <row r="77" spans="1:23" ht="15.75" thickBot="1" x14ac:dyDescent="0.3">
      <c r="A77" s="84"/>
      <c r="B77" s="214" t="s">
        <v>38</v>
      </c>
      <c r="C77" s="215" t="s">
        <v>192</v>
      </c>
      <c r="D77" s="215" t="s">
        <v>47</v>
      </c>
      <c r="E77" s="216"/>
      <c r="F77" s="217"/>
      <c r="G77" s="206"/>
      <c r="H77" s="435">
        <f t="shared" si="7"/>
        <v>0</v>
      </c>
      <c r="I77" s="54"/>
      <c r="J77" s="428"/>
      <c r="K77" s="428"/>
      <c r="L77" s="428"/>
      <c r="M77" s="428"/>
      <c r="N77" s="428"/>
      <c r="O77" s="428"/>
      <c r="P77" s="428"/>
      <c r="Q77" s="428"/>
      <c r="R77" s="428"/>
      <c r="S77" s="428"/>
      <c r="T77" s="428"/>
      <c r="U77" s="428"/>
    </row>
    <row r="78" spans="1:23" ht="16.5" thickTop="1" thickBot="1" x14ac:dyDescent="0.3">
      <c r="A78" s="11"/>
      <c r="B78" s="85"/>
      <c r="C78" s="86"/>
      <c r="D78" s="86"/>
      <c r="E78" s="87"/>
      <c r="F78" s="88"/>
      <c r="G78" s="89" t="e">
        <f>H78/W16</f>
        <v>#DIV/0!</v>
      </c>
      <c r="H78" s="434">
        <f>SUM(H56:H77)</f>
        <v>0</v>
      </c>
      <c r="I78" s="76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2"/>
      <c r="W78" s="67">
        <f>SUM(J78:U78)</f>
        <v>0</v>
      </c>
    </row>
    <row r="79" spans="1:23" ht="15.75" thickBot="1" x14ac:dyDescent="0.3">
      <c r="A79" s="11"/>
      <c r="B79" s="84"/>
      <c r="C79" s="84"/>
      <c r="D79" s="84"/>
      <c r="E79" s="52"/>
      <c r="F79" s="90"/>
      <c r="G79" s="91"/>
      <c r="H79" s="92"/>
      <c r="I79" s="46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</row>
    <row r="80" spans="1:23" ht="15.75" thickBot="1" x14ac:dyDescent="0.3">
      <c r="A80" s="11"/>
      <c r="B80" s="93" t="s">
        <v>48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40"/>
    </row>
    <row r="81" spans="1:21" x14ac:dyDescent="0.25">
      <c r="A81" s="11"/>
      <c r="B81" s="94" t="s">
        <v>49</v>
      </c>
      <c r="C81" s="80" t="s">
        <v>44</v>
      </c>
      <c r="D81" s="42" t="s">
        <v>220</v>
      </c>
      <c r="E81" s="80" t="s">
        <v>50</v>
      </c>
      <c r="F81" s="80" t="s">
        <v>51</v>
      </c>
      <c r="G81" s="80" t="s">
        <v>45</v>
      </c>
      <c r="H81" s="42" t="s">
        <v>18</v>
      </c>
      <c r="I81" s="43"/>
      <c r="J81" s="178">
        <v>45658</v>
      </c>
      <c r="K81" s="178">
        <v>45689</v>
      </c>
      <c r="L81" s="178">
        <v>45717</v>
      </c>
      <c r="M81" s="178">
        <v>45748</v>
      </c>
      <c r="N81" s="178">
        <v>45778</v>
      </c>
      <c r="O81" s="178">
        <v>45809</v>
      </c>
      <c r="P81" s="178">
        <v>45839</v>
      </c>
      <c r="Q81" s="178">
        <v>45870</v>
      </c>
      <c r="R81" s="178">
        <v>45901</v>
      </c>
      <c r="S81" s="178">
        <v>45931</v>
      </c>
      <c r="T81" s="178">
        <v>45962</v>
      </c>
      <c r="U81" s="178">
        <v>45992</v>
      </c>
    </row>
    <row r="82" spans="1:21" x14ac:dyDescent="0.25">
      <c r="A82" s="11"/>
      <c r="B82" s="95" t="s">
        <v>52</v>
      </c>
      <c r="C82" s="330" t="s">
        <v>212</v>
      </c>
      <c r="D82" s="97" t="s">
        <v>53</v>
      </c>
      <c r="E82" s="98"/>
      <c r="F82" s="98"/>
      <c r="G82" s="96"/>
      <c r="H82" s="430">
        <f t="shared" ref="H82:H105" si="8">SUM(J82:U82)</f>
        <v>0</v>
      </c>
      <c r="J82" s="100"/>
      <c r="K82" s="100"/>
      <c r="L82" s="100"/>
      <c r="M82" s="100"/>
      <c r="N82" s="100"/>
      <c r="O82" s="100"/>
      <c r="P82" s="100"/>
      <c r="Q82" s="100"/>
      <c r="R82" s="100"/>
      <c r="S82" s="100"/>
      <c r="T82" s="100"/>
      <c r="U82" s="101"/>
    </row>
    <row r="83" spans="1:21" x14ac:dyDescent="0.25">
      <c r="A83" s="11"/>
      <c r="B83" s="102" t="s">
        <v>227</v>
      </c>
      <c r="C83" s="331" t="s">
        <v>213</v>
      </c>
      <c r="D83" s="104" t="s">
        <v>53</v>
      </c>
      <c r="E83" s="103">
        <v>699</v>
      </c>
      <c r="F83" s="103">
        <v>3675</v>
      </c>
      <c r="G83" s="103"/>
      <c r="H83" s="430">
        <f t="shared" si="8"/>
        <v>0</v>
      </c>
      <c r="I83" s="46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1"/>
    </row>
    <row r="84" spans="1:21" x14ac:dyDescent="0.25">
      <c r="A84" s="11"/>
      <c r="B84" s="102" t="s">
        <v>54</v>
      </c>
      <c r="C84" s="331" t="s">
        <v>216</v>
      </c>
      <c r="D84" s="104" t="s">
        <v>53</v>
      </c>
      <c r="E84" s="103">
        <v>699</v>
      </c>
      <c r="F84" s="103">
        <v>3691</v>
      </c>
      <c r="G84" s="103"/>
      <c r="H84" s="430">
        <f t="shared" si="8"/>
        <v>0</v>
      </c>
      <c r="I84" s="46"/>
      <c r="J84" s="100"/>
      <c r="K84" s="100"/>
      <c r="L84" s="100"/>
      <c r="M84" s="100"/>
      <c r="N84" s="100"/>
      <c r="O84" s="100"/>
      <c r="P84" s="100"/>
      <c r="Q84" s="100"/>
      <c r="R84" s="100"/>
      <c r="S84" s="100"/>
      <c r="T84" s="100"/>
      <c r="U84" s="101"/>
    </row>
    <row r="85" spans="1:21" x14ac:dyDescent="0.25">
      <c r="A85" s="11"/>
      <c r="B85" s="102" t="s">
        <v>55</v>
      </c>
      <c r="C85" s="331" t="s">
        <v>217</v>
      </c>
      <c r="D85" s="104" t="s">
        <v>53</v>
      </c>
      <c r="E85" s="103">
        <v>699</v>
      </c>
      <c r="F85" s="103">
        <v>3677</v>
      </c>
      <c r="G85" s="103"/>
      <c r="H85" s="430">
        <f t="shared" si="8"/>
        <v>0</v>
      </c>
      <c r="J85" s="100"/>
      <c r="K85" s="100"/>
      <c r="L85" s="100"/>
      <c r="M85" s="100"/>
      <c r="N85" s="100"/>
      <c r="O85" s="100"/>
      <c r="P85" s="100"/>
      <c r="Q85" s="100"/>
      <c r="R85" s="100"/>
      <c r="S85" s="100"/>
      <c r="T85" s="100"/>
      <c r="U85" s="101"/>
    </row>
    <row r="86" spans="1:21" x14ac:dyDescent="0.25">
      <c r="A86" s="11"/>
      <c r="B86" s="105" t="s">
        <v>228</v>
      </c>
      <c r="C86" s="103">
        <v>721</v>
      </c>
      <c r="D86" s="104" t="s">
        <v>53</v>
      </c>
      <c r="E86" s="103">
        <v>699</v>
      </c>
      <c r="F86" s="103">
        <v>3671</v>
      </c>
      <c r="G86" s="103"/>
      <c r="H86" s="430">
        <f t="shared" si="8"/>
        <v>0</v>
      </c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1"/>
    </row>
    <row r="87" spans="1:21" x14ac:dyDescent="0.25">
      <c r="A87" s="11"/>
      <c r="B87" s="105" t="s">
        <v>56</v>
      </c>
      <c r="C87" s="331" t="s">
        <v>218</v>
      </c>
      <c r="D87" s="104" t="s">
        <v>53</v>
      </c>
      <c r="E87" s="103">
        <v>699</v>
      </c>
      <c r="F87" s="103">
        <v>3669</v>
      </c>
      <c r="G87" s="103"/>
      <c r="H87" s="430">
        <f t="shared" si="8"/>
        <v>0</v>
      </c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1"/>
    </row>
    <row r="88" spans="1:21" x14ac:dyDescent="0.25">
      <c r="A88" s="11"/>
      <c r="B88" s="105" t="s">
        <v>57</v>
      </c>
      <c r="C88" s="331" t="s">
        <v>219</v>
      </c>
      <c r="D88" s="104" t="s">
        <v>53</v>
      </c>
      <c r="E88" s="103">
        <v>699</v>
      </c>
      <c r="F88" s="103">
        <v>3665</v>
      </c>
      <c r="G88" s="103"/>
      <c r="H88" s="430">
        <f t="shared" si="8"/>
        <v>0</v>
      </c>
      <c r="J88" s="100"/>
      <c r="K88" s="100"/>
      <c r="L88" s="100"/>
      <c r="M88" s="100"/>
      <c r="N88" s="100"/>
      <c r="O88" s="100"/>
      <c r="P88" s="100"/>
      <c r="Q88" s="100"/>
      <c r="R88" s="100"/>
      <c r="S88" s="100"/>
      <c r="T88" s="100"/>
      <c r="U88" s="101"/>
    </row>
    <row r="89" spans="1:21" x14ac:dyDescent="0.25">
      <c r="A89" s="11"/>
      <c r="B89" s="105" t="s">
        <v>229</v>
      </c>
      <c r="C89" s="331" t="s">
        <v>215</v>
      </c>
      <c r="D89" s="104" t="s">
        <v>53</v>
      </c>
      <c r="E89" s="103">
        <v>699</v>
      </c>
      <c r="F89" s="103">
        <v>3963</v>
      </c>
      <c r="G89" s="103"/>
      <c r="H89" s="430">
        <f t="shared" si="8"/>
        <v>0</v>
      </c>
      <c r="I89" s="46"/>
      <c r="J89" s="100"/>
      <c r="K89" s="100"/>
      <c r="L89" s="100"/>
      <c r="M89" s="100"/>
      <c r="N89" s="100"/>
      <c r="O89" s="100"/>
      <c r="P89" s="100"/>
      <c r="Q89" s="100"/>
      <c r="R89" s="100"/>
      <c r="S89" s="100"/>
      <c r="T89" s="100"/>
      <c r="U89" s="101"/>
    </row>
    <row r="90" spans="1:21" x14ac:dyDescent="0.25">
      <c r="A90" s="11"/>
      <c r="B90" s="105" t="s">
        <v>238</v>
      </c>
      <c r="C90" s="331" t="s">
        <v>214</v>
      </c>
      <c r="D90" s="104" t="s">
        <v>59</v>
      </c>
      <c r="E90" s="103"/>
      <c r="F90" s="103"/>
      <c r="G90" s="103"/>
      <c r="H90" s="430">
        <f t="shared" si="8"/>
        <v>0</v>
      </c>
      <c r="I90" s="46"/>
      <c r="J90" s="420"/>
      <c r="K90" s="420"/>
      <c r="L90" s="420"/>
      <c r="M90" s="420"/>
      <c r="N90" s="420"/>
      <c r="O90" s="420"/>
      <c r="P90" s="420"/>
      <c r="Q90" s="420"/>
      <c r="R90" s="420"/>
      <c r="S90" s="420"/>
      <c r="T90" s="420"/>
      <c r="U90" s="429"/>
    </row>
    <row r="91" spans="1:21" x14ac:dyDescent="0.25">
      <c r="A91" s="11"/>
      <c r="B91" s="105" t="s">
        <v>225</v>
      </c>
      <c r="C91" s="103">
        <v>720</v>
      </c>
      <c r="D91" s="104" t="s">
        <v>59</v>
      </c>
      <c r="E91" s="103"/>
      <c r="F91" s="103"/>
      <c r="G91" s="103"/>
      <c r="H91" s="430">
        <f t="shared" si="8"/>
        <v>0</v>
      </c>
      <c r="I91" s="46"/>
      <c r="J91" s="420">
        <f t="shared" ref="J91:U91" si="9">J115</f>
        <v>0</v>
      </c>
      <c r="K91" s="420">
        <f t="shared" si="9"/>
        <v>0</v>
      </c>
      <c r="L91" s="420">
        <f t="shared" si="9"/>
        <v>0</v>
      </c>
      <c r="M91" s="420">
        <f t="shared" si="9"/>
        <v>0</v>
      </c>
      <c r="N91" s="420">
        <f t="shared" si="9"/>
        <v>0</v>
      </c>
      <c r="O91" s="420">
        <f t="shared" si="9"/>
        <v>0</v>
      </c>
      <c r="P91" s="420">
        <f t="shared" si="9"/>
        <v>0</v>
      </c>
      <c r="Q91" s="420">
        <f t="shared" si="9"/>
        <v>0</v>
      </c>
      <c r="R91" s="420">
        <f t="shared" si="9"/>
        <v>0</v>
      </c>
      <c r="S91" s="420">
        <f t="shared" si="9"/>
        <v>0</v>
      </c>
      <c r="T91" s="420">
        <f t="shared" si="9"/>
        <v>0</v>
      </c>
      <c r="U91" s="429">
        <f t="shared" si="9"/>
        <v>0</v>
      </c>
    </row>
    <row r="92" spans="1:21" x14ac:dyDescent="0.25">
      <c r="A92" s="11"/>
      <c r="B92" s="105" t="s">
        <v>226</v>
      </c>
      <c r="C92" s="103">
        <v>720</v>
      </c>
      <c r="D92" s="104" t="s">
        <v>59</v>
      </c>
      <c r="E92" s="103"/>
      <c r="F92" s="103"/>
      <c r="G92" s="103"/>
      <c r="H92" s="430">
        <f t="shared" si="8"/>
        <v>0</v>
      </c>
      <c r="J92" s="420"/>
      <c r="K92" s="420"/>
      <c r="L92" s="420"/>
      <c r="M92" s="420"/>
      <c r="N92" s="420"/>
      <c r="O92" s="420"/>
      <c r="P92" s="420"/>
      <c r="Q92" s="420"/>
      <c r="R92" s="420"/>
      <c r="S92" s="420"/>
      <c r="T92" s="420"/>
      <c r="U92" s="429"/>
    </row>
    <row r="93" spans="1:21" x14ac:dyDescent="0.25">
      <c r="A93" s="11"/>
      <c r="B93" s="105" t="s">
        <v>205</v>
      </c>
      <c r="C93" s="103">
        <v>720</v>
      </c>
      <c r="D93" s="104" t="s">
        <v>59</v>
      </c>
      <c r="E93" s="103"/>
      <c r="F93" s="103"/>
      <c r="G93" s="103"/>
      <c r="H93" s="430">
        <f t="shared" si="8"/>
        <v>0</v>
      </c>
      <c r="J93" s="420"/>
      <c r="K93" s="420"/>
      <c r="L93" s="420"/>
      <c r="M93" s="420"/>
      <c r="N93" s="420"/>
      <c r="O93" s="420"/>
      <c r="P93" s="420"/>
      <c r="Q93" s="420"/>
      <c r="R93" s="420"/>
      <c r="S93" s="420"/>
      <c r="T93" s="420"/>
      <c r="U93" s="429"/>
    </row>
    <row r="94" spans="1:21" x14ac:dyDescent="0.25">
      <c r="A94" s="11"/>
      <c r="B94" s="105" t="s">
        <v>60</v>
      </c>
      <c r="C94" s="331" t="s">
        <v>194</v>
      </c>
      <c r="D94" s="104" t="s">
        <v>59</v>
      </c>
      <c r="E94" s="103"/>
      <c r="F94" s="103"/>
      <c r="G94" s="103"/>
      <c r="H94" s="430">
        <f t="shared" si="8"/>
        <v>0</v>
      </c>
      <c r="J94" s="420">
        <f t="shared" ref="J94:U94" si="10">J119</f>
        <v>0</v>
      </c>
      <c r="K94" s="420">
        <f t="shared" si="10"/>
        <v>0</v>
      </c>
      <c r="L94" s="420">
        <f t="shared" si="10"/>
        <v>0</v>
      </c>
      <c r="M94" s="420">
        <f t="shared" si="10"/>
        <v>0</v>
      </c>
      <c r="N94" s="420">
        <f t="shared" si="10"/>
        <v>0</v>
      </c>
      <c r="O94" s="420">
        <f t="shared" si="10"/>
        <v>0</v>
      </c>
      <c r="P94" s="420">
        <f t="shared" si="10"/>
        <v>0</v>
      </c>
      <c r="Q94" s="420">
        <f t="shared" si="10"/>
        <v>0</v>
      </c>
      <c r="R94" s="420">
        <f t="shared" si="10"/>
        <v>0</v>
      </c>
      <c r="S94" s="420">
        <f t="shared" si="10"/>
        <v>0</v>
      </c>
      <c r="T94" s="420">
        <f t="shared" si="10"/>
        <v>0</v>
      </c>
      <c r="U94" s="429">
        <f t="shared" si="10"/>
        <v>0</v>
      </c>
    </row>
    <row r="95" spans="1:21" x14ac:dyDescent="0.25">
      <c r="A95" s="11"/>
      <c r="B95" s="105" t="s">
        <v>80</v>
      </c>
      <c r="C95" s="331" t="s">
        <v>194</v>
      </c>
      <c r="D95" s="104" t="s">
        <v>59</v>
      </c>
      <c r="E95" s="103"/>
      <c r="F95" s="103"/>
      <c r="G95" s="103"/>
      <c r="H95" s="430">
        <f t="shared" si="8"/>
        <v>0</v>
      </c>
      <c r="J95" s="420">
        <f t="shared" ref="J95:U95" si="11">J120</f>
        <v>0</v>
      </c>
      <c r="K95" s="420">
        <f t="shared" si="11"/>
        <v>0</v>
      </c>
      <c r="L95" s="420">
        <f t="shared" si="11"/>
        <v>0</v>
      </c>
      <c r="M95" s="420">
        <f t="shared" si="11"/>
        <v>0</v>
      </c>
      <c r="N95" s="420">
        <f t="shared" si="11"/>
        <v>0</v>
      </c>
      <c r="O95" s="420">
        <f t="shared" si="11"/>
        <v>0</v>
      </c>
      <c r="P95" s="420">
        <f t="shared" si="11"/>
        <v>0</v>
      </c>
      <c r="Q95" s="420">
        <f t="shared" si="11"/>
        <v>0</v>
      </c>
      <c r="R95" s="420">
        <f t="shared" si="11"/>
        <v>0</v>
      </c>
      <c r="S95" s="420">
        <f t="shared" si="11"/>
        <v>0</v>
      </c>
      <c r="T95" s="420">
        <f t="shared" si="11"/>
        <v>0</v>
      </c>
      <c r="U95" s="429">
        <f t="shared" si="11"/>
        <v>0</v>
      </c>
    </row>
    <row r="96" spans="1:21" x14ac:dyDescent="0.25">
      <c r="A96" s="11"/>
      <c r="B96" s="105" t="s">
        <v>230</v>
      </c>
      <c r="C96" s="104">
        <v>305</v>
      </c>
      <c r="D96" s="332" t="s">
        <v>61</v>
      </c>
      <c r="E96" s="103"/>
      <c r="F96" s="103"/>
      <c r="G96" s="103"/>
      <c r="H96" s="430">
        <f t="shared" si="8"/>
        <v>0</v>
      </c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1"/>
    </row>
    <row r="97" spans="1:23" x14ac:dyDescent="0.25">
      <c r="A97" s="11"/>
      <c r="B97" s="105" t="s">
        <v>231</v>
      </c>
      <c r="C97" s="104">
        <v>306</v>
      </c>
      <c r="D97" s="332" t="s">
        <v>61</v>
      </c>
      <c r="E97" s="103"/>
      <c r="F97" s="103"/>
      <c r="G97" s="103"/>
      <c r="H97" s="430">
        <f t="shared" si="8"/>
        <v>0</v>
      </c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1"/>
    </row>
    <row r="98" spans="1:23" x14ac:dyDescent="0.25">
      <c r="A98" s="11"/>
      <c r="B98" s="105" t="s">
        <v>232</v>
      </c>
      <c r="C98" s="334" t="s">
        <v>195</v>
      </c>
      <c r="D98" s="332" t="s">
        <v>62</v>
      </c>
      <c r="E98" s="103"/>
      <c r="F98" s="103"/>
      <c r="G98" s="103"/>
      <c r="H98" s="430">
        <f t="shared" si="8"/>
        <v>0</v>
      </c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1"/>
    </row>
    <row r="99" spans="1:23" x14ac:dyDescent="0.25">
      <c r="A99" s="11"/>
      <c r="B99" s="105" t="s">
        <v>233</v>
      </c>
      <c r="C99" s="334" t="s">
        <v>196</v>
      </c>
      <c r="D99" s="332" t="s">
        <v>62</v>
      </c>
      <c r="E99" s="103"/>
      <c r="F99" s="103"/>
      <c r="G99" s="103"/>
      <c r="H99" s="430">
        <f t="shared" si="8"/>
        <v>0</v>
      </c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1"/>
    </row>
    <row r="100" spans="1:23" x14ac:dyDescent="0.25">
      <c r="A100" s="11"/>
      <c r="B100" s="105" t="s">
        <v>235</v>
      </c>
      <c r="C100" s="334" t="s">
        <v>197</v>
      </c>
      <c r="D100" s="104" t="s">
        <v>63</v>
      </c>
      <c r="E100" s="103"/>
      <c r="F100" s="103"/>
      <c r="G100" s="103"/>
      <c r="H100" s="430">
        <f t="shared" si="8"/>
        <v>0</v>
      </c>
      <c r="J100" s="100"/>
      <c r="K100" s="100"/>
      <c r="L100" s="100"/>
      <c r="M100" s="100"/>
      <c r="N100" s="100"/>
      <c r="O100" s="100"/>
      <c r="P100" s="100"/>
      <c r="Q100" s="100"/>
      <c r="R100" s="100"/>
      <c r="S100" s="100"/>
      <c r="T100" s="100"/>
      <c r="U100" s="101"/>
    </row>
    <row r="101" spans="1:23" x14ac:dyDescent="0.25">
      <c r="A101" s="11"/>
      <c r="B101" s="105" t="s">
        <v>64</v>
      </c>
      <c r="C101" s="334" t="s">
        <v>198</v>
      </c>
      <c r="D101" s="104" t="s">
        <v>63</v>
      </c>
      <c r="E101" s="104"/>
      <c r="F101" s="103"/>
      <c r="G101" s="344">
        <f>IFERROR(H101/$W$16,0)</f>
        <v>0</v>
      </c>
      <c r="H101" s="430">
        <f t="shared" si="8"/>
        <v>0</v>
      </c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1"/>
    </row>
    <row r="102" spans="1:23" x14ac:dyDescent="0.25">
      <c r="A102" s="11"/>
      <c r="B102" s="105" t="s">
        <v>65</v>
      </c>
      <c r="C102" s="334" t="s">
        <v>199</v>
      </c>
      <c r="D102" s="104" t="s">
        <v>63</v>
      </c>
      <c r="E102" s="104">
        <v>365</v>
      </c>
      <c r="F102" s="103"/>
      <c r="G102" s="103"/>
      <c r="H102" s="430">
        <f t="shared" si="8"/>
        <v>0</v>
      </c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1"/>
    </row>
    <row r="103" spans="1:23" x14ac:dyDescent="0.25">
      <c r="A103" s="11"/>
      <c r="B103" s="105" t="s">
        <v>66</v>
      </c>
      <c r="C103" s="334" t="s">
        <v>200</v>
      </c>
      <c r="D103" s="104" t="s">
        <v>67</v>
      </c>
      <c r="E103" s="103">
        <v>338</v>
      </c>
      <c r="F103" s="103"/>
      <c r="G103" s="344">
        <v>0.33</v>
      </c>
      <c r="H103" s="430">
        <f t="shared" si="8"/>
        <v>0</v>
      </c>
      <c r="I103" s="46"/>
      <c r="J103" s="420">
        <f t="shared" ref="J103:U103" si="12">$G$103*J16</f>
        <v>0</v>
      </c>
      <c r="K103" s="420">
        <f t="shared" si="12"/>
        <v>0</v>
      </c>
      <c r="L103" s="420">
        <f t="shared" si="12"/>
        <v>0</v>
      </c>
      <c r="M103" s="420">
        <f t="shared" si="12"/>
        <v>0</v>
      </c>
      <c r="N103" s="420">
        <f t="shared" si="12"/>
        <v>0</v>
      </c>
      <c r="O103" s="420">
        <f t="shared" si="12"/>
        <v>0</v>
      </c>
      <c r="P103" s="420">
        <f t="shared" si="12"/>
        <v>0</v>
      </c>
      <c r="Q103" s="420">
        <f t="shared" si="12"/>
        <v>0</v>
      </c>
      <c r="R103" s="420">
        <f t="shared" si="12"/>
        <v>0</v>
      </c>
      <c r="S103" s="420">
        <f t="shared" si="12"/>
        <v>0</v>
      </c>
      <c r="T103" s="420">
        <f t="shared" si="12"/>
        <v>0</v>
      </c>
      <c r="U103" s="420">
        <f t="shared" si="12"/>
        <v>0</v>
      </c>
    </row>
    <row r="104" spans="1:23" x14ac:dyDescent="0.25">
      <c r="A104" s="11"/>
      <c r="B104" s="105" t="s">
        <v>234</v>
      </c>
      <c r="C104" s="104">
        <v>351</v>
      </c>
      <c r="D104" s="104" t="s">
        <v>67</v>
      </c>
      <c r="E104" s="103">
        <v>324</v>
      </c>
      <c r="F104" s="103"/>
      <c r="G104" s="349">
        <v>1.6000000000000001E-3</v>
      </c>
      <c r="H104" s="430">
        <f t="shared" si="8"/>
        <v>0</v>
      </c>
      <c r="J104" s="420">
        <f t="shared" ref="J104:U104" si="13">$G$104*J46/100</f>
        <v>0</v>
      </c>
      <c r="K104" s="420">
        <f t="shared" si="13"/>
        <v>0</v>
      </c>
      <c r="L104" s="420">
        <f t="shared" si="13"/>
        <v>0</v>
      </c>
      <c r="M104" s="420">
        <f t="shared" si="13"/>
        <v>0</v>
      </c>
      <c r="N104" s="420">
        <f t="shared" si="13"/>
        <v>0</v>
      </c>
      <c r="O104" s="420">
        <f t="shared" si="13"/>
        <v>0</v>
      </c>
      <c r="P104" s="420">
        <f t="shared" si="13"/>
        <v>0</v>
      </c>
      <c r="Q104" s="420">
        <f t="shared" si="13"/>
        <v>0</v>
      </c>
      <c r="R104" s="420">
        <f t="shared" si="13"/>
        <v>0</v>
      </c>
      <c r="S104" s="420">
        <f t="shared" si="13"/>
        <v>0</v>
      </c>
      <c r="T104" s="420">
        <f t="shared" si="13"/>
        <v>0</v>
      </c>
      <c r="U104" s="420">
        <f t="shared" si="13"/>
        <v>0</v>
      </c>
    </row>
    <row r="105" spans="1:23" x14ac:dyDescent="0.25">
      <c r="A105" s="11"/>
      <c r="B105" s="106" t="s">
        <v>68</v>
      </c>
      <c r="C105" s="333" t="s">
        <v>201</v>
      </c>
      <c r="D105" s="107" t="s">
        <v>67</v>
      </c>
      <c r="E105" s="107"/>
      <c r="F105" s="108"/>
      <c r="G105" s="344">
        <v>3.75</v>
      </c>
      <c r="H105" s="430">
        <f t="shared" si="8"/>
        <v>0</v>
      </c>
      <c r="J105" s="420">
        <f t="shared" ref="J105:U105" si="14">$G$105*J16</f>
        <v>0</v>
      </c>
      <c r="K105" s="420">
        <f t="shared" si="14"/>
        <v>0</v>
      </c>
      <c r="L105" s="420">
        <f t="shared" si="14"/>
        <v>0</v>
      </c>
      <c r="M105" s="420">
        <f t="shared" si="14"/>
        <v>0</v>
      </c>
      <c r="N105" s="420">
        <f t="shared" si="14"/>
        <v>0</v>
      </c>
      <c r="O105" s="420">
        <f t="shared" si="14"/>
        <v>0</v>
      </c>
      <c r="P105" s="420">
        <f t="shared" si="14"/>
        <v>0</v>
      </c>
      <c r="Q105" s="420">
        <f t="shared" si="14"/>
        <v>0</v>
      </c>
      <c r="R105" s="420">
        <f t="shared" si="14"/>
        <v>0</v>
      </c>
      <c r="S105" s="420">
        <f t="shared" si="14"/>
        <v>0</v>
      </c>
      <c r="T105" s="420">
        <f t="shared" si="14"/>
        <v>0</v>
      </c>
      <c r="U105" s="420">
        <f t="shared" si="14"/>
        <v>0</v>
      </c>
    </row>
    <row r="106" spans="1:23" x14ac:dyDescent="0.25">
      <c r="B106" s="11"/>
      <c r="U106" s="109"/>
    </row>
    <row r="107" spans="1:23" ht="15.75" thickBot="1" x14ac:dyDescent="0.3">
      <c r="A107" s="11"/>
      <c r="B107" s="110" t="s">
        <v>69</v>
      </c>
      <c r="C107" s="33"/>
      <c r="D107" s="33"/>
      <c r="E107" s="33"/>
      <c r="F107" s="33"/>
      <c r="G107" s="436">
        <f>IFERROR(H107/B127,0)</f>
        <v>0</v>
      </c>
      <c r="H107" s="425">
        <f>SUM(H82:H105)</f>
        <v>0</v>
      </c>
      <c r="I107" s="112"/>
      <c r="J107" s="425">
        <f t="shared" ref="J107:U107" si="15">SUM(J82:J105)</f>
        <v>0</v>
      </c>
      <c r="K107" s="425">
        <f t="shared" si="15"/>
        <v>0</v>
      </c>
      <c r="L107" s="425">
        <f t="shared" si="15"/>
        <v>0</v>
      </c>
      <c r="M107" s="425">
        <f t="shared" si="15"/>
        <v>0</v>
      </c>
      <c r="N107" s="425">
        <f t="shared" si="15"/>
        <v>0</v>
      </c>
      <c r="O107" s="425">
        <f t="shared" si="15"/>
        <v>0</v>
      </c>
      <c r="P107" s="425">
        <f t="shared" si="15"/>
        <v>0</v>
      </c>
      <c r="Q107" s="425">
        <f t="shared" si="15"/>
        <v>0</v>
      </c>
      <c r="R107" s="425">
        <f t="shared" si="15"/>
        <v>0</v>
      </c>
      <c r="S107" s="425">
        <f t="shared" si="15"/>
        <v>0</v>
      </c>
      <c r="T107" s="425">
        <f t="shared" si="15"/>
        <v>0</v>
      </c>
      <c r="U107" s="426">
        <f t="shared" si="15"/>
        <v>0</v>
      </c>
    </row>
    <row r="108" spans="1:23" ht="15.75" thickBot="1" x14ac:dyDescent="0.3"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</row>
    <row r="109" spans="1:23" ht="16.5" thickTop="1" thickBot="1" x14ac:dyDescent="0.3">
      <c r="B109" s="113" t="s">
        <v>70</v>
      </c>
      <c r="C109" s="114"/>
      <c r="D109" s="114"/>
      <c r="E109" s="114"/>
      <c r="F109" s="114"/>
      <c r="G109" s="115"/>
      <c r="H109" s="431">
        <f>H51+H78+H107</f>
        <v>0</v>
      </c>
      <c r="I109" s="115"/>
      <c r="J109" s="431">
        <f t="shared" ref="J109:U109" si="16">J51+J78+J107</f>
        <v>0</v>
      </c>
      <c r="K109" s="431">
        <f t="shared" si="16"/>
        <v>0</v>
      </c>
      <c r="L109" s="431">
        <f t="shared" si="16"/>
        <v>0</v>
      </c>
      <c r="M109" s="431">
        <f t="shared" si="16"/>
        <v>0</v>
      </c>
      <c r="N109" s="431">
        <f t="shared" si="16"/>
        <v>0</v>
      </c>
      <c r="O109" s="431">
        <f t="shared" si="16"/>
        <v>0</v>
      </c>
      <c r="P109" s="431">
        <f t="shared" si="16"/>
        <v>0</v>
      </c>
      <c r="Q109" s="431">
        <f t="shared" si="16"/>
        <v>0</v>
      </c>
      <c r="R109" s="431">
        <f t="shared" si="16"/>
        <v>0</v>
      </c>
      <c r="S109" s="431">
        <f t="shared" si="16"/>
        <v>0</v>
      </c>
      <c r="T109" s="431">
        <f t="shared" si="16"/>
        <v>0</v>
      </c>
      <c r="U109" s="432">
        <f t="shared" si="16"/>
        <v>0</v>
      </c>
      <c r="W109" s="67">
        <f>SUM(J109:U109)</f>
        <v>0</v>
      </c>
    </row>
    <row r="110" spans="1:23" ht="15.75" thickBot="1" x14ac:dyDescent="0.3">
      <c r="J110" s="222"/>
      <c r="K110" s="222"/>
      <c r="L110" s="222"/>
    </row>
    <row r="111" spans="1:23" ht="16.5" thickTop="1" thickBot="1" x14ac:dyDescent="0.3">
      <c r="B111" s="113" t="s">
        <v>71</v>
      </c>
      <c r="C111" s="114"/>
      <c r="D111" s="114"/>
      <c r="E111" s="114"/>
      <c r="F111" s="114"/>
      <c r="G111" s="114"/>
      <c r="H111" s="431">
        <f>H46-H109</f>
        <v>0</v>
      </c>
      <c r="I111" s="115"/>
      <c r="J111" s="431">
        <f t="shared" ref="J111:U111" si="17">J46-J109</f>
        <v>0</v>
      </c>
      <c r="K111" s="431">
        <f t="shared" si="17"/>
        <v>0</v>
      </c>
      <c r="L111" s="431">
        <f t="shared" si="17"/>
        <v>0</v>
      </c>
      <c r="M111" s="431">
        <f t="shared" si="17"/>
        <v>0</v>
      </c>
      <c r="N111" s="431">
        <f t="shared" si="17"/>
        <v>0</v>
      </c>
      <c r="O111" s="431">
        <f t="shared" si="17"/>
        <v>0</v>
      </c>
      <c r="P111" s="431">
        <f t="shared" si="17"/>
        <v>0</v>
      </c>
      <c r="Q111" s="431">
        <f t="shared" si="17"/>
        <v>0</v>
      </c>
      <c r="R111" s="431">
        <f t="shared" si="17"/>
        <v>0</v>
      </c>
      <c r="S111" s="431">
        <f t="shared" si="17"/>
        <v>0</v>
      </c>
      <c r="T111" s="431">
        <f t="shared" si="17"/>
        <v>0</v>
      </c>
      <c r="U111" s="432">
        <f t="shared" si="17"/>
        <v>0</v>
      </c>
      <c r="W111" s="67">
        <f>SUM(J111:U111)</f>
        <v>0</v>
      </c>
    </row>
    <row r="112" spans="1:23" ht="15.75" thickBot="1" x14ac:dyDescent="0.3">
      <c r="K112" s="131"/>
    </row>
    <row r="113" spans="2:21" x14ac:dyDescent="0.25">
      <c r="B113" s="71" t="s">
        <v>72</v>
      </c>
      <c r="C113" s="80" t="s">
        <v>44</v>
      </c>
      <c r="D113" s="42" t="s">
        <v>220</v>
      </c>
      <c r="E113" s="42" t="s">
        <v>203</v>
      </c>
      <c r="F113" s="42" t="s">
        <v>240</v>
      </c>
      <c r="G113" s="42" t="s">
        <v>239</v>
      </c>
      <c r="H113" s="9"/>
      <c r="I113" s="118"/>
      <c r="J113" s="448" t="s">
        <v>73</v>
      </c>
      <c r="K113" s="448"/>
      <c r="L113" s="448"/>
      <c r="M113" s="448"/>
      <c r="N113" s="448"/>
      <c r="O113" s="448"/>
      <c r="P113" s="448"/>
      <c r="Q113" s="448"/>
      <c r="R113" s="448"/>
      <c r="S113" s="448"/>
      <c r="T113" s="448"/>
      <c r="U113" s="449"/>
    </row>
    <row r="114" spans="2:21" x14ac:dyDescent="0.25">
      <c r="B114" s="119" t="s">
        <v>74</v>
      </c>
      <c r="C114" s="340">
        <v>720</v>
      </c>
      <c r="D114" s="120" t="s">
        <v>59</v>
      </c>
      <c r="E114" s="121" t="s">
        <v>75</v>
      </c>
      <c r="F114" s="123"/>
      <c r="G114" s="345"/>
      <c r="H114" s="122"/>
      <c r="J114" s="123"/>
      <c r="K114" s="123"/>
      <c r="L114" s="123"/>
      <c r="M114" s="123"/>
      <c r="N114" s="123"/>
      <c r="O114" s="123"/>
      <c r="P114" s="123"/>
      <c r="Q114" s="123"/>
      <c r="R114" s="123"/>
      <c r="S114" s="123"/>
      <c r="T114" s="123"/>
      <c r="U114" s="124"/>
    </row>
    <row r="115" spans="2:21" x14ac:dyDescent="0.25">
      <c r="B115" s="119" t="s">
        <v>76</v>
      </c>
      <c r="C115" s="340">
        <v>720</v>
      </c>
      <c r="D115" s="120" t="s">
        <v>59</v>
      </c>
      <c r="E115" s="121" t="s">
        <v>75</v>
      </c>
      <c r="F115" s="123"/>
      <c r="G115" s="345">
        <f>IFERROR(H115/F115,0)</f>
        <v>0</v>
      </c>
      <c r="H115" s="122"/>
      <c r="J115" s="123"/>
      <c r="K115" s="123"/>
      <c r="L115" s="123"/>
      <c r="M115" s="123"/>
      <c r="N115" s="123"/>
      <c r="O115" s="123"/>
      <c r="P115" s="123"/>
      <c r="Q115" s="123"/>
      <c r="R115" s="123"/>
      <c r="S115" s="123"/>
      <c r="T115" s="123"/>
      <c r="U115" s="124"/>
    </row>
    <row r="116" spans="2:21" x14ac:dyDescent="0.25">
      <c r="B116" s="119" t="s">
        <v>77</v>
      </c>
      <c r="C116" s="340">
        <v>720</v>
      </c>
      <c r="D116" s="120" t="s">
        <v>59</v>
      </c>
      <c r="E116" s="121" t="s">
        <v>75</v>
      </c>
      <c r="F116" s="123"/>
      <c r="G116" s="345"/>
      <c r="H116" s="122"/>
      <c r="J116" s="123"/>
      <c r="K116" s="123"/>
      <c r="L116" s="123"/>
      <c r="M116" s="123"/>
      <c r="N116" s="123"/>
      <c r="O116" s="123"/>
      <c r="P116" s="123"/>
      <c r="Q116" s="123"/>
      <c r="R116" s="123"/>
      <c r="S116" s="123"/>
      <c r="T116" s="123"/>
      <c r="U116" s="124"/>
    </row>
    <row r="117" spans="2:21" x14ac:dyDescent="0.25">
      <c r="B117" s="119" t="s">
        <v>78</v>
      </c>
      <c r="C117" s="340">
        <v>720</v>
      </c>
      <c r="D117" s="120" t="s">
        <v>59</v>
      </c>
      <c r="E117" s="121" t="s">
        <v>75</v>
      </c>
      <c r="F117" s="123"/>
      <c r="G117" s="345"/>
      <c r="H117" s="122"/>
      <c r="J117" s="123"/>
      <c r="K117" s="123"/>
      <c r="L117" s="123"/>
      <c r="M117" s="123"/>
      <c r="N117" s="123"/>
      <c r="O117" s="123"/>
      <c r="P117" s="123"/>
      <c r="Q117" s="123"/>
      <c r="R117" s="123"/>
      <c r="S117" s="123"/>
      <c r="T117" s="123"/>
      <c r="U117" s="124"/>
    </row>
    <row r="118" spans="2:21" x14ac:dyDescent="0.25">
      <c r="B118" s="119" t="s">
        <v>205</v>
      </c>
      <c r="C118" s="340">
        <v>720</v>
      </c>
      <c r="D118" s="120" t="s">
        <v>59</v>
      </c>
      <c r="E118" s="121" t="s">
        <v>206</v>
      </c>
      <c r="F118" s="123"/>
      <c r="G118" s="345"/>
      <c r="H118" s="122"/>
      <c r="J118" s="123"/>
      <c r="K118" s="123"/>
      <c r="L118" s="123"/>
      <c r="M118" s="123"/>
      <c r="N118" s="123"/>
      <c r="O118" s="123"/>
      <c r="P118" s="123"/>
      <c r="Q118" s="123"/>
      <c r="R118" s="123"/>
      <c r="S118" s="123"/>
      <c r="T118" s="123"/>
      <c r="U118" s="124"/>
    </row>
    <row r="119" spans="2:21" x14ac:dyDescent="0.25">
      <c r="B119" s="119" t="s">
        <v>60</v>
      </c>
      <c r="C119" s="341" t="s">
        <v>194</v>
      </c>
      <c r="D119" s="120" t="s">
        <v>59</v>
      </c>
      <c r="E119" s="121" t="s">
        <v>79</v>
      </c>
      <c r="F119" s="123"/>
      <c r="G119" s="345">
        <f>IFERROR(H119/F119,0)</f>
        <v>0</v>
      </c>
      <c r="H119" s="122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4"/>
    </row>
    <row r="120" spans="2:21" x14ac:dyDescent="0.25">
      <c r="B120" s="119" t="s">
        <v>80</v>
      </c>
      <c r="C120" s="341" t="s">
        <v>194</v>
      </c>
      <c r="D120" s="120" t="s">
        <v>59</v>
      </c>
      <c r="E120" s="121" t="s">
        <v>81</v>
      </c>
      <c r="F120" s="123"/>
      <c r="G120" s="345">
        <f>IFERROR(H120/F120,0)</f>
        <v>0</v>
      </c>
      <c r="H120" s="122"/>
      <c r="J120" s="123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339"/>
    </row>
    <row r="121" spans="2:21" x14ac:dyDescent="0.25">
      <c r="B121" s="336" t="s">
        <v>237</v>
      </c>
      <c r="C121" s="342" t="s">
        <v>195</v>
      </c>
      <c r="D121" s="337" t="s">
        <v>62</v>
      </c>
      <c r="E121" s="338" t="s">
        <v>79</v>
      </c>
      <c r="F121" s="123"/>
      <c r="G121" s="345"/>
      <c r="H121" s="122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339"/>
    </row>
    <row r="122" spans="2:21" ht="15.75" thickBot="1" x14ac:dyDescent="0.3">
      <c r="B122" s="125" t="s">
        <v>236</v>
      </c>
      <c r="C122" s="343" t="s">
        <v>195</v>
      </c>
      <c r="D122" s="126" t="s">
        <v>62</v>
      </c>
      <c r="E122" s="127" t="s">
        <v>81</v>
      </c>
      <c r="F122" s="381"/>
      <c r="G122" s="346"/>
      <c r="H122" s="128">
        <v>0</v>
      </c>
      <c r="I122" s="33"/>
      <c r="J122" s="129"/>
      <c r="K122" s="129"/>
      <c r="L122" s="129"/>
      <c r="M122" s="129"/>
      <c r="N122" s="129"/>
      <c r="O122" s="129"/>
      <c r="P122" s="129"/>
      <c r="Q122" s="129"/>
      <c r="R122" s="129"/>
      <c r="S122" s="129"/>
      <c r="T122" s="129"/>
      <c r="U122" s="130"/>
    </row>
    <row r="123" spans="2:21" x14ac:dyDescent="0.25">
      <c r="J123" s="131"/>
      <c r="K123" s="131"/>
      <c r="L123" s="131"/>
      <c r="M123" s="131"/>
      <c r="N123" s="131"/>
      <c r="O123" s="131"/>
      <c r="P123" s="131"/>
      <c r="Q123" s="131"/>
      <c r="R123" s="131"/>
      <c r="S123" s="131"/>
      <c r="T123" s="131"/>
      <c r="U123" s="131"/>
    </row>
    <row r="124" spans="2:21" ht="15.75" thickBot="1" x14ac:dyDescent="0.3">
      <c r="J124" s="131"/>
      <c r="K124" s="131"/>
      <c r="L124" s="131"/>
      <c r="M124" s="131"/>
      <c r="N124" s="131"/>
      <c r="O124" s="131"/>
      <c r="P124" s="131"/>
      <c r="Q124" s="131"/>
      <c r="R124" s="131"/>
      <c r="S124" s="131"/>
      <c r="T124" s="131"/>
      <c r="U124" s="131"/>
    </row>
    <row r="125" spans="2:21" x14ac:dyDescent="0.25">
      <c r="B125" s="71" t="s">
        <v>82</v>
      </c>
      <c r="C125" s="9"/>
      <c r="D125" s="9"/>
      <c r="E125" s="9"/>
      <c r="F125" s="9"/>
      <c r="G125" s="40"/>
      <c r="J125" s="131"/>
      <c r="K125" s="131"/>
      <c r="L125" s="131"/>
      <c r="M125" s="131"/>
      <c r="N125" s="131"/>
      <c r="O125" s="131"/>
      <c r="P125" s="131"/>
      <c r="Q125" s="131"/>
      <c r="R125" s="131"/>
      <c r="S125" s="131"/>
      <c r="T125" s="131"/>
      <c r="U125" s="131"/>
    </row>
    <row r="126" spans="2:21" x14ac:dyDescent="0.25">
      <c r="B126" s="132" t="s">
        <v>83</v>
      </c>
      <c r="C126" s="43" t="s">
        <v>84</v>
      </c>
      <c r="D126"/>
      <c r="E126"/>
      <c r="F126" s="450" t="s">
        <v>85</v>
      </c>
      <c r="G126" s="451"/>
      <c r="I126" s="131"/>
      <c r="J126" s="131"/>
      <c r="K126" s="131"/>
      <c r="L126" s="131"/>
      <c r="M126" s="131"/>
      <c r="N126" s="131"/>
      <c r="O126" s="131"/>
      <c r="P126" s="131"/>
      <c r="Q126" s="131"/>
      <c r="R126" s="131"/>
      <c r="S126" s="131"/>
      <c r="T126" s="131"/>
    </row>
    <row r="127" spans="2:21" ht="18.75" x14ac:dyDescent="0.3">
      <c r="B127" s="133">
        <f>W16</f>
        <v>0</v>
      </c>
      <c r="C127" s="134"/>
      <c r="D127" s="134"/>
      <c r="E127" s="134"/>
      <c r="F127" s="135"/>
      <c r="G127" s="136"/>
      <c r="I127" s="131"/>
      <c r="J127" s="131"/>
      <c r="K127" s="131"/>
      <c r="L127" s="131"/>
      <c r="M127" s="131"/>
      <c r="N127" s="131"/>
      <c r="O127" s="131"/>
      <c r="P127" s="131"/>
      <c r="Q127" s="131"/>
      <c r="R127" s="131"/>
      <c r="S127" s="131"/>
      <c r="T127" s="131"/>
    </row>
    <row r="128" spans="2:21" x14ac:dyDescent="0.25">
      <c r="B128" s="137" t="s">
        <v>86</v>
      </c>
      <c r="C128" s="134"/>
      <c r="D128" s="134"/>
      <c r="E128" s="138">
        <f>H46</f>
        <v>0</v>
      </c>
      <c r="F128" s="135"/>
      <c r="G128" s="139" t="e">
        <f>E128/$B$127</f>
        <v>#DIV/0!</v>
      </c>
      <c r="I128" s="131"/>
      <c r="J128" s="131"/>
      <c r="K128" s="131"/>
      <c r="L128" s="131"/>
      <c r="M128" s="131"/>
      <c r="N128" s="131"/>
      <c r="O128" s="131"/>
      <c r="P128" s="131"/>
      <c r="Q128" s="131"/>
      <c r="R128" s="131"/>
      <c r="S128" s="131"/>
      <c r="T128" s="131"/>
    </row>
    <row r="129" spans="2:21" ht="9" customHeight="1" x14ac:dyDescent="0.25">
      <c r="B129" s="11"/>
      <c r="C129" s="134"/>
      <c r="D129" s="134"/>
      <c r="E129" s="134"/>
      <c r="F129" s="135"/>
      <c r="G129" s="136"/>
      <c r="I129" s="131"/>
      <c r="J129" s="131"/>
      <c r="K129" s="131"/>
      <c r="L129" s="131"/>
      <c r="M129" s="131"/>
      <c r="N129" s="131"/>
      <c r="O129" s="131"/>
      <c r="P129" s="131"/>
      <c r="Q129" s="131"/>
      <c r="R129" s="131"/>
      <c r="S129" s="131"/>
      <c r="T129" s="131"/>
    </row>
    <row r="130" spans="2:21" x14ac:dyDescent="0.25">
      <c r="B130" s="137" t="s">
        <v>87</v>
      </c>
      <c r="C130" s="134"/>
      <c r="D130" s="134"/>
      <c r="E130" s="134"/>
      <c r="F130" s="135"/>
      <c r="G130" s="136"/>
      <c r="I130" s="131"/>
      <c r="J130" s="131"/>
      <c r="K130" s="131"/>
      <c r="L130" s="131"/>
      <c r="M130" s="131"/>
      <c r="N130" s="131"/>
      <c r="O130" s="131"/>
      <c r="P130" s="131"/>
      <c r="Q130" s="131"/>
      <c r="R130" s="131"/>
      <c r="S130" s="131"/>
      <c r="T130" s="131"/>
    </row>
    <row r="131" spans="2:21" x14ac:dyDescent="0.25">
      <c r="B131" s="24" t="s">
        <v>88</v>
      </c>
      <c r="C131" s="138">
        <f>H51+H82+H83+H84+H89</f>
        <v>0</v>
      </c>
      <c r="D131" s="138"/>
      <c r="E131" s="134"/>
      <c r="F131" s="140" t="e">
        <f t="shared" ref="F131:F138" si="18">C131/$B$127</f>
        <v>#DIV/0!</v>
      </c>
      <c r="G131" s="136"/>
      <c r="I131" s="131"/>
      <c r="J131" s="131"/>
      <c r="K131" s="131"/>
      <c r="L131" s="131"/>
      <c r="M131" s="131"/>
      <c r="N131" s="131"/>
      <c r="O131" s="131"/>
      <c r="P131" s="131"/>
      <c r="Q131" s="131"/>
      <c r="R131" s="131"/>
      <c r="S131" s="131"/>
      <c r="T131" s="131"/>
    </row>
    <row r="132" spans="2:21" x14ac:dyDescent="0.25">
      <c r="B132" s="24" t="s">
        <v>89</v>
      </c>
      <c r="C132" s="138">
        <f>H78</f>
        <v>0</v>
      </c>
      <c r="D132" s="138"/>
      <c r="E132" s="134"/>
      <c r="F132" s="140" t="e">
        <f t="shared" si="18"/>
        <v>#DIV/0!</v>
      </c>
      <c r="G132" s="136"/>
      <c r="I132" s="131"/>
      <c r="J132" s="131"/>
      <c r="K132" s="131"/>
      <c r="L132" s="131"/>
      <c r="M132" s="131"/>
      <c r="N132" s="131"/>
      <c r="O132" s="131"/>
      <c r="P132" s="131"/>
      <c r="Q132" s="131"/>
      <c r="R132" s="131"/>
      <c r="S132" s="131"/>
      <c r="T132" s="131"/>
    </row>
    <row r="133" spans="2:21" x14ac:dyDescent="0.25">
      <c r="B133" s="24" t="s">
        <v>59</v>
      </c>
      <c r="C133" s="138">
        <f>H90+H91+H92</f>
        <v>0</v>
      </c>
      <c r="D133" s="138"/>
      <c r="E133" s="134"/>
      <c r="F133" s="140" t="e">
        <f t="shared" si="18"/>
        <v>#DIV/0!</v>
      </c>
      <c r="G133" s="136"/>
      <c r="I133" s="131"/>
      <c r="J133" s="131"/>
      <c r="K133" s="131"/>
      <c r="L133" s="131"/>
      <c r="M133" s="131"/>
      <c r="N133" s="131"/>
      <c r="O133" s="131"/>
      <c r="P133" s="131"/>
      <c r="Q133" s="131"/>
      <c r="R133" s="131"/>
      <c r="S133" s="131"/>
      <c r="T133" s="131"/>
    </row>
    <row r="134" spans="2:21" x14ac:dyDescent="0.25">
      <c r="B134" s="24" t="s">
        <v>90</v>
      </c>
      <c r="C134" s="138">
        <f>H95+H96</f>
        <v>0</v>
      </c>
      <c r="D134" s="138"/>
      <c r="E134" s="134"/>
      <c r="F134" s="140" t="e">
        <f t="shared" si="18"/>
        <v>#DIV/0!</v>
      </c>
      <c r="G134" s="136"/>
      <c r="I134" s="131"/>
      <c r="J134" s="131"/>
      <c r="K134" s="131"/>
      <c r="L134" s="131"/>
      <c r="M134" s="131"/>
      <c r="N134" s="131"/>
      <c r="O134" s="131"/>
      <c r="P134" s="131"/>
      <c r="Q134" s="131"/>
      <c r="R134" s="131"/>
      <c r="S134" s="131"/>
      <c r="T134" s="131"/>
    </row>
    <row r="135" spans="2:21" x14ac:dyDescent="0.25">
      <c r="B135" s="24" t="s">
        <v>91</v>
      </c>
      <c r="C135" s="138">
        <f>H97+H98</f>
        <v>0</v>
      </c>
      <c r="D135" s="138"/>
      <c r="E135" s="134"/>
      <c r="F135" s="140" t="e">
        <f t="shared" si="18"/>
        <v>#DIV/0!</v>
      </c>
      <c r="G135" s="136"/>
      <c r="I135" s="131"/>
      <c r="J135" s="131"/>
      <c r="K135" s="131"/>
      <c r="L135" s="131"/>
      <c r="M135" s="131"/>
      <c r="N135" s="131"/>
      <c r="O135" s="131"/>
      <c r="P135" s="131"/>
      <c r="Q135" s="131"/>
      <c r="R135" s="131"/>
      <c r="S135" s="131"/>
      <c r="T135" s="131"/>
    </row>
    <row r="136" spans="2:21" x14ac:dyDescent="0.25">
      <c r="B136" s="24" t="s">
        <v>63</v>
      </c>
      <c r="C136" s="138">
        <f>H99+H100+H101+H102</f>
        <v>0</v>
      </c>
      <c r="D136" s="138"/>
      <c r="E136" s="134"/>
      <c r="F136" s="140" t="e">
        <f t="shared" si="18"/>
        <v>#DIV/0!</v>
      </c>
      <c r="G136" s="136"/>
      <c r="I136" s="131"/>
      <c r="J136" s="131"/>
      <c r="K136" s="131"/>
      <c r="L136" s="131"/>
      <c r="M136" s="131"/>
      <c r="N136" s="131"/>
      <c r="O136" s="131"/>
      <c r="P136" s="131"/>
      <c r="Q136" s="131"/>
      <c r="R136" s="131"/>
      <c r="S136" s="131"/>
      <c r="T136" s="131"/>
    </row>
    <row r="137" spans="2:21" x14ac:dyDescent="0.25">
      <c r="B137" s="24" t="s">
        <v>68</v>
      </c>
      <c r="C137" s="138">
        <f>H105</f>
        <v>0</v>
      </c>
      <c r="D137" s="138"/>
      <c r="E137" s="134"/>
      <c r="F137" s="140" t="e">
        <f t="shared" si="18"/>
        <v>#DIV/0!</v>
      </c>
      <c r="G137" s="136"/>
      <c r="I137" s="131"/>
      <c r="J137" s="131"/>
      <c r="K137" s="131"/>
      <c r="L137" s="131"/>
      <c r="M137" s="131"/>
      <c r="N137" s="131"/>
      <c r="O137" s="131"/>
      <c r="P137" s="131"/>
      <c r="Q137" s="131"/>
      <c r="R137" s="131"/>
      <c r="S137" s="131"/>
      <c r="T137" s="131"/>
    </row>
    <row r="138" spans="2:21" x14ac:dyDescent="0.25">
      <c r="B138" s="24" t="s">
        <v>92</v>
      </c>
      <c r="C138" s="141">
        <f>+H103+H104</f>
        <v>0</v>
      </c>
      <c r="D138" s="141"/>
      <c r="E138" s="141">
        <f>SUM(C131:C138)</f>
        <v>0</v>
      </c>
      <c r="F138" s="142" t="e">
        <f t="shared" si="18"/>
        <v>#DIV/0!</v>
      </c>
      <c r="G138" s="143" t="e">
        <f>SUM(F131:F138)</f>
        <v>#DIV/0!</v>
      </c>
      <c r="I138" s="131"/>
      <c r="J138" s="131"/>
      <c r="K138" s="131"/>
      <c r="L138" s="131"/>
      <c r="M138" s="131"/>
      <c r="N138" s="131"/>
      <c r="O138" s="131"/>
      <c r="P138" s="131"/>
      <c r="Q138" s="131"/>
      <c r="R138" s="131"/>
      <c r="S138" s="131"/>
      <c r="T138" s="131"/>
    </row>
    <row r="139" spans="2:21" ht="19.5" thickBot="1" x14ac:dyDescent="0.35">
      <c r="B139" s="32"/>
      <c r="C139" s="144"/>
      <c r="D139" s="144"/>
      <c r="E139" s="145">
        <f>E128-E138</f>
        <v>0</v>
      </c>
      <c r="F139" s="146"/>
      <c r="G139" s="147" t="e">
        <f>G128-G138</f>
        <v>#DIV/0!</v>
      </c>
      <c r="I139" s="131"/>
      <c r="J139" s="131"/>
      <c r="K139" s="131"/>
      <c r="L139" s="131"/>
      <c r="M139" s="131"/>
      <c r="N139" s="131"/>
      <c r="O139" s="131"/>
      <c r="P139" s="131"/>
      <c r="Q139" s="131"/>
      <c r="R139" s="131"/>
      <c r="S139" s="131"/>
      <c r="T139" s="131"/>
    </row>
    <row r="140" spans="2:21" x14ac:dyDescent="0.25">
      <c r="J140" s="131"/>
      <c r="K140" s="131"/>
      <c r="L140" s="131"/>
      <c r="M140" s="131"/>
      <c r="N140" s="131"/>
      <c r="O140" s="131"/>
      <c r="P140" s="131"/>
      <c r="Q140" s="131"/>
      <c r="R140" s="131"/>
      <c r="S140" s="131"/>
      <c r="T140" s="131"/>
      <c r="U140" s="131"/>
    </row>
    <row r="141" spans="2:21" x14ac:dyDescent="0.25">
      <c r="B141" s="150" t="s">
        <v>93</v>
      </c>
      <c r="J141" s="131"/>
      <c r="K141" s="131"/>
      <c r="L141" s="131"/>
      <c r="M141" s="131"/>
      <c r="N141" s="131"/>
      <c r="O141" s="131"/>
      <c r="P141" s="131"/>
      <c r="Q141" s="131"/>
      <c r="R141" s="131"/>
      <c r="S141" s="131"/>
      <c r="T141" s="131"/>
      <c r="U141" s="131"/>
    </row>
    <row r="142" spans="2:21" x14ac:dyDescent="0.25">
      <c r="B142" s="151" t="s">
        <v>94</v>
      </c>
      <c r="H142" s="148">
        <f t="shared" ref="H142:H171" si="19">SUM(J142:U142)</f>
        <v>0</v>
      </c>
      <c r="J142" s="131"/>
      <c r="K142" s="131"/>
      <c r="L142" s="131"/>
      <c r="M142" s="131"/>
      <c r="N142" s="131"/>
      <c r="O142" s="131"/>
      <c r="P142" s="131"/>
      <c r="Q142" s="131"/>
      <c r="R142" s="131"/>
      <c r="S142" s="131"/>
      <c r="T142" s="131"/>
      <c r="U142" s="131"/>
    </row>
    <row r="143" spans="2:21" x14ac:dyDescent="0.25">
      <c r="B143" s="151" t="s">
        <v>95</v>
      </c>
      <c r="H143" s="148">
        <f t="shared" si="19"/>
        <v>0</v>
      </c>
    </row>
    <row r="144" spans="2:21" x14ac:dyDescent="0.25">
      <c r="B144" s="151" t="s">
        <v>96</v>
      </c>
      <c r="H144" s="148">
        <f t="shared" si="19"/>
        <v>0</v>
      </c>
    </row>
    <row r="145" spans="2:8" x14ac:dyDescent="0.25">
      <c r="B145" s="151" t="s">
        <v>97</v>
      </c>
      <c r="H145" s="148">
        <f t="shared" si="19"/>
        <v>0</v>
      </c>
    </row>
    <row r="146" spans="2:8" x14ac:dyDescent="0.25">
      <c r="B146" s="151" t="s">
        <v>98</v>
      </c>
      <c r="H146" s="148">
        <f t="shared" si="19"/>
        <v>0</v>
      </c>
    </row>
    <row r="147" spans="2:8" x14ac:dyDescent="0.25">
      <c r="B147" s="151" t="s">
        <v>99</v>
      </c>
      <c r="H147" s="148">
        <f t="shared" si="19"/>
        <v>0</v>
      </c>
    </row>
    <row r="148" spans="2:8" x14ac:dyDescent="0.25">
      <c r="B148" s="151" t="s">
        <v>100</v>
      </c>
      <c r="H148" s="148">
        <f t="shared" si="19"/>
        <v>0</v>
      </c>
    </row>
    <row r="149" spans="2:8" x14ac:dyDescent="0.25">
      <c r="B149" s="151" t="s">
        <v>101</v>
      </c>
      <c r="H149" s="148">
        <f t="shared" si="19"/>
        <v>0</v>
      </c>
    </row>
    <row r="150" spans="2:8" x14ac:dyDescent="0.25">
      <c r="B150" s="151" t="s">
        <v>102</v>
      </c>
      <c r="H150" s="148">
        <f t="shared" si="19"/>
        <v>0</v>
      </c>
    </row>
    <row r="151" spans="2:8" x14ac:dyDescent="0.25">
      <c r="B151" s="151" t="s">
        <v>103</v>
      </c>
      <c r="H151" s="148">
        <f t="shared" si="19"/>
        <v>0</v>
      </c>
    </row>
    <row r="152" spans="2:8" x14ac:dyDescent="0.25">
      <c r="B152" s="151" t="s">
        <v>104</v>
      </c>
      <c r="H152" s="148">
        <f t="shared" si="19"/>
        <v>0</v>
      </c>
    </row>
    <row r="153" spans="2:8" x14ac:dyDescent="0.25">
      <c r="B153" s="151" t="s">
        <v>105</v>
      </c>
      <c r="H153" s="148">
        <f t="shared" si="19"/>
        <v>0</v>
      </c>
    </row>
    <row r="154" spans="2:8" x14ac:dyDescent="0.25">
      <c r="B154" s="151" t="s">
        <v>106</v>
      </c>
      <c r="H154" s="148">
        <f t="shared" si="19"/>
        <v>0</v>
      </c>
    </row>
    <row r="155" spans="2:8" x14ac:dyDescent="0.25">
      <c r="B155" s="151" t="s">
        <v>107</v>
      </c>
      <c r="H155" s="148">
        <f t="shared" si="19"/>
        <v>0</v>
      </c>
    </row>
    <row r="156" spans="2:8" x14ac:dyDescent="0.25">
      <c r="B156" s="151" t="s">
        <v>108</v>
      </c>
      <c r="H156" s="148">
        <f t="shared" si="19"/>
        <v>0</v>
      </c>
    </row>
    <row r="157" spans="2:8" x14ac:dyDescent="0.25">
      <c r="B157" t="s">
        <v>109</v>
      </c>
      <c r="H157" s="148">
        <f t="shared" si="19"/>
        <v>0</v>
      </c>
    </row>
    <row r="158" spans="2:8" x14ac:dyDescent="0.25">
      <c r="B158" t="s">
        <v>110</v>
      </c>
      <c r="H158" s="148">
        <f t="shared" si="19"/>
        <v>0</v>
      </c>
    </row>
    <row r="159" spans="2:8" x14ac:dyDescent="0.25">
      <c r="B159" t="s">
        <v>111</v>
      </c>
      <c r="H159" s="148">
        <f t="shared" si="19"/>
        <v>0</v>
      </c>
    </row>
    <row r="160" spans="2:8" x14ac:dyDescent="0.25">
      <c r="B160" t="s">
        <v>112</v>
      </c>
      <c r="H160" s="148">
        <f t="shared" si="19"/>
        <v>0</v>
      </c>
    </row>
    <row r="161" spans="2:21" x14ac:dyDescent="0.25">
      <c r="B161" t="s">
        <v>113</v>
      </c>
      <c r="H161" s="148">
        <f t="shared" si="19"/>
        <v>0</v>
      </c>
    </row>
    <row r="162" spans="2:21" x14ac:dyDescent="0.25">
      <c r="B162" s="152" t="s">
        <v>114</v>
      </c>
      <c r="H162" s="148">
        <f t="shared" si="19"/>
        <v>0</v>
      </c>
    </row>
    <row r="163" spans="2:21" x14ac:dyDescent="0.25">
      <c r="B163" s="153" t="s">
        <v>115</v>
      </c>
      <c r="H163" s="148">
        <f t="shared" si="19"/>
        <v>0</v>
      </c>
    </row>
    <row r="164" spans="2:21" x14ac:dyDescent="0.25">
      <c r="B164" s="153" t="s">
        <v>116</v>
      </c>
      <c r="H164" s="148">
        <f t="shared" si="19"/>
        <v>0</v>
      </c>
    </row>
    <row r="165" spans="2:21" x14ac:dyDescent="0.25">
      <c r="B165" s="153" t="s">
        <v>117</v>
      </c>
      <c r="H165" s="148">
        <f t="shared" si="19"/>
        <v>0</v>
      </c>
    </row>
    <row r="166" spans="2:21" x14ac:dyDescent="0.25">
      <c r="B166" s="153" t="s">
        <v>90</v>
      </c>
      <c r="H166" s="148">
        <f t="shared" si="19"/>
        <v>0</v>
      </c>
    </row>
    <row r="167" spans="2:21" x14ac:dyDescent="0.25">
      <c r="B167" s="153" t="s">
        <v>118</v>
      </c>
      <c r="H167" s="148">
        <f t="shared" si="19"/>
        <v>0</v>
      </c>
    </row>
    <row r="168" spans="2:21" x14ac:dyDescent="0.25">
      <c r="B168" s="153" t="s">
        <v>119</v>
      </c>
      <c r="H168" s="148">
        <f t="shared" si="19"/>
        <v>0</v>
      </c>
    </row>
    <row r="169" spans="2:21" x14ac:dyDescent="0.25">
      <c r="B169" s="153" t="s">
        <v>120</v>
      </c>
      <c r="H169" s="148">
        <f t="shared" si="19"/>
        <v>0</v>
      </c>
    </row>
    <row r="170" spans="2:21" x14ac:dyDescent="0.25">
      <c r="B170" s="153" t="s">
        <v>121</v>
      </c>
      <c r="H170" s="148">
        <f t="shared" si="19"/>
        <v>0</v>
      </c>
    </row>
    <row r="171" spans="2:21" x14ac:dyDescent="0.25">
      <c r="B171" s="153" t="s">
        <v>122</v>
      </c>
      <c r="H171" s="1">
        <f t="shared" si="19"/>
        <v>0</v>
      </c>
    </row>
    <row r="173" spans="2:21" x14ac:dyDescent="0.25">
      <c r="B173" s="154" t="s">
        <v>2</v>
      </c>
      <c r="C173" s="155"/>
      <c r="D173" s="155"/>
      <c r="E173" s="155"/>
      <c r="F173" s="155"/>
      <c r="G173" s="155"/>
      <c r="H173" s="155"/>
      <c r="I173" s="155"/>
      <c r="J173" s="156">
        <f t="shared" ref="J173:U173" si="20">SUM(J142:J171)</f>
        <v>0</v>
      </c>
      <c r="K173" s="156">
        <f t="shared" si="20"/>
        <v>0</v>
      </c>
      <c r="L173" s="156">
        <f t="shared" si="20"/>
        <v>0</v>
      </c>
      <c r="M173" s="156">
        <f t="shared" si="20"/>
        <v>0</v>
      </c>
      <c r="N173" s="156">
        <f t="shared" si="20"/>
        <v>0</v>
      </c>
      <c r="O173" s="156">
        <f t="shared" si="20"/>
        <v>0</v>
      </c>
      <c r="P173" s="156">
        <f t="shared" si="20"/>
        <v>0</v>
      </c>
      <c r="Q173" s="156">
        <f t="shared" si="20"/>
        <v>0</v>
      </c>
      <c r="R173" s="156">
        <f t="shared" si="20"/>
        <v>0</v>
      </c>
      <c r="S173" s="156">
        <f t="shared" si="20"/>
        <v>0</v>
      </c>
      <c r="T173" s="156">
        <f t="shared" si="20"/>
        <v>0</v>
      </c>
      <c r="U173" s="156">
        <f t="shared" si="20"/>
        <v>0</v>
      </c>
    </row>
  </sheetData>
  <sheetProtection selectLockedCells="1"/>
  <protectedRanges>
    <protectedRange sqref="J4:U13" name="Production"/>
    <protectedRange sqref="C20:C41" name="Grade mix_1"/>
    <protectedRange sqref="F20:G41" name="JAS converions_1_1"/>
  </protectedRanges>
  <mergeCells count="6">
    <mergeCell ref="I7:I9"/>
    <mergeCell ref="I4:I6"/>
    <mergeCell ref="J113:U113"/>
    <mergeCell ref="F126:G126"/>
    <mergeCell ref="I13:I16"/>
    <mergeCell ref="I10:I12"/>
  </mergeCells>
  <dataValidations count="1">
    <dataValidation type="whole" errorStyle="warning" allowBlank="1" showInputMessage="1" showErrorMessage="1" errorTitle="High number of skids" error="Are you sure you are going to build this many skids?" sqref="J118:U122" xr:uid="{6B40031E-62B8-4DB3-AE17-530926594550}">
      <formula1>0</formula1>
      <formula2>10</formula2>
    </dataValidation>
  </dataValidations>
  <pageMargins left="0.70866141732283472" right="0.70866141732283472" top="0.74803149606299213" bottom="0.74803149606299213" header="0.31496062992125984" footer="0.31496062992125984"/>
  <pageSetup paperSize="8" scale="36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96669-44CB-4424-A5DB-D2C958BFBAE1}">
  <sheetPr codeName="Sheet12">
    <tabColor theme="7" tint="0.39997558519241921"/>
    <pageSetUpPr fitToPage="1"/>
  </sheetPr>
  <dimension ref="A1:X142"/>
  <sheetViews>
    <sheetView zoomScale="80" zoomScaleNormal="80" workbookViewId="0">
      <selection activeCell="I2" sqref="I2"/>
    </sheetView>
  </sheetViews>
  <sheetFormatPr defaultColWidth="9" defaultRowHeight="15" x14ac:dyDescent="0.25"/>
  <cols>
    <col min="1" max="1" width="2.28515625" style="1" customWidth="1"/>
    <col min="2" max="2" width="44" style="1" customWidth="1"/>
    <col min="3" max="3" width="13.85546875" style="1" customWidth="1"/>
    <col min="4" max="4" width="16.140625" style="1" customWidth="1"/>
    <col min="5" max="5" width="17" style="1" customWidth="1"/>
    <col min="6" max="6" width="12.7109375" style="1" customWidth="1"/>
    <col min="7" max="7" width="13.28515625" style="1" bestFit="1" customWidth="1"/>
    <col min="8" max="8" width="21.28515625" style="1" customWidth="1"/>
    <col min="9" max="9" width="10.140625" style="1" customWidth="1"/>
    <col min="10" max="21" width="15.7109375" style="1" bestFit="1" customWidth="1"/>
    <col min="22" max="22" width="5" style="1" customWidth="1"/>
    <col min="23" max="23" width="15.28515625" style="4" bestFit="1" customWidth="1"/>
    <col min="24" max="24" width="17.5703125" style="1" customWidth="1"/>
    <col min="25" max="16384" width="9" style="1"/>
  </cols>
  <sheetData>
    <row r="1" spans="2:24" ht="15.75" thickBot="1" x14ac:dyDescent="0.3">
      <c r="C1" s="2">
        <v>2025</v>
      </c>
      <c r="D1" s="3" t="s">
        <v>0</v>
      </c>
    </row>
    <row r="2" spans="2:24" ht="27" thickBot="1" x14ac:dyDescent="0.45">
      <c r="B2" s="5" t="s">
        <v>267</v>
      </c>
      <c r="G2" s="305"/>
      <c r="H2" s="43" t="s">
        <v>209</v>
      </c>
      <c r="I2" s="404"/>
      <c r="W2" s="6"/>
      <c r="X2" s="7"/>
    </row>
    <row r="3" spans="2:24" ht="15.75" x14ac:dyDescent="0.25">
      <c r="B3" s="8" t="s">
        <v>1</v>
      </c>
      <c r="C3" s="9"/>
      <c r="D3" s="9"/>
      <c r="E3" s="9"/>
      <c r="F3" s="9"/>
      <c r="G3" s="9" t="s">
        <v>241</v>
      </c>
      <c r="H3" s="10"/>
      <c r="I3" s="372">
        <f>IF(NOT(ISBLANK(J5)), J5, IF(NOT(ISBLANK(J8)), J8, IF(NOT(ISBLANK(J11)), J11, 0)))+IF(NOT(ISBLANK(K5)), K5, IF(NOT(ISBLANK(K8)), K8, IF(NOT(ISBLANK(K11)), K11, 0)))+IF(NOT(ISBLANK(L5)), L5, IF(NOT(ISBLANK(L8)), L8, IF(NOT(ISBLANK(L11)), L11, 0)))+IF(NOT(ISBLANK(M5)), M5, IF(NOT(ISBLANK(M8)), M8, IF(NOT(ISBLANK(M11)), M11, 0)))+IF(NOT(ISBLANK(N5)), N5, IF(NOT(ISBLANK(N8)), N8, IF(NOT(ISBLANK(N11)), N11, 0)))+IF(NOT(ISBLANK(O5)), O5, IF(NOT(ISBLANK(O8)), O8, IF(NOT(ISBLANK(O11)), O11, 0)))+IF(NOT(ISBLANK(P5)), P5, IF(NOT(ISBLANK(P8)), P8, IF(NOT(ISBLANK(P11)), P11, 0)))+IF(NOT(ISBLANK(Q5)), Q5, IF(NOT(ISBLANK(Q8)), Q8, IF(NOT(ISBLANK(Q11)), Q11, 0)))+IF(NOT(ISBLANK(R5)), R5, IF(NOT(ISBLANK(R8)), R8, IF(NOT(ISBLANK(R11)), R11, 0)))+IF(NOT(ISBLANK(S5)), S5, IF(NOT(ISBLANK(S8)), S8, IF(NOT(ISBLANK(S11)), S11, 0)))+IF(NOT(ISBLANK(T5)), T5, IF(NOT(ISBLANK(T8)), T8, IF(NOT(ISBLANK(T11)), T11, 0)))+IF(NOT(ISBLANK(U5)), U5, IF(NOT(ISBLANK(U8)), U8, IF(NOT(ISBLANK(U11)), U11, 0)))</f>
        <v>0</v>
      </c>
      <c r="J3" s="178">
        <v>45658</v>
      </c>
      <c r="K3" s="178">
        <v>45689</v>
      </c>
      <c r="L3" s="178">
        <v>45717</v>
      </c>
      <c r="M3" s="178">
        <v>45748</v>
      </c>
      <c r="N3" s="178">
        <v>45778</v>
      </c>
      <c r="O3" s="178">
        <v>45809</v>
      </c>
      <c r="P3" s="178">
        <v>45839</v>
      </c>
      <c r="Q3" s="178">
        <v>45870</v>
      </c>
      <c r="R3" s="178">
        <v>45901</v>
      </c>
      <c r="S3" s="178">
        <v>45931</v>
      </c>
      <c r="T3" s="178">
        <v>45962</v>
      </c>
      <c r="U3" s="178">
        <v>45992</v>
      </c>
      <c r="W3" s="6" t="s">
        <v>2</v>
      </c>
      <c r="X3" s="7"/>
    </row>
    <row r="4" spans="2:24" x14ac:dyDescent="0.25">
      <c r="B4" s="11"/>
      <c r="G4" s="12" t="s">
        <v>7</v>
      </c>
      <c r="H4" s="301" t="s">
        <v>4</v>
      </c>
      <c r="I4" s="452">
        <f>IFERROR((J4*J5+K4*K5+L4*L5+M4*M5+N4*N5+O4*O5+P4*P5+Q4*Q5+R4*R5+S4*S5+T4*T5+U4*U5)/$W$16,0)</f>
        <v>0</v>
      </c>
      <c r="J4" s="352"/>
      <c r="K4" s="352"/>
      <c r="L4" s="352"/>
      <c r="M4" s="352"/>
      <c r="N4" s="353"/>
      <c r="O4" s="353"/>
      <c r="P4" s="353"/>
      <c r="Q4" s="353"/>
      <c r="R4" s="353"/>
      <c r="S4" s="353"/>
      <c r="T4" s="353"/>
      <c r="U4" s="354"/>
      <c r="W4" s="6"/>
      <c r="X4" s="7"/>
    </row>
    <row r="5" spans="2:24" x14ac:dyDescent="0.25">
      <c r="B5" s="11"/>
      <c r="G5" s="16"/>
      <c r="H5" s="1" t="s">
        <v>5</v>
      </c>
      <c r="I5" s="453"/>
      <c r="J5" s="352"/>
      <c r="K5" s="352"/>
      <c r="L5" s="353"/>
      <c r="M5" s="353"/>
      <c r="N5" s="353"/>
      <c r="O5" s="353"/>
      <c r="P5" s="353"/>
      <c r="Q5" s="353"/>
      <c r="R5" s="353"/>
      <c r="S5" s="353"/>
      <c r="T5" s="353"/>
      <c r="U5" s="354"/>
      <c r="W5" s="6"/>
      <c r="X5" s="7"/>
    </row>
    <row r="6" spans="2:24" ht="15.75" thickBot="1" x14ac:dyDescent="0.3">
      <c r="B6" s="11"/>
      <c r="G6" s="17"/>
      <c r="H6" s="302" t="s">
        <v>6</v>
      </c>
      <c r="I6" s="454"/>
      <c r="J6" s="355"/>
      <c r="K6" s="355"/>
      <c r="L6" s="356"/>
      <c r="M6" s="356"/>
      <c r="N6" s="356"/>
      <c r="O6" s="356"/>
      <c r="P6" s="356"/>
      <c r="Q6" s="356"/>
      <c r="R6" s="356"/>
      <c r="S6" s="356"/>
      <c r="T6" s="356"/>
      <c r="U6" s="357"/>
      <c r="W6" s="6"/>
      <c r="X6" s="7"/>
    </row>
    <row r="7" spans="2:24" x14ac:dyDescent="0.25">
      <c r="B7" s="11"/>
      <c r="G7" s="12" t="s">
        <v>3</v>
      </c>
      <c r="H7" s="301" t="s">
        <v>4</v>
      </c>
      <c r="I7" s="452">
        <f>IFERROR((J7*J8+K7*K8+L7*L8+M7*M8+N7*N8+O7*O8+P7*P8+Q7*Q8+R7*R8+S7*S8+T7*T8+U7*U8)/$W$16,0)</f>
        <v>0</v>
      </c>
      <c r="J7" s="358"/>
      <c r="K7" s="358"/>
      <c r="L7" s="358"/>
      <c r="M7" s="358"/>
      <c r="N7" s="358"/>
      <c r="O7" s="358"/>
      <c r="P7" s="358"/>
      <c r="Q7" s="358"/>
      <c r="R7" s="358"/>
      <c r="S7" s="358"/>
      <c r="T7" s="358"/>
      <c r="U7" s="359"/>
      <c r="W7" s="6"/>
      <c r="X7" s="7"/>
    </row>
    <row r="8" spans="2:24" x14ac:dyDescent="0.25">
      <c r="B8" s="11"/>
      <c r="G8" s="16"/>
      <c r="H8" s="1" t="s">
        <v>5</v>
      </c>
      <c r="I8" s="453"/>
      <c r="J8" s="353"/>
      <c r="K8" s="353"/>
      <c r="L8" s="353"/>
      <c r="M8" s="353"/>
      <c r="N8" s="353"/>
      <c r="O8" s="353"/>
      <c r="P8" s="353"/>
      <c r="Q8" s="353"/>
      <c r="R8" s="353"/>
      <c r="S8" s="353"/>
      <c r="T8" s="353"/>
      <c r="U8" s="354"/>
      <c r="W8" s="6"/>
      <c r="X8" s="7"/>
    </row>
    <row r="9" spans="2:24" ht="15.75" thickBot="1" x14ac:dyDescent="0.3">
      <c r="B9" s="11"/>
      <c r="G9" s="17"/>
      <c r="H9" s="302" t="s">
        <v>6</v>
      </c>
      <c r="I9" s="454"/>
      <c r="J9" s="356"/>
      <c r="K9" s="356"/>
      <c r="L9" s="356"/>
      <c r="M9" s="356"/>
      <c r="N9" s="356"/>
      <c r="O9" s="356"/>
      <c r="P9" s="356"/>
      <c r="Q9" s="356"/>
      <c r="R9" s="356"/>
      <c r="S9" s="356"/>
      <c r="T9" s="356"/>
      <c r="U9" s="357"/>
      <c r="W9" s="6"/>
      <c r="X9" s="7"/>
    </row>
    <row r="10" spans="2:24" x14ac:dyDescent="0.25">
      <c r="B10" s="11"/>
      <c r="G10" s="12" t="s">
        <v>8</v>
      </c>
      <c r="H10" s="301" t="s">
        <v>4</v>
      </c>
      <c r="I10" s="452">
        <f>IFERROR((J10*J11+K10*K11+L10*L11+M10*M11+N10*N11+O10*O11+P10*P11+Q10*Q11+R10*R11+S10*S11+T10*T11+U10*U11)/$W$16,0)</f>
        <v>0</v>
      </c>
      <c r="J10" s="353"/>
      <c r="K10" s="353"/>
      <c r="L10" s="353"/>
      <c r="M10" s="353"/>
      <c r="N10" s="353"/>
      <c r="O10" s="353"/>
      <c r="P10" s="353"/>
      <c r="Q10" s="353"/>
      <c r="R10" s="353"/>
      <c r="S10" s="353"/>
      <c r="T10" s="353"/>
      <c r="U10" s="354"/>
      <c r="W10" s="6"/>
      <c r="X10" s="7"/>
    </row>
    <row r="11" spans="2:24" x14ac:dyDescent="0.25">
      <c r="B11" s="11"/>
      <c r="G11" s="16"/>
      <c r="H11" s="1" t="s">
        <v>5</v>
      </c>
      <c r="I11" s="453"/>
      <c r="J11" s="353"/>
      <c r="K11" s="353"/>
      <c r="L11" s="353"/>
      <c r="M11" s="353"/>
      <c r="N11" s="353"/>
      <c r="O11" s="353"/>
      <c r="P11" s="353"/>
      <c r="Q11" s="353"/>
      <c r="R11" s="353"/>
      <c r="S11" s="353"/>
      <c r="T11" s="353"/>
      <c r="U11" s="354"/>
      <c r="W11" s="6"/>
      <c r="X11" s="7"/>
    </row>
    <row r="12" spans="2:24" ht="15.75" thickBot="1" x14ac:dyDescent="0.3">
      <c r="B12" s="11"/>
      <c r="G12" s="17"/>
      <c r="H12" s="302" t="s">
        <v>6</v>
      </c>
      <c r="I12" s="454"/>
      <c r="J12" s="356"/>
      <c r="K12" s="356"/>
      <c r="L12" s="356"/>
      <c r="M12" s="356"/>
      <c r="N12" s="356"/>
      <c r="O12" s="356"/>
      <c r="P12" s="356"/>
      <c r="Q12" s="356"/>
      <c r="R12" s="356"/>
      <c r="S12" s="356"/>
      <c r="T12" s="356"/>
      <c r="U12" s="357"/>
      <c r="V12" s="7"/>
      <c r="W12" s="6"/>
      <c r="X12" s="7"/>
    </row>
    <row r="13" spans="2:24" x14ac:dyDescent="0.25">
      <c r="B13" s="11"/>
      <c r="G13" s="12" t="s">
        <v>9</v>
      </c>
      <c r="H13" s="1" t="s">
        <v>6</v>
      </c>
      <c r="I13" s="455">
        <f>SUM(I4:I12)</f>
        <v>0</v>
      </c>
      <c r="J13" s="308">
        <f t="shared" ref="J13:U13" si="0">IFERROR((J4*J5*J6+J7*J8*J9+J10*J11*J12)/J16,0)</f>
        <v>0</v>
      </c>
      <c r="K13" s="23">
        <f t="shared" si="0"/>
        <v>0</v>
      </c>
      <c r="L13" s="23">
        <f t="shared" si="0"/>
        <v>0</v>
      </c>
      <c r="M13" s="23">
        <f t="shared" si="0"/>
        <v>0</v>
      </c>
      <c r="N13" s="23">
        <f t="shared" si="0"/>
        <v>0</v>
      </c>
      <c r="O13" s="23">
        <f t="shared" si="0"/>
        <v>0</v>
      </c>
      <c r="P13" s="23">
        <f t="shared" si="0"/>
        <v>0</v>
      </c>
      <c r="Q13" s="23">
        <f t="shared" si="0"/>
        <v>0</v>
      </c>
      <c r="R13" s="23">
        <f t="shared" si="0"/>
        <v>0</v>
      </c>
      <c r="S13" s="23">
        <f t="shared" si="0"/>
        <v>0</v>
      </c>
      <c r="T13" s="23">
        <f t="shared" si="0"/>
        <v>0</v>
      </c>
      <c r="U13" s="200">
        <f t="shared" si="0"/>
        <v>0</v>
      </c>
      <c r="V13" s="7"/>
      <c r="W13" s="6">
        <f>I3</f>
        <v>0</v>
      </c>
      <c r="X13" s="306" t="s">
        <v>208</v>
      </c>
    </row>
    <row r="14" spans="2:24" x14ac:dyDescent="0.25">
      <c r="B14" s="24"/>
      <c r="C14" s="25"/>
      <c r="D14" s="26"/>
      <c r="G14" s="16" t="s">
        <v>9</v>
      </c>
      <c r="H14" t="s">
        <v>4</v>
      </c>
      <c r="I14" s="456"/>
      <c r="J14" s="309">
        <f t="shared" ref="J14:U14" si="1">J4+J7+J10</f>
        <v>0</v>
      </c>
      <c r="K14" s="27">
        <f t="shared" si="1"/>
        <v>0</v>
      </c>
      <c r="L14" s="27">
        <f t="shared" si="1"/>
        <v>0</v>
      </c>
      <c r="M14" s="27">
        <f t="shared" si="1"/>
        <v>0</v>
      </c>
      <c r="N14" s="27">
        <f t="shared" si="1"/>
        <v>0</v>
      </c>
      <c r="O14" s="27">
        <f t="shared" si="1"/>
        <v>0</v>
      </c>
      <c r="P14" s="27">
        <f t="shared" si="1"/>
        <v>0</v>
      </c>
      <c r="Q14" s="27">
        <f t="shared" si="1"/>
        <v>0</v>
      </c>
      <c r="R14" s="27">
        <f t="shared" si="1"/>
        <v>0</v>
      </c>
      <c r="S14" s="27">
        <f t="shared" si="1"/>
        <v>0</v>
      </c>
      <c r="T14" s="27">
        <f t="shared" si="1"/>
        <v>0</v>
      </c>
      <c r="U14" s="303">
        <f t="shared" si="1"/>
        <v>0</v>
      </c>
      <c r="W14" s="28">
        <f>IF(W16=0,0,W16/W15)</f>
        <v>0</v>
      </c>
      <c r="X14" s="306" t="str">
        <f>H2</f>
        <v>Estimated Tonnes (ha)</v>
      </c>
    </row>
    <row r="15" spans="2:24" x14ac:dyDescent="0.25">
      <c r="B15" s="24"/>
      <c r="C15" s="29"/>
      <c r="D15" s="30"/>
      <c r="G15" s="16" t="s">
        <v>2</v>
      </c>
      <c r="H15" s="1" t="s">
        <v>207</v>
      </c>
      <c r="I15" s="456"/>
      <c r="J15" s="23">
        <f t="shared" ref="J15:U15" si="2">IFERROR(J16/$I$2,0)</f>
        <v>0</v>
      </c>
      <c r="K15" s="23">
        <f t="shared" si="2"/>
        <v>0</v>
      </c>
      <c r="L15" s="23">
        <f t="shared" si="2"/>
        <v>0</v>
      </c>
      <c r="M15" s="23">
        <f t="shared" si="2"/>
        <v>0</v>
      </c>
      <c r="N15" s="23">
        <f t="shared" si="2"/>
        <v>0</v>
      </c>
      <c r="O15" s="23">
        <f t="shared" si="2"/>
        <v>0</v>
      </c>
      <c r="P15" s="23">
        <f t="shared" si="2"/>
        <v>0</v>
      </c>
      <c r="Q15" s="23">
        <f t="shared" si="2"/>
        <v>0</v>
      </c>
      <c r="R15" s="23">
        <f t="shared" si="2"/>
        <v>0</v>
      </c>
      <c r="S15" s="23">
        <f t="shared" si="2"/>
        <v>0</v>
      </c>
      <c r="T15" s="23">
        <f t="shared" si="2"/>
        <v>0</v>
      </c>
      <c r="U15" s="201">
        <f t="shared" si="2"/>
        <v>0</v>
      </c>
      <c r="V15" s="31"/>
      <c r="W15" s="28">
        <f>SUM(J15:U15)</f>
        <v>0</v>
      </c>
      <c r="X15" s="306" t="str">
        <f>H15</f>
        <v>Hectare (ha)</v>
      </c>
    </row>
    <row r="16" spans="2:24" ht="15.75" thickBot="1" x14ac:dyDescent="0.3">
      <c r="B16" s="32"/>
      <c r="C16" s="33"/>
      <c r="D16" s="33"/>
      <c r="E16" s="33"/>
      <c r="F16" s="33"/>
      <c r="G16" s="311" t="s">
        <v>2</v>
      </c>
      <c r="H16" s="33" t="s">
        <v>10</v>
      </c>
      <c r="I16" s="457"/>
      <c r="J16" s="310">
        <f t="shared" ref="J16:U16" si="3">IFERROR((J4*J5+J7*J8+J10*J11),0)</f>
        <v>0</v>
      </c>
      <c r="K16" s="34">
        <f t="shared" si="3"/>
        <v>0</v>
      </c>
      <c r="L16" s="34">
        <f t="shared" si="3"/>
        <v>0</v>
      </c>
      <c r="M16" s="34">
        <f t="shared" si="3"/>
        <v>0</v>
      </c>
      <c r="N16" s="34">
        <f t="shared" si="3"/>
        <v>0</v>
      </c>
      <c r="O16" s="34">
        <f t="shared" si="3"/>
        <v>0</v>
      </c>
      <c r="P16" s="34">
        <f t="shared" si="3"/>
        <v>0</v>
      </c>
      <c r="Q16" s="34">
        <f t="shared" si="3"/>
        <v>0</v>
      </c>
      <c r="R16" s="34">
        <f t="shared" si="3"/>
        <v>0</v>
      </c>
      <c r="S16" s="34">
        <f t="shared" si="3"/>
        <v>0</v>
      </c>
      <c r="T16" s="34">
        <f t="shared" si="3"/>
        <v>0</v>
      </c>
      <c r="U16" s="202">
        <f t="shared" si="3"/>
        <v>0</v>
      </c>
      <c r="W16" s="28">
        <f>SUM(J16:U16)</f>
        <v>0</v>
      </c>
      <c r="X16" s="35" t="str">
        <f>H16</f>
        <v>Tonnes Harvested</v>
      </c>
    </row>
    <row r="17" spans="1:24" ht="25.5" customHeight="1" thickBot="1" x14ac:dyDescent="0.3">
      <c r="C17" s="7"/>
      <c r="D17" s="7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7"/>
      <c r="W17" s="38" t="e">
        <f>W16/W15</f>
        <v>#DIV/0!</v>
      </c>
      <c r="X17" s="307" t="s">
        <v>11</v>
      </c>
    </row>
    <row r="18" spans="1:24" ht="16.5" thickBot="1" x14ac:dyDescent="0.3">
      <c r="B18" s="8" t="s">
        <v>12</v>
      </c>
      <c r="C18" s="9"/>
      <c r="D18" s="9"/>
      <c r="E18" s="9"/>
      <c r="F18" s="9"/>
      <c r="G18" s="9"/>
      <c r="H18" s="9"/>
      <c r="I18" s="9"/>
      <c r="J18" s="39"/>
      <c r="K18" s="9"/>
      <c r="L18" s="9"/>
      <c r="M18" s="9"/>
      <c r="N18" s="9"/>
      <c r="O18" s="9"/>
      <c r="P18" s="9"/>
      <c r="Q18" s="9"/>
      <c r="R18" s="9"/>
      <c r="S18" s="9"/>
      <c r="T18" s="9"/>
      <c r="U18" s="40"/>
    </row>
    <row r="19" spans="1:24" x14ac:dyDescent="0.25">
      <c r="B19" s="41" t="s">
        <v>13</v>
      </c>
      <c r="C19" s="42" t="s">
        <v>14</v>
      </c>
      <c r="D19" s="405" t="s">
        <v>210</v>
      </c>
      <c r="E19" s="42" t="s">
        <v>15</v>
      </c>
      <c r="F19" s="42" t="s">
        <v>211</v>
      </c>
      <c r="G19" s="42" t="s">
        <v>17</v>
      </c>
      <c r="H19" s="42" t="s">
        <v>18</v>
      </c>
      <c r="I19" s="43"/>
      <c r="J19" s="178">
        <v>45658</v>
      </c>
      <c r="K19" s="178">
        <v>45689</v>
      </c>
      <c r="L19" s="178">
        <v>45717</v>
      </c>
      <c r="M19" s="178">
        <v>45748</v>
      </c>
      <c r="N19" s="178">
        <v>45778</v>
      </c>
      <c r="O19" s="178">
        <v>45809</v>
      </c>
      <c r="P19" s="178">
        <v>45839</v>
      </c>
      <c r="Q19" s="178">
        <v>45870</v>
      </c>
      <c r="R19" s="178">
        <v>45901</v>
      </c>
      <c r="S19" s="178">
        <v>45931</v>
      </c>
      <c r="T19" s="178">
        <v>45962</v>
      </c>
      <c r="U19" s="317">
        <v>45992</v>
      </c>
    </row>
    <row r="20" spans="1:24" x14ac:dyDescent="0.25">
      <c r="A20" s="11"/>
      <c r="B20" s="239" t="s">
        <v>20</v>
      </c>
      <c r="C20" s="312">
        <v>0</v>
      </c>
      <c r="D20" s="406">
        <v>1</v>
      </c>
      <c r="E20" s="388" t="s">
        <v>21</v>
      </c>
      <c r="F20" s="389">
        <f t="shared" ref="F20:F27" si="4">IFERROR(H20/G20,0)</f>
        <v>0</v>
      </c>
      <c r="G20" s="315"/>
      <c r="H20" s="45">
        <f t="shared" ref="H20:H41" si="5">SUM(J20:U20)</f>
        <v>0</v>
      </c>
      <c r="I20" s="46"/>
      <c r="J20" s="47">
        <f>J16*$C20*$D20*$G20</f>
        <v>0</v>
      </c>
      <c r="K20" s="47">
        <f t="shared" ref="K20:U20" si="6">K16*$C$20*$D$20*$G$20</f>
        <v>0</v>
      </c>
      <c r="L20" s="47">
        <f t="shared" si="6"/>
        <v>0</v>
      </c>
      <c r="M20" s="47">
        <f t="shared" si="6"/>
        <v>0</v>
      </c>
      <c r="N20" s="47">
        <f t="shared" si="6"/>
        <v>0</v>
      </c>
      <c r="O20" s="47">
        <f t="shared" si="6"/>
        <v>0</v>
      </c>
      <c r="P20" s="47">
        <f t="shared" si="6"/>
        <v>0</v>
      </c>
      <c r="Q20" s="47">
        <f t="shared" si="6"/>
        <v>0</v>
      </c>
      <c r="R20" s="47">
        <f t="shared" si="6"/>
        <v>0</v>
      </c>
      <c r="S20" s="47">
        <f t="shared" si="6"/>
        <v>0</v>
      </c>
      <c r="T20" s="47">
        <f t="shared" si="6"/>
        <v>0</v>
      </c>
      <c r="U20" s="48">
        <f t="shared" si="6"/>
        <v>0</v>
      </c>
      <c r="W20" s="38" t="e">
        <f t="shared" ref="W20:W41" si="7">$W$17*C20</f>
        <v>#DIV/0!</v>
      </c>
      <c r="X20" s="1" t="str">
        <f t="shared" ref="X20:X41" si="8">B20</f>
        <v>P35</v>
      </c>
    </row>
    <row r="21" spans="1:24" x14ac:dyDescent="0.25">
      <c r="A21" s="11"/>
      <c r="B21" s="239" t="s">
        <v>22</v>
      </c>
      <c r="C21" s="312">
        <v>0.04</v>
      </c>
      <c r="D21" s="406">
        <v>1</v>
      </c>
      <c r="E21" s="388" t="s">
        <v>21</v>
      </c>
      <c r="F21" s="389">
        <f t="shared" si="4"/>
        <v>0</v>
      </c>
      <c r="G21" s="315"/>
      <c r="H21" s="45">
        <f t="shared" si="5"/>
        <v>0</v>
      </c>
      <c r="I21" s="46"/>
      <c r="J21" s="47">
        <f t="shared" ref="J21:U21" si="9">J16*$C$21*$D$21*$G$21</f>
        <v>0</v>
      </c>
      <c r="K21" s="47">
        <f t="shared" si="9"/>
        <v>0</v>
      </c>
      <c r="L21" s="47">
        <f t="shared" si="9"/>
        <v>0</v>
      </c>
      <c r="M21" s="47">
        <f t="shared" si="9"/>
        <v>0</v>
      </c>
      <c r="N21" s="47">
        <f t="shared" si="9"/>
        <v>0</v>
      </c>
      <c r="O21" s="47">
        <f t="shared" si="9"/>
        <v>0</v>
      </c>
      <c r="P21" s="47">
        <f t="shared" si="9"/>
        <v>0</v>
      </c>
      <c r="Q21" s="47">
        <f t="shared" si="9"/>
        <v>0</v>
      </c>
      <c r="R21" s="47">
        <f t="shared" si="9"/>
        <v>0</v>
      </c>
      <c r="S21" s="47">
        <f t="shared" si="9"/>
        <v>0</v>
      </c>
      <c r="T21" s="47">
        <f t="shared" si="9"/>
        <v>0</v>
      </c>
      <c r="U21" s="48">
        <f t="shared" si="9"/>
        <v>0</v>
      </c>
      <c r="W21" s="38" t="e">
        <f t="shared" si="7"/>
        <v>#DIV/0!</v>
      </c>
      <c r="X21" s="1" t="str">
        <f t="shared" si="8"/>
        <v>S30</v>
      </c>
    </row>
    <row r="22" spans="1:24" x14ac:dyDescent="0.25">
      <c r="A22" s="11"/>
      <c r="B22" s="239" t="s">
        <v>25</v>
      </c>
      <c r="C22" s="312">
        <v>0</v>
      </c>
      <c r="D22" s="406">
        <v>1</v>
      </c>
      <c r="E22" s="388" t="s">
        <v>21</v>
      </c>
      <c r="F22" s="389">
        <f t="shared" si="4"/>
        <v>0</v>
      </c>
      <c r="G22" s="315"/>
      <c r="H22" s="45">
        <f t="shared" si="5"/>
        <v>0</v>
      </c>
      <c r="I22" s="46"/>
      <c r="J22" s="47">
        <f t="shared" ref="J22:U22" si="10">J16*$C$22*$D$22*$G$22</f>
        <v>0</v>
      </c>
      <c r="K22" s="47">
        <f t="shared" si="10"/>
        <v>0</v>
      </c>
      <c r="L22" s="47">
        <f t="shared" si="10"/>
        <v>0</v>
      </c>
      <c r="M22" s="47">
        <f t="shared" si="10"/>
        <v>0</v>
      </c>
      <c r="N22" s="47">
        <f t="shared" si="10"/>
        <v>0</v>
      </c>
      <c r="O22" s="47">
        <f t="shared" si="10"/>
        <v>0</v>
      </c>
      <c r="P22" s="47">
        <f t="shared" si="10"/>
        <v>0</v>
      </c>
      <c r="Q22" s="47">
        <f t="shared" si="10"/>
        <v>0</v>
      </c>
      <c r="R22" s="47">
        <f t="shared" si="10"/>
        <v>0</v>
      </c>
      <c r="S22" s="47">
        <f t="shared" si="10"/>
        <v>0</v>
      </c>
      <c r="T22" s="47">
        <f t="shared" si="10"/>
        <v>0</v>
      </c>
      <c r="U22" s="48">
        <f t="shared" si="10"/>
        <v>0</v>
      </c>
      <c r="W22" s="38" t="e">
        <f t="shared" si="7"/>
        <v>#DIV/0!</v>
      </c>
      <c r="X22" s="1" t="str">
        <f t="shared" si="8"/>
        <v>S20</v>
      </c>
    </row>
    <row r="23" spans="1:24" x14ac:dyDescent="0.25">
      <c r="A23" s="11"/>
      <c r="B23" s="242" t="s">
        <v>30</v>
      </c>
      <c r="C23" s="312">
        <v>0.03</v>
      </c>
      <c r="D23" s="406">
        <v>1</v>
      </c>
      <c r="E23" s="388" t="s">
        <v>21</v>
      </c>
      <c r="F23" s="389">
        <f t="shared" si="4"/>
        <v>0</v>
      </c>
      <c r="G23" s="315"/>
      <c r="H23" s="45">
        <f t="shared" si="5"/>
        <v>0</v>
      </c>
      <c r="I23" s="46"/>
      <c r="J23" s="47">
        <f t="shared" ref="J23:U23" si="11">J16*$C$23*$D$23*$G$23</f>
        <v>0</v>
      </c>
      <c r="K23" s="47">
        <f t="shared" si="11"/>
        <v>0</v>
      </c>
      <c r="L23" s="47">
        <f t="shared" si="11"/>
        <v>0</v>
      </c>
      <c r="M23" s="47">
        <f t="shared" si="11"/>
        <v>0</v>
      </c>
      <c r="N23" s="47">
        <f t="shared" si="11"/>
        <v>0</v>
      </c>
      <c r="O23" s="47">
        <f t="shared" si="11"/>
        <v>0</v>
      </c>
      <c r="P23" s="47">
        <f t="shared" si="11"/>
        <v>0</v>
      </c>
      <c r="Q23" s="47">
        <f t="shared" si="11"/>
        <v>0</v>
      </c>
      <c r="R23" s="47">
        <f t="shared" si="11"/>
        <v>0</v>
      </c>
      <c r="S23" s="47">
        <f t="shared" si="11"/>
        <v>0</v>
      </c>
      <c r="T23" s="47">
        <f t="shared" si="11"/>
        <v>0</v>
      </c>
      <c r="U23" s="48">
        <f t="shared" si="11"/>
        <v>0</v>
      </c>
      <c r="W23" s="38" t="e">
        <f t="shared" si="7"/>
        <v>#DIV/0!</v>
      </c>
      <c r="X23" s="1" t="str">
        <f t="shared" si="8"/>
        <v>Domestic Pulp</v>
      </c>
    </row>
    <row r="24" spans="1:24" x14ac:dyDescent="0.25">
      <c r="A24" s="11"/>
      <c r="B24" s="242" t="s">
        <v>222</v>
      </c>
      <c r="C24" s="312">
        <v>0</v>
      </c>
      <c r="D24" s="406">
        <v>1</v>
      </c>
      <c r="E24" s="388" t="s">
        <v>21</v>
      </c>
      <c r="F24" s="389">
        <f t="shared" si="4"/>
        <v>0</v>
      </c>
      <c r="G24" s="315"/>
      <c r="H24" s="45">
        <f t="shared" si="5"/>
        <v>0</v>
      </c>
      <c r="I24" s="46"/>
      <c r="J24" s="47">
        <f t="shared" ref="J24:U24" si="12">J16*$C$24*$D$24*$G$24</f>
        <v>0</v>
      </c>
      <c r="K24" s="47">
        <f t="shared" si="12"/>
        <v>0</v>
      </c>
      <c r="L24" s="47">
        <f t="shared" si="12"/>
        <v>0</v>
      </c>
      <c r="M24" s="47">
        <f t="shared" si="12"/>
        <v>0</v>
      </c>
      <c r="N24" s="47">
        <f t="shared" si="12"/>
        <v>0</v>
      </c>
      <c r="O24" s="47">
        <f t="shared" si="12"/>
        <v>0</v>
      </c>
      <c r="P24" s="47">
        <f t="shared" si="12"/>
        <v>0</v>
      </c>
      <c r="Q24" s="47">
        <f t="shared" si="12"/>
        <v>0</v>
      </c>
      <c r="R24" s="47">
        <f t="shared" si="12"/>
        <v>0</v>
      </c>
      <c r="S24" s="47">
        <f t="shared" si="12"/>
        <v>0</v>
      </c>
      <c r="T24" s="47">
        <f t="shared" si="12"/>
        <v>0</v>
      </c>
      <c r="U24" s="48">
        <f t="shared" si="12"/>
        <v>0</v>
      </c>
      <c r="W24" s="38" t="e">
        <f t="shared" si="7"/>
        <v>#DIV/0!</v>
      </c>
      <c r="X24" s="1" t="str">
        <f t="shared" si="8"/>
        <v>Eucalyptus</v>
      </c>
    </row>
    <row r="25" spans="1:24" x14ac:dyDescent="0.25">
      <c r="A25" s="11"/>
      <c r="B25" s="242" t="s">
        <v>34</v>
      </c>
      <c r="C25" s="312">
        <v>0</v>
      </c>
      <c r="D25" s="406">
        <v>1</v>
      </c>
      <c r="E25" s="388" t="s">
        <v>21</v>
      </c>
      <c r="F25" s="389">
        <f t="shared" si="4"/>
        <v>0</v>
      </c>
      <c r="G25" s="315"/>
      <c r="H25" s="45">
        <f t="shared" si="5"/>
        <v>0</v>
      </c>
      <c r="I25" s="46"/>
      <c r="J25" s="47">
        <f t="shared" ref="J25:U25" si="13">J16*$C$25*$D$25*$G$25</f>
        <v>0</v>
      </c>
      <c r="K25" s="47">
        <f t="shared" si="13"/>
        <v>0</v>
      </c>
      <c r="L25" s="47">
        <f t="shared" si="13"/>
        <v>0</v>
      </c>
      <c r="M25" s="47">
        <f t="shared" si="13"/>
        <v>0</v>
      </c>
      <c r="N25" s="47">
        <f t="shared" si="13"/>
        <v>0</v>
      </c>
      <c r="O25" s="47">
        <f t="shared" si="13"/>
        <v>0</v>
      </c>
      <c r="P25" s="47">
        <f t="shared" si="13"/>
        <v>0</v>
      </c>
      <c r="Q25" s="47">
        <f t="shared" si="13"/>
        <v>0</v>
      </c>
      <c r="R25" s="47">
        <f t="shared" si="13"/>
        <v>0</v>
      </c>
      <c r="S25" s="47">
        <f t="shared" si="13"/>
        <v>0</v>
      </c>
      <c r="T25" s="47">
        <f t="shared" si="13"/>
        <v>0</v>
      </c>
      <c r="U25" s="48">
        <f t="shared" si="13"/>
        <v>0</v>
      </c>
      <c r="W25" s="38" t="e">
        <f t="shared" si="7"/>
        <v>#DIV/0!</v>
      </c>
      <c r="X25" s="1" t="str">
        <f t="shared" si="8"/>
        <v>FW</v>
      </c>
    </row>
    <row r="26" spans="1:24" x14ac:dyDescent="0.25">
      <c r="A26" s="11"/>
      <c r="B26" s="242" t="s">
        <v>37</v>
      </c>
      <c r="C26" s="312">
        <v>0</v>
      </c>
      <c r="D26" s="406">
        <v>1</v>
      </c>
      <c r="E26" s="388" t="s">
        <v>21</v>
      </c>
      <c r="F26" s="389">
        <f t="shared" si="4"/>
        <v>0</v>
      </c>
      <c r="G26" s="315"/>
      <c r="H26" s="45">
        <f t="shared" si="5"/>
        <v>0</v>
      </c>
      <c r="I26" s="46"/>
      <c r="J26" s="47">
        <f t="shared" ref="J26:U26" si="14">J16*$C$26*$D$26*$G$26</f>
        <v>0</v>
      </c>
      <c r="K26" s="47">
        <f t="shared" si="14"/>
        <v>0</v>
      </c>
      <c r="L26" s="47">
        <f t="shared" si="14"/>
        <v>0</v>
      </c>
      <c r="M26" s="47">
        <f t="shared" si="14"/>
        <v>0</v>
      </c>
      <c r="N26" s="47">
        <f t="shared" si="14"/>
        <v>0</v>
      </c>
      <c r="O26" s="47">
        <f t="shared" si="14"/>
        <v>0</v>
      </c>
      <c r="P26" s="47">
        <f t="shared" si="14"/>
        <v>0</v>
      </c>
      <c r="Q26" s="47">
        <f t="shared" si="14"/>
        <v>0</v>
      </c>
      <c r="R26" s="47">
        <f t="shared" si="14"/>
        <v>0</v>
      </c>
      <c r="S26" s="47">
        <f t="shared" si="14"/>
        <v>0</v>
      </c>
      <c r="T26" s="47">
        <f t="shared" si="14"/>
        <v>0</v>
      </c>
      <c r="U26" s="48">
        <f t="shared" si="14"/>
        <v>0</v>
      </c>
      <c r="W26" s="38" t="e">
        <f t="shared" si="7"/>
        <v>#DIV/0!</v>
      </c>
      <c r="X26" t="str">
        <f t="shared" si="8"/>
        <v>Euc Pulp</v>
      </c>
    </row>
    <row r="27" spans="1:24" x14ac:dyDescent="0.25">
      <c r="A27" s="11"/>
      <c r="B27" s="242" t="s">
        <v>174</v>
      </c>
      <c r="C27" s="312">
        <v>0</v>
      </c>
      <c r="D27" s="406">
        <v>1</v>
      </c>
      <c r="E27" s="388" t="s">
        <v>21</v>
      </c>
      <c r="F27" s="389">
        <f t="shared" si="4"/>
        <v>0</v>
      </c>
      <c r="G27" s="315"/>
      <c r="H27" s="45">
        <f t="shared" si="5"/>
        <v>0</v>
      </c>
      <c r="I27" s="46"/>
      <c r="J27" s="47">
        <f t="shared" ref="J27:U27" si="15">J16*$C$27*$D$27*$G$27</f>
        <v>0</v>
      </c>
      <c r="K27" s="47">
        <f t="shared" si="15"/>
        <v>0</v>
      </c>
      <c r="L27" s="47">
        <f t="shared" si="15"/>
        <v>0</v>
      </c>
      <c r="M27" s="47">
        <f t="shared" si="15"/>
        <v>0</v>
      </c>
      <c r="N27" s="47">
        <f t="shared" si="15"/>
        <v>0</v>
      </c>
      <c r="O27" s="47">
        <f t="shared" si="15"/>
        <v>0</v>
      </c>
      <c r="P27" s="47">
        <f t="shared" si="15"/>
        <v>0</v>
      </c>
      <c r="Q27" s="47">
        <f t="shared" si="15"/>
        <v>0</v>
      </c>
      <c r="R27" s="47">
        <f t="shared" si="15"/>
        <v>0</v>
      </c>
      <c r="S27" s="47">
        <f t="shared" si="15"/>
        <v>0</v>
      </c>
      <c r="T27" s="47">
        <f t="shared" si="15"/>
        <v>0</v>
      </c>
      <c r="U27" s="48">
        <f t="shared" si="15"/>
        <v>0</v>
      </c>
      <c r="W27" s="38" t="e">
        <f t="shared" si="7"/>
        <v>#DIV/0!</v>
      </c>
      <c r="X27" s="1" t="str">
        <f t="shared" si="8"/>
        <v>Binwood</v>
      </c>
    </row>
    <row r="28" spans="1:24" x14ac:dyDescent="0.25">
      <c r="A28" s="11"/>
      <c r="B28" s="376" t="s">
        <v>202</v>
      </c>
      <c r="C28" s="378">
        <v>0</v>
      </c>
      <c r="D28" s="407"/>
      <c r="E28" s="390" t="s">
        <v>21</v>
      </c>
      <c r="F28" s="391">
        <f t="shared" ref="F28:F40" si="16">IFERROR(H28/G28/D28,0)</f>
        <v>0</v>
      </c>
      <c r="G28" s="379"/>
      <c r="H28" s="45">
        <f t="shared" si="5"/>
        <v>0</v>
      </c>
      <c r="I28" s="46"/>
      <c r="J28" s="47">
        <f t="shared" ref="J28:U28" si="17">J16*$C$28*$D$28*$G$28</f>
        <v>0</v>
      </c>
      <c r="K28" s="47">
        <f t="shared" si="17"/>
        <v>0</v>
      </c>
      <c r="L28" s="47">
        <f t="shared" si="17"/>
        <v>0</v>
      </c>
      <c r="M28" s="47">
        <f t="shared" si="17"/>
        <v>0</v>
      </c>
      <c r="N28" s="47">
        <f t="shared" si="17"/>
        <v>0</v>
      </c>
      <c r="O28" s="47">
        <f t="shared" si="17"/>
        <v>0</v>
      </c>
      <c r="P28" s="47">
        <f t="shared" si="17"/>
        <v>0</v>
      </c>
      <c r="Q28" s="47">
        <f t="shared" si="17"/>
        <v>0</v>
      </c>
      <c r="R28" s="47">
        <f t="shared" si="17"/>
        <v>0</v>
      </c>
      <c r="S28" s="47">
        <f t="shared" si="17"/>
        <v>0</v>
      </c>
      <c r="T28" s="47">
        <f t="shared" si="17"/>
        <v>0</v>
      </c>
      <c r="U28" s="48">
        <f t="shared" si="17"/>
        <v>0</v>
      </c>
      <c r="W28" s="38" t="e">
        <f t="shared" si="7"/>
        <v>#DIV/0!</v>
      </c>
      <c r="X28" s="1" t="str">
        <f t="shared" si="8"/>
        <v>Spare Grade</v>
      </c>
    </row>
    <row r="29" spans="1:24" x14ac:dyDescent="0.25">
      <c r="A29" s="11"/>
      <c r="B29" s="243" t="s">
        <v>175</v>
      </c>
      <c r="C29" s="313">
        <v>0</v>
      </c>
      <c r="D29" s="408">
        <v>0.96946340538490705</v>
      </c>
      <c r="E29" s="388" t="s">
        <v>19</v>
      </c>
      <c r="F29" s="389">
        <f t="shared" si="16"/>
        <v>0</v>
      </c>
      <c r="G29" s="316"/>
      <c r="H29" s="45">
        <f t="shared" si="5"/>
        <v>0</v>
      </c>
      <c r="I29" s="46"/>
      <c r="J29" s="47">
        <f t="shared" ref="J29:U29" si="18">J16*$C$29*$D$29*$G$29</f>
        <v>0</v>
      </c>
      <c r="K29" s="47">
        <f t="shared" si="18"/>
        <v>0</v>
      </c>
      <c r="L29" s="47">
        <f t="shared" si="18"/>
        <v>0</v>
      </c>
      <c r="M29" s="47">
        <f t="shared" si="18"/>
        <v>0</v>
      </c>
      <c r="N29" s="47">
        <f t="shared" si="18"/>
        <v>0</v>
      </c>
      <c r="O29" s="47">
        <f t="shared" si="18"/>
        <v>0</v>
      </c>
      <c r="P29" s="47">
        <f t="shared" si="18"/>
        <v>0</v>
      </c>
      <c r="Q29" s="47">
        <f t="shared" si="18"/>
        <v>0</v>
      </c>
      <c r="R29" s="47">
        <f t="shared" si="18"/>
        <v>0</v>
      </c>
      <c r="S29" s="47">
        <f t="shared" si="18"/>
        <v>0</v>
      </c>
      <c r="T29" s="47">
        <f t="shared" si="18"/>
        <v>0</v>
      </c>
      <c r="U29" s="48">
        <f t="shared" si="18"/>
        <v>0</v>
      </c>
      <c r="W29" s="38" t="e">
        <f t="shared" si="7"/>
        <v>#DIV/0!</v>
      </c>
      <c r="X29" s="1" t="str">
        <f t="shared" si="8"/>
        <v>P40</v>
      </c>
    </row>
    <row r="30" spans="1:24" x14ac:dyDescent="0.25">
      <c r="A30" s="11"/>
      <c r="B30" s="243" t="s">
        <v>176</v>
      </c>
      <c r="C30" s="313">
        <v>0</v>
      </c>
      <c r="D30" s="408">
        <v>1</v>
      </c>
      <c r="E30" s="388" t="s">
        <v>19</v>
      </c>
      <c r="F30" s="389">
        <f t="shared" si="16"/>
        <v>0</v>
      </c>
      <c r="G30" s="316"/>
      <c r="H30" s="45">
        <f t="shared" si="5"/>
        <v>0</v>
      </c>
      <c r="I30" s="46"/>
      <c r="J30" s="47">
        <f t="shared" ref="J30:U30" si="19">J16*$C$30*$D$30*$G$30</f>
        <v>0</v>
      </c>
      <c r="K30" s="47">
        <f t="shared" si="19"/>
        <v>0</v>
      </c>
      <c r="L30" s="47">
        <f t="shared" si="19"/>
        <v>0</v>
      </c>
      <c r="M30" s="47">
        <f t="shared" si="19"/>
        <v>0</v>
      </c>
      <c r="N30" s="47">
        <f t="shared" si="19"/>
        <v>0</v>
      </c>
      <c r="O30" s="47">
        <f t="shared" si="19"/>
        <v>0</v>
      </c>
      <c r="P30" s="47">
        <f t="shared" si="19"/>
        <v>0</v>
      </c>
      <c r="Q30" s="47">
        <f t="shared" si="19"/>
        <v>0</v>
      </c>
      <c r="R30" s="47">
        <f t="shared" si="19"/>
        <v>0</v>
      </c>
      <c r="S30" s="47">
        <f t="shared" si="19"/>
        <v>0</v>
      </c>
      <c r="T30" s="47">
        <f t="shared" si="19"/>
        <v>0</v>
      </c>
      <c r="U30" s="48">
        <f t="shared" si="19"/>
        <v>0</v>
      </c>
      <c r="W30" s="38" t="e">
        <f t="shared" si="7"/>
        <v>#DIV/0!</v>
      </c>
      <c r="X30" s="1" t="str">
        <f t="shared" si="8"/>
        <v>P30</v>
      </c>
    </row>
    <row r="31" spans="1:24" x14ac:dyDescent="0.25">
      <c r="A31" s="11"/>
      <c r="B31" s="246" t="s">
        <v>23</v>
      </c>
      <c r="C31" s="313">
        <v>0.2</v>
      </c>
      <c r="D31" s="408">
        <v>1.02</v>
      </c>
      <c r="E31" s="392" t="s">
        <v>19</v>
      </c>
      <c r="F31" s="389">
        <f t="shared" si="16"/>
        <v>0</v>
      </c>
      <c r="G31" s="316"/>
      <c r="H31" s="45">
        <f t="shared" si="5"/>
        <v>0</v>
      </c>
      <c r="I31" s="46"/>
      <c r="J31" s="47">
        <f t="shared" ref="J31:U31" si="20">J16*$C$31*$D$31*$G$31</f>
        <v>0</v>
      </c>
      <c r="K31" s="47">
        <f t="shared" si="20"/>
        <v>0</v>
      </c>
      <c r="L31" s="47">
        <f t="shared" si="20"/>
        <v>0</v>
      </c>
      <c r="M31" s="47">
        <f t="shared" si="20"/>
        <v>0</v>
      </c>
      <c r="N31" s="47">
        <f t="shared" si="20"/>
        <v>0</v>
      </c>
      <c r="O31" s="47">
        <f t="shared" si="20"/>
        <v>0</v>
      </c>
      <c r="P31" s="47">
        <f t="shared" si="20"/>
        <v>0</v>
      </c>
      <c r="Q31" s="47">
        <f t="shared" si="20"/>
        <v>0</v>
      </c>
      <c r="R31" s="47">
        <f t="shared" si="20"/>
        <v>0</v>
      </c>
      <c r="S31" s="47">
        <f t="shared" si="20"/>
        <v>0</v>
      </c>
      <c r="T31" s="47">
        <f t="shared" si="20"/>
        <v>0</v>
      </c>
      <c r="U31" s="48">
        <f t="shared" si="20"/>
        <v>0</v>
      </c>
      <c r="W31" s="38" t="e">
        <f t="shared" si="7"/>
        <v>#DIV/0!</v>
      </c>
      <c r="X31" s="1" t="str">
        <f t="shared" si="8"/>
        <v>AO</v>
      </c>
    </row>
    <row r="32" spans="1:24" x14ac:dyDescent="0.25">
      <c r="A32" s="11"/>
      <c r="B32" s="246" t="s">
        <v>24</v>
      </c>
      <c r="C32" s="313">
        <v>0.44</v>
      </c>
      <c r="D32" s="408">
        <v>1.01</v>
      </c>
      <c r="E32" s="392" t="s">
        <v>19</v>
      </c>
      <c r="F32" s="389">
        <f t="shared" si="16"/>
        <v>0</v>
      </c>
      <c r="G32" s="316"/>
      <c r="H32" s="45">
        <f t="shared" si="5"/>
        <v>0</v>
      </c>
      <c r="I32" s="46"/>
      <c r="J32" s="47">
        <f t="shared" ref="J32:U32" si="21">J16*$C$32*$D$32*$G$32</f>
        <v>0</v>
      </c>
      <c r="K32" s="47">
        <f t="shared" si="21"/>
        <v>0</v>
      </c>
      <c r="L32" s="47">
        <f t="shared" si="21"/>
        <v>0</v>
      </c>
      <c r="M32" s="47">
        <f t="shared" si="21"/>
        <v>0</v>
      </c>
      <c r="N32" s="47">
        <f t="shared" si="21"/>
        <v>0</v>
      </c>
      <c r="O32" s="47">
        <f t="shared" si="21"/>
        <v>0</v>
      </c>
      <c r="P32" s="47">
        <f t="shared" si="21"/>
        <v>0</v>
      </c>
      <c r="Q32" s="47">
        <f t="shared" si="21"/>
        <v>0</v>
      </c>
      <c r="R32" s="47">
        <f t="shared" si="21"/>
        <v>0</v>
      </c>
      <c r="S32" s="47">
        <f t="shared" si="21"/>
        <v>0</v>
      </c>
      <c r="T32" s="47">
        <f t="shared" si="21"/>
        <v>0</v>
      </c>
      <c r="U32" s="48">
        <f t="shared" si="21"/>
        <v>0</v>
      </c>
      <c r="W32" s="38" t="e">
        <f t="shared" si="7"/>
        <v>#DIV/0!</v>
      </c>
      <c r="X32" s="1" t="str">
        <f t="shared" si="8"/>
        <v>A</v>
      </c>
    </row>
    <row r="33" spans="1:24" x14ac:dyDescent="0.25">
      <c r="A33" s="11"/>
      <c r="B33" s="246" t="s">
        <v>26</v>
      </c>
      <c r="C33" s="313">
        <v>0.2</v>
      </c>
      <c r="D33" s="408">
        <v>0.92</v>
      </c>
      <c r="E33" s="392" t="s">
        <v>19</v>
      </c>
      <c r="F33" s="389">
        <f t="shared" si="16"/>
        <v>0</v>
      </c>
      <c r="G33" s="316"/>
      <c r="H33" s="45">
        <f t="shared" si="5"/>
        <v>0</v>
      </c>
      <c r="I33" s="46"/>
      <c r="J33" s="47">
        <f t="shared" ref="J33:U33" si="22">J16*$C$33*$D$33*$G$33</f>
        <v>0</v>
      </c>
      <c r="K33" s="47">
        <f t="shared" si="22"/>
        <v>0</v>
      </c>
      <c r="L33" s="47">
        <f t="shared" si="22"/>
        <v>0</v>
      </c>
      <c r="M33" s="47">
        <f t="shared" si="22"/>
        <v>0</v>
      </c>
      <c r="N33" s="47">
        <f t="shared" si="22"/>
        <v>0</v>
      </c>
      <c r="O33" s="47">
        <f t="shared" si="22"/>
        <v>0</v>
      </c>
      <c r="P33" s="47">
        <f t="shared" si="22"/>
        <v>0</v>
      </c>
      <c r="Q33" s="47">
        <f t="shared" si="22"/>
        <v>0</v>
      </c>
      <c r="R33" s="47">
        <f t="shared" si="22"/>
        <v>0</v>
      </c>
      <c r="S33" s="47">
        <f t="shared" si="22"/>
        <v>0</v>
      </c>
      <c r="T33" s="47">
        <f t="shared" si="22"/>
        <v>0</v>
      </c>
      <c r="U33" s="48">
        <f t="shared" si="22"/>
        <v>0</v>
      </c>
      <c r="W33" s="38" t="e">
        <f t="shared" si="7"/>
        <v>#DIV/0!</v>
      </c>
      <c r="X33" s="1" t="str">
        <f t="shared" si="8"/>
        <v>K</v>
      </c>
    </row>
    <row r="34" spans="1:24" x14ac:dyDescent="0.25">
      <c r="A34" s="11"/>
      <c r="B34" s="243" t="s">
        <v>27</v>
      </c>
      <c r="C34" s="313">
        <v>0.01</v>
      </c>
      <c r="D34" s="408">
        <v>0.94</v>
      </c>
      <c r="E34" s="388" t="s">
        <v>19</v>
      </c>
      <c r="F34" s="389">
        <f t="shared" si="16"/>
        <v>0</v>
      </c>
      <c r="G34" s="316"/>
      <c r="H34" s="45">
        <f t="shared" si="5"/>
        <v>0</v>
      </c>
      <c r="I34" s="46"/>
      <c r="J34" s="47">
        <f t="shared" ref="J34:U34" si="23">J16*$C$34*$D$34*$G$34</f>
        <v>0</v>
      </c>
      <c r="K34" s="47">
        <f t="shared" si="23"/>
        <v>0</v>
      </c>
      <c r="L34" s="47">
        <f t="shared" si="23"/>
        <v>0</v>
      </c>
      <c r="M34" s="47">
        <f t="shared" si="23"/>
        <v>0</v>
      </c>
      <c r="N34" s="47">
        <f t="shared" si="23"/>
        <v>0</v>
      </c>
      <c r="O34" s="47">
        <f t="shared" si="23"/>
        <v>0</v>
      </c>
      <c r="P34" s="47">
        <f t="shared" si="23"/>
        <v>0</v>
      </c>
      <c r="Q34" s="47">
        <f t="shared" si="23"/>
        <v>0</v>
      </c>
      <c r="R34" s="47">
        <f t="shared" si="23"/>
        <v>0</v>
      </c>
      <c r="S34" s="47">
        <f t="shared" si="23"/>
        <v>0</v>
      </c>
      <c r="T34" s="47">
        <f t="shared" si="23"/>
        <v>0</v>
      </c>
      <c r="U34" s="48">
        <f t="shared" si="23"/>
        <v>0</v>
      </c>
      <c r="W34" s="38" t="e">
        <f t="shared" si="7"/>
        <v>#DIV/0!</v>
      </c>
      <c r="X34" s="1" t="str">
        <f t="shared" si="8"/>
        <v>KI</v>
      </c>
    </row>
    <row r="35" spans="1:24" x14ac:dyDescent="0.25">
      <c r="A35" s="11"/>
      <c r="B35" s="243" t="s">
        <v>29</v>
      </c>
      <c r="C35" s="313">
        <v>8.3000000000000004E-2</v>
      </c>
      <c r="D35" s="408">
        <v>0.88</v>
      </c>
      <c r="E35" s="392" t="s">
        <v>19</v>
      </c>
      <c r="F35" s="389">
        <f t="shared" si="16"/>
        <v>0</v>
      </c>
      <c r="G35" s="316"/>
      <c r="H35" s="45">
        <f t="shared" si="5"/>
        <v>0</v>
      </c>
      <c r="I35" s="46"/>
      <c r="J35" s="47">
        <f t="shared" ref="J35:U35" si="24">J16*$C$35*$D$35*$G$35</f>
        <v>0</v>
      </c>
      <c r="K35" s="47">
        <f t="shared" si="24"/>
        <v>0</v>
      </c>
      <c r="L35" s="47">
        <f t="shared" si="24"/>
        <v>0</v>
      </c>
      <c r="M35" s="47">
        <f t="shared" si="24"/>
        <v>0</v>
      </c>
      <c r="N35" s="47">
        <f t="shared" si="24"/>
        <v>0</v>
      </c>
      <c r="O35" s="47">
        <f t="shared" si="24"/>
        <v>0</v>
      </c>
      <c r="P35" s="47">
        <f t="shared" si="24"/>
        <v>0</v>
      </c>
      <c r="Q35" s="47">
        <f t="shared" si="24"/>
        <v>0</v>
      </c>
      <c r="R35" s="47">
        <f t="shared" si="24"/>
        <v>0</v>
      </c>
      <c r="S35" s="47">
        <f t="shared" si="24"/>
        <v>0</v>
      </c>
      <c r="T35" s="47">
        <f t="shared" si="24"/>
        <v>0</v>
      </c>
      <c r="U35" s="48">
        <f t="shared" si="24"/>
        <v>0</v>
      </c>
      <c r="W35" s="38" t="e">
        <f t="shared" si="7"/>
        <v>#DIV/0!</v>
      </c>
      <c r="X35" s="1" t="str">
        <f t="shared" si="8"/>
        <v>KIS</v>
      </c>
    </row>
    <row r="36" spans="1:24" x14ac:dyDescent="0.25">
      <c r="A36" s="11"/>
      <c r="B36" s="246" t="s">
        <v>28</v>
      </c>
      <c r="C36" s="313"/>
      <c r="D36" s="408"/>
      <c r="E36" s="392" t="s">
        <v>19</v>
      </c>
      <c r="F36" s="389">
        <f t="shared" si="16"/>
        <v>0</v>
      </c>
      <c r="G36" s="316"/>
      <c r="H36" s="45">
        <f t="shared" si="5"/>
        <v>0</v>
      </c>
      <c r="I36" s="46"/>
      <c r="J36" s="47">
        <f t="shared" ref="J36:U36" si="25">J16*$C$36*$D$36*$G$36</f>
        <v>0</v>
      </c>
      <c r="K36" s="47">
        <f t="shared" si="25"/>
        <v>0</v>
      </c>
      <c r="L36" s="47">
        <f t="shared" si="25"/>
        <v>0</v>
      </c>
      <c r="M36" s="47">
        <f t="shared" si="25"/>
        <v>0</v>
      </c>
      <c r="N36" s="47">
        <f t="shared" si="25"/>
        <v>0</v>
      </c>
      <c r="O36" s="47">
        <f t="shared" si="25"/>
        <v>0</v>
      </c>
      <c r="P36" s="47">
        <f t="shared" si="25"/>
        <v>0</v>
      </c>
      <c r="Q36" s="47">
        <f t="shared" si="25"/>
        <v>0</v>
      </c>
      <c r="R36" s="47">
        <f t="shared" si="25"/>
        <v>0</v>
      </c>
      <c r="S36" s="47">
        <f t="shared" si="25"/>
        <v>0</v>
      </c>
      <c r="T36" s="47">
        <f t="shared" si="25"/>
        <v>0</v>
      </c>
      <c r="U36" s="48">
        <f t="shared" si="25"/>
        <v>0</v>
      </c>
      <c r="W36" s="38" t="e">
        <f t="shared" si="7"/>
        <v>#DIV/0!</v>
      </c>
      <c r="X36" s="1" t="str">
        <f t="shared" si="8"/>
        <v>KI stub</v>
      </c>
    </row>
    <row r="37" spans="1:24" x14ac:dyDescent="0.25">
      <c r="A37" s="11"/>
      <c r="B37" s="246" t="s">
        <v>31</v>
      </c>
      <c r="C37" s="313"/>
      <c r="D37" s="408"/>
      <c r="E37" s="392" t="s">
        <v>19</v>
      </c>
      <c r="F37" s="389">
        <f t="shared" si="16"/>
        <v>0</v>
      </c>
      <c r="G37" s="316"/>
      <c r="H37" s="45">
        <f t="shared" si="5"/>
        <v>0</v>
      </c>
      <c r="I37" s="46"/>
      <c r="J37" s="47">
        <f t="shared" ref="J37:U37" si="26">J16*$C$37*$D$37*$G$37</f>
        <v>0</v>
      </c>
      <c r="K37" s="47">
        <f t="shared" si="26"/>
        <v>0</v>
      </c>
      <c r="L37" s="47">
        <f t="shared" si="26"/>
        <v>0</v>
      </c>
      <c r="M37" s="47">
        <f t="shared" si="26"/>
        <v>0</v>
      </c>
      <c r="N37" s="47">
        <f t="shared" si="26"/>
        <v>0</v>
      </c>
      <c r="O37" s="47">
        <f t="shared" si="26"/>
        <v>0</v>
      </c>
      <c r="P37" s="47">
        <f t="shared" si="26"/>
        <v>0</v>
      </c>
      <c r="Q37" s="47">
        <f t="shared" si="26"/>
        <v>0</v>
      </c>
      <c r="R37" s="47">
        <f t="shared" si="26"/>
        <v>0</v>
      </c>
      <c r="S37" s="47">
        <f t="shared" si="26"/>
        <v>0</v>
      </c>
      <c r="T37" s="47">
        <f t="shared" si="26"/>
        <v>0</v>
      </c>
      <c r="U37" s="48">
        <f t="shared" si="26"/>
        <v>0</v>
      </c>
      <c r="W37" s="38" t="e">
        <f t="shared" si="7"/>
        <v>#DIV/0!</v>
      </c>
      <c r="X37" s="1" t="str">
        <f t="shared" si="8"/>
        <v>CF+</v>
      </c>
    </row>
    <row r="38" spans="1:24" x14ac:dyDescent="0.25">
      <c r="A38" s="11"/>
      <c r="B38" s="246" t="s">
        <v>32</v>
      </c>
      <c r="C38" s="313"/>
      <c r="D38" s="408"/>
      <c r="E38" s="392" t="s">
        <v>19</v>
      </c>
      <c r="F38" s="389">
        <f t="shared" si="16"/>
        <v>0</v>
      </c>
      <c r="G38" s="316"/>
      <c r="H38" s="45">
        <f t="shared" si="5"/>
        <v>0</v>
      </c>
      <c r="I38" s="46"/>
      <c r="J38" s="47">
        <f t="shared" ref="J38:U38" si="27">J16*$C$38*$D$38*$G$38</f>
        <v>0</v>
      </c>
      <c r="K38" s="47">
        <f t="shared" si="27"/>
        <v>0</v>
      </c>
      <c r="L38" s="47">
        <f t="shared" si="27"/>
        <v>0</v>
      </c>
      <c r="M38" s="47">
        <f t="shared" si="27"/>
        <v>0</v>
      </c>
      <c r="N38" s="47">
        <f t="shared" si="27"/>
        <v>0</v>
      </c>
      <c r="O38" s="47">
        <f t="shared" si="27"/>
        <v>0</v>
      </c>
      <c r="P38" s="47">
        <f t="shared" si="27"/>
        <v>0</v>
      </c>
      <c r="Q38" s="47">
        <f t="shared" si="27"/>
        <v>0</v>
      </c>
      <c r="R38" s="47">
        <f t="shared" si="27"/>
        <v>0</v>
      </c>
      <c r="S38" s="47">
        <f t="shared" si="27"/>
        <v>0</v>
      </c>
      <c r="T38" s="47">
        <f t="shared" si="27"/>
        <v>0</v>
      </c>
      <c r="U38" s="48">
        <f t="shared" si="27"/>
        <v>0</v>
      </c>
      <c r="W38" s="38" t="e">
        <f t="shared" si="7"/>
        <v>#DIV/0!</v>
      </c>
      <c r="X38" s="1" t="str">
        <f t="shared" si="8"/>
        <v>CF-</v>
      </c>
    </row>
    <row r="39" spans="1:24" x14ac:dyDescent="0.25">
      <c r="A39" s="11"/>
      <c r="B39" s="246" t="s">
        <v>33</v>
      </c>
      <c r="C39" s="313"/>
      <c r="D39" s="408"/>
      <c r="E39" s="392" t="s">
        <v>19</v>
      </c>
      <c r="F39" s="389">
        <f t="shared" si="16"/>
        <v>0</v>
      </c>
      <c r="G39" s="316"/>
      <c r="H39" s="45">
        <f t="shared" si="5"/>
        <v>0</v>
      </c>
      <c r="I39" s="46"/>
      <c r="J39" s="47">
        <f t="shared" ref="J39:U39" si="28">J16*$C$39*$D$39*$G$39</f>
        <v>0</v>
      </c>
      <c r="K39" s="47">
        <f t="shared" si="28"/>
        <v>0</v>
      </c>
      <c r="L39" s="47">
        <f t="shared" si="28"/>
        <v>0</v>
      </c>
      <c r="M39" s="47">
        <f t="shared" si="28"/>
        <v>0</v>
      </c>
      <c r="N39" s="47">
        <f t="shared" si="28"/>
        <v>0</v>
      </c>
      <c r="O39" s="47">
        <f t="shared" si="28"/>
        <v>0</v>
      </c>
      <c r="P39" s="47">
        <f t="shared" si="28"/>
        <v>0</v>
      </c>
      <c r="Q39" s="47">
        <f t="shared" si="28"/>
        <v>0</v>
      </c>
      <c r="R39" s="47">
        <f t="shared" si="28"/>
        <v>0</v>
      </c>
      <c r="S39" s="47">
        <f t="shared" si="28"/>
        <v>0</v>
      </c>
      <c r="T39" s="47">
        <f t="shared" si="28"/>
        <v>0</v>
      </c>
      <c r="U39" s="48">
        <f t="shared" si="28"/>
        <v>0</v>
      </c>
      <c r="W39" s="38" t="e">
        <f t="shared" si="7"/>
        <v>#DIV/0!</v>
      </c>
      <c r="X39" s="1" t="str">
        <f t="shared" si="8"/>
        <v>CM</v>
      </c>
    </row>
    <row r="40" spans="1:24" x14ac:dyDescent="0.25">
      <c r="A40" s="11"/>
      <c r="B40" s="243" t="s">
        <v>35</v>
      </c>
      <c r="C40" s="313"/>
      <c r="D40" s="408"/>
      <c r="E40" s="392" t="s">
        <v>19</v>
      </c>
      <c r="F40" s="389">
        <f t="shared" si="16"/>
        <v>0</v>
      </c>
      <c r="G40" s="316"/>
      <c r="H40" s="45">
        <f t="shared" si="5"/>
        <v>0</v>
      </c>
      <c r="I40" s="46"/>
      <c r="J40" s="47">
        <f t="shared" ref="J40:U40" si="29">J16*$C$40*$D$40*$G$40</f>
        <v>0</v>
      </c>
      <c r="K40" s="47">
        <f t="shared" si="29"/>
        <v>0</v>
      </c>
      <c r="L40" s="47">
        <f t="shared" si="29"/>
        <v>0</v>
      </c>
      <c r="M40" s="47">
        <f t="shared" si="29"/>
        <v>0</v>
      </c>
      <c r="N40" s="47">
        <f t="shared" si="29"/>
        <v>0</v>
      </c>
      <c r="O40" s="47">
        <f t="shared" si="29"/>
        <v>0</v>
      </c>
      <c r="P40" s="47">
        <f t="shared" si="29"/>
        <v>0</v>
      </c>
      <c r="Q40" s="47">
        <f t="shared" si="29"/>
        <v>0</v>
      </c>
      <c r="R40" s="47">
        <f t="shared" si="29"/>
        <v>0</v>
      </c>
      <c r="S40" s="47">
        <f t="shared" si="29"/>
        <v>0</v>
      </c>
      <c r="T40" s="47">
        <f t="shared" si="29"/>
        <v>0</v>
      </c>
      <c r="U40" s="48">
        <f t="shared" si="29"/>
        <v>0</v>
      </c>
      <c r="W40" s="38" t="e">
        <f t="shared" si="7"/>
        <v>#DIV/0!</v>
      </c>
      <c r="X40" s="1" t="str">
        <f t="shared" si="8"/>
        <v>Euc A</v>
      </c>
    </row>
    <row r="41" spans="1:24" x14ac:dyDescent="0.25">
      <c r="A41" s="11"/>
      <c r="B41" s="243" t="s">
        <v>36</v>
      </c>
      <c r="C41" s="313"/>
      <c r="D41" s="408"/>
      <c r="E41" s="392"/>
      <c r="F41" s="389"/>
      <c r="G41" s="316"/>
      <c r="H41" s="45">
        <f t="shared" si="5"/>
        <v>0</v>
      </c>
      <c r="I41" s="46"/>
      <c r="J41" s="47">
        <f t="shared" ref="J41:U41" si="30">J16*$C$41*$D$41*$G$41</f>
        <v>0</v>
      </c>
      <c r="K41" s="47">
        <f t="shared" si="30"/>
        <v>0</v>
      </c>
      <c r="L41" s="47">
        <f t="shared" si="30"/>
        <v>0</v>
      </c>
      <c r="M41" s="47">
        <f t="shared" si="30"/>
        <v>0</v>
      </c>
      <c r="N41" s="47">
        <f t="shared" si="30"/>
        <v>0</v>
      </c>
      <c r="O41" s="47">
        <f t="shared" si="30"/>
        <v>0</v>
      </c>
      <c r="P41" s="47">
        <f t="shared" si="30"/>
        <v>0</v>
      </c>
      <c r="Q41" s="47">
        <f t="shared" si="30"/>
        <v>0</v>
      </c>
      <c r="R41" s="47">
        <f t="shared" si="30"/>
        <v>0</v>
      </c>
      <c r="S41" s="47">
        <f t="shared" si="30"/>
        <v>0</v>
      </c>
      <c r="T41" s="47">
        <f t="shared" si="30"/>
        <v>0</v>
      </c>
      <c r="U41" s="48">
        <f t="shared" si="30"/>
        <v>0</v>
      </c>
      <c r="W41" s="38" t="e">
        <f t="shared" si="7"/>
        <v>#DIV/0!</v>
      </c>
      <c r="X41" s="1" t="str">
        <f t="shared" si="8"/>
        <v>Euc K</v>
      </c>
    </row>
    <row r="42" spans="1:24" ht="15.75" thickBot="1" x14ac:dyDescent="0.3">
      <c r="A42" s="11"/>
      <c r="B42" s="49"/>
      <c r="C42" s="314">
        <f>SUM(C20:C41)</f>
        <v>1.0029999999999999</v>
      </c>
      <c r="D42" s="51"/>
      <c r="E42" s="52"/>
      <c r="F42" s="53"/>
      <c r="G42" s="54"/>
      <c r="H42" s="54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318"/>
    </row>
    <row r="43" spans="1:24" ht="15.75" thickTop="1" x14ac:dyDescent="0.25">
      <c r="A43" s="11"/>
      <c r="B43" s="55" t="s">
        <v>39</v>
      </c>
      <c r="C43" s="51">
        <f>SUMIF(E20:E41,"JAS",C20:C41)</f>
        <v>0.93300000000000005</v>
      </c>
      <c r="D43" s="51"/>
      <c r="E43" s="52"/>
      <c r="F43" s="53"/>
      <c r="G43" s="54"/>
      <c r="H43" s="45">
        <f>SUM(J43:U43)</f>
        <v>0</v>
      </c>
      <c r="I43" s="46"/>
      <c r="J43" s="56">
        <f t="shared" ref="J43:U43" si="31">SUM(J28:J41)</f>
        <v>0</v>
      </c>
      <c r="K43" s="56">
        <f t="shared" si="31"/>
        <v>0</v>
      </c>
      <c r="L43" s="56">
        <f t="shared" si="31"/>
        <v>0</v>
      </c>
      <c r="M43" s="56">
        <f t="shared" si="31"/>
        <v>0</v>
      </c>
      <c r="N43" s="56">
        <f t="shared" si="31"/>
        <v>0</v>
      </c>
      <c r="O43" s="56">
        <f t="shared" si="31"/>
        <v>0</v>
      </c>
      <c r="P43" s="56">
        <f t="shared" si="31"/>
        <v>0</v>
      </c>
      <c r="Q43" s="56">
        <f t="shared" si="31"/>
        <v>0</v>
      </c>
      <c r="R43" s="56">
        <f t="shared" si="31"/>
        <v>0</v>
      </c>
      <c r="S43" s="56">
        <f t="shared" si="31"/>
        <v>0</v>
      </c>
      <c r="T43" s="56">
        <f t="shared" si="31"/>
        <v>0</v>
      </c>
      <c r="U43" s="57">
        <f t="shared" si="31"/>
        <v>0</v>
      </c>
      <c r="W43" s="38" t="e">
        <f>SUM(W20:W42)</f>
        <v>#DIV/0!</v>
      </c>
    </row>
    <row r="44" spans="1:24" x14ac:dyDescent="0.25">
      <c r="A44" s="11"/>
      <c r="B44" s="55" t="s">
        <v>40</v>
      </c>
      <c r="C44" s="51">
        <f>SUMIF(E20:E41,"Tonnes",C20:C41)</f>
        <v>7.0000000000000007E-2</v>
      </c>
      <c r="D44" s="51"/>
      <c r="E44" s="52"/>
      <c r="F44" s="53"/>
      <c r="G44" s="54"/>
      <c r="H44" s="45">
        <f>SUM(J44:U44)</f>
        <v>0</v>
      </c>
      <c r="I44" s="46"/>
      <c r="J44" s="56">
        <f t="shared" ref="J44:U44" si="32">SUM(J20:J27)</f>
        <v>0</v>
      </c>
      <c r="K44" s="56">
        <f t="shared" si="32"/>
        <v>0</v>
      </c>
      <c r="L44" s="56">
        <f t="shared" si="32"/>
        <v>0</v>
      </c>
      <c r="M44" s="56">
        <f t="shared" si="32"/>
        <v>0</v>
      </c>
      <c r="N44" s="56">
        <f t="shared" si="32"/>
        <v>0</v>
      </c>
      <c r="O44" s="56">
        <f t="shared" si="32"/>
        <v>0</v>
      </c>
      <c r="P44" s="56">
        <f t="shared" si="32"/>
        <v>0</v>
      </c>
      <c r="Q44" s="56">
        <f t="shared" si="32"/>
        <v>0</v>
      </c>
      <c r="R44" s="56">
        <f t="shared" si="32"/>
        <v>0</v>
      </c>
      <c r="S44" s="56">
        <f t="shared" si="32"/>
        <v>0</v>
      </c>
      <c r="T44" s="56">
        <f t="shared" si="32"/>
        <v>0</v>
      </c>
      <c r="U44" s="57">
        <f t="shared" si="32"/>
        <v>0</v>
      </c>
    </row>
    <row r="45" spans="1:24" ht="15.75" thickBot="1" x14ac:dyDescent="0.3">
      <c r="A45" s="11"/>
      <c r="B45" s="49"/>
      <c r="C45" s="51"/>
      <c r="D45" s="51"/>
      <c r="E45" s="52"/>
      <c r="F45" s="53"/>
      <c r="G45" s="54"/>
      <c r="H45" s="54"/>
      <c r="I45" s="46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8"/>
    </row>
    <row r="46" spans="1:24" ht="16.5" thickTop="1" thickBot="1" x14ac:dyDescent="0.3">
      <c r="A46" s="11"/>
      <c r="B46" s="59" t="s">
        <v>18</v>
      </c>
      <c r="C46" s="60"/>
      <c r="D46" s="60"/>
      <c r="E46" s="61"/>
      <c r="F46" s="62"/>
      <c r="G46" s="63" t="e">
        <f>H46/W16</f>
        <v>#DIV/0!</v>
      </c>
      <c r="H46" s="64">
        <f>SUM(H20:H41)</f>
        <v>0</v>
      </c>
      <c r="I46" s="65"/>
      <c r="J46" s="64">
        <f t="shared" ref="J46:U46" si="33">SUM(J20:J41)</f>
        <v>0</v>
      </c>
      <c r="K46" s="64">
        <f t="shared" si="33"/>
        <v>0</v>
      </c>
      <c r="L46" s="64">
        <f t="shared" si="33"/>
        <v>0</v>
      </c>
      <c r="M46" s="64">
        <f t="shared" si="33"/>
        <v>0</v>
      </c>
      <c r="N46" s="64">
        <f t="shared" si="33"/>
        <v>0</v>
      </c>
      <c r="O46" s="64">
        <f t="shared" si="33"/>
        <v>0</v>
      </c>
      <c r="P46" s="64">
        <f t="shared" si="33"/>
        <v>0</v>
      </c>
      <c r="Q46" s="64">
        <f t="shared" si="33"/>
        <v>0</v>
      </c>
      <c r="R46" s="64">
        <f t="shared" si="33"/>
        <v>0</v>
      </c>
      <c r="S46" s="64">
        <f t="shared" si="33"/>
        <v>0</v>
      </c>
      <c r="T46" s="64">
        <f t="shared" si="33"/>
        <v>0</v>
      </c>
      <c r="U46" s="66">
        <f t="shared" si="33"/>
        <v>0</v>
      </c>
      <c r="W46" s="67">
        <f>SUM(J46:U46)</f>
        <v>0</v>
      </c>
    </row>
    <row r="47" spans="1:24" x14ac:dyDescent="0.25">
      <c r="A47" s="11"/>
      <c r="B47" s="68"/>
      <c r="G47" s="52"/>
      <c r="H47" s="69"/>
      <c r="I47" s="69"/>
    </row>
    <row r="48" spans="1:24" ht="16.5" thickBot="1" x14ac:dyDescent="0.3">
      <c r="A48" s="11"/>
      <c r="B48" s="70" t="s">
        <v>41</v>
      </c>
      <c r="C48" s="80" t="s">
        <v>44</v>
      </c>
      <c r="D48" s="42" t="s">
        <v>220</v>
      </c>
    </row>
    <row r="49" spans="1:23" ht="15.75" thickBot="1" x14ac:dyDescent="0.3">
      <c r="A49" s="11"/>
      <c r="B49" s="71" t="s">
        <v>42</v>
      </c>
      <c r="C49" s="321" t="s">
        <v>193</v>
      </c>
      <c r="D49" s="324" t="s">
        <v>53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40"/>
    </row>
    <row r="50" spans="1:23" ht="15.75" thickBot="1" x14ac:dyDescent="0.3">
      <c r="A50" s="11"/>
      <c r="B50" s="72"/>
      <c r="C50" s="319"/>
      <c r="D50" s="43"/>
      <c r="E50" s="43"/>
      <c r="F50" s="43"/>
      <c r="G50" s="43"/>
      <c r="H50" s="42" t="s">
        <v>18</v>
      </c>
      <c r="I50" s="43"/>
      <c r="J50" s="178">
        <v>45658</v>
      </c>
      <c r="K50" s="178">
        <v>45689</v>
      </c>
      <c r="L50" s="178">
        <v>45717</v>
      </c>
      <c r="M50" s="178">
        <v>45748</v>
      </c>
      <c r="N50" s="178">
        <v>45778</v>
      </c>
      <c r="O50" s="178">
        <v>45809</v>
      </c>
      <c r="P50" s="178">
        <v>45839</v>
      </c>
      <c r="Q50" s="178">
        <v>45870</v>
      </c>
      <c r="R50" s="178">
        <v>45901</v>
      </c>
      <c r="S50" s="178">
        <v>45931</v>
      </c>
      <c r="T50" s="178">
        <v>45962</v>
      </c>
      <c r="U50" s="178">
        <v>45992</v>
      </c>
    </row>
    <row r="51" spans="1:23" ht="16.5" thickTop="1" thickBot="1" x14ac:dyDescent="0.3">
      <c r="A51" s="11"/>
      <c r="B51" s="73"/>
      <c r="C51" s="320"/>
      <c r="D51" s="74"/>
      <c r="E51" s="74"/>
      <c r="F51" s="74"/>
      <c r="G51" s="74" t="e">
        <f>H51/W16</f>
        <v>#DIV/0!</v>
      </c>
      <c r="H51" s="75">
        <f>SUM(J51:U51)</f>
        <v>0</v>
      </c>
      <c r="I51" s="76"/>
      <c r="J51" s="77">
        <f t="shared" ref="J51:U51" si="34">J16*J13</f>
        <v>0</v>
      </c>
      <c r="K51" s="77">
        <f t="shared" si="34"/>
        <v>0</v>
      </c>
      <c r="L51" s="77">
        <f t="shared" si="34"/>
        <v>0</v>
      </c>
      <c r="M51" s="77">
        <f t="shared" si="34"/>
        <v>0</v>
      </c>
      <c r="N51" s="77">
        <f t="shared" si="34"/>
        <v>0</v>
      </c>
      <c r="O51" s="77">
        <f t="shared" si="34"/>
        <v>0</v>
      </c>
      <c r="P51" s="77">
        <f t="shared" si="34"/>
        <v>0</v>
      </c>
      <c r="Q51" s="77">
        <f t="shared" si="34"/>
        <v>0</v>
      </c>
      <c r="R51" s="77">
        <f t="shared" si="34"/>
        <v>0</v>
      </c>
      <c r="S51" s="77">
        <f t="shared" si="34"/>
        <v>0</v>
      </c>
      <c r="T51" s="77">
        <f t="shared" si="34"/>
        <v>0</v>
      </c>
      <c r="U51" s="78">
        <f t="shared" si="34"/>
        <v>0</v>
      </c>
      <c r="W51" s="67">
        <f>SUM(J51:U51)</f>
        <v>0</v>
      </c>
    </row>
    <row r="52" spans="1:23" x14ac:dyDescent="0.25">
      <c r="A52" s="11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</row>
    <row r="53" spans="1:23" ht="15.75" thickBot="1" x14ac:dyDescent="0.3">
      <c r="A53" s="11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</row>
    <row r="54" spans="1:23" ht="15.75" thickBot="1" x14ac:dyDescent="0.3">
      <c r="A54" s="11"/>
      <c r="B54" s="71" t="s">
        <v>43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40"/>
    </row>
    <row r="55" spans="1:23" x14ac:dyDescent="0.25">
      <c r="A55" s="11"/>
      <c r="B55" s="41" t="s">
        <v>13</v>
      </c>
      <c r="C55" s="80" t="s">
        <v>44</v>
      </c>
      <c r="D55" s="42" t="s">
        <v>220</v>
      </c>
      <c r="E55" s="80" t="s">
        <v>45</v>
      </c>
      <c r="F55" s="80" t="s">
        <v>45</v>
      </c>
      <c r="G55" s="80" t="s">
        <v>46</v>
      </c>
      <c r="H55" s="81" t="s">
        <v>18</v>
      </c>
      <c r="I55" s="43"/>
      <c r="J55" s="178">
        <v>45658</v>
      </c>
      <c r="K55" s="178">
        <v>45689</v>
      </c>
      <c r="L55" s="178">
        <v>45717</v>
      </c>
      <c r="M55" s="178">
        <v>45748</v>
      </c>
      <c r="N55" s="178">
        <v>45778</v>
      </c>
      <c r="O55" s="178">
        <v>45809</v>
      </c>
      <c r="P55" s="178">
        <v>45839</v>
      </c>
      <c r="Q55" s="178">
        <v>45870</v>
      </c>
      <c r="R55" s="178">
        <v>45901</v>
      </c>
      <c r="S55" s="178">
        <v>45931</v>
      </c>
      <c r="T55" s="178">
        <v>45962</v>
      </c>
      <c r="U55" s="178">
        <v>45992</v>
      </c>
    </row>
    <row r="56" spans="1:23" x14ac:dyDescent="0.25">
      <c r="A56" s="11"/>
      <c r="B56" s="203" t="s">
        <v>20</v>
      </c>
      <c r="C56" s="321" t="s">
        <v>192</v>
      </c>
      <c r="D56" s="83" t="s">
        <v>47</v>
      </c>
      <c r="E56" s="393" t="s">
        <v>172</v>
      </c>
      <c r="F56" s="394"/>
      <c r="G56" s="360"/>
      <c r="H56" s="82">
        <f t="shared" ref="H56:H77" si="35">SUM(J56:U56)</f>
        <v>0</v>
      </c>
      <c r="I56" s="54"/>
      <c r="J56" s="325">
        <f t="shared" ref="J56:U56" si="36">IF($C20&gt;0,(J$16*$C20)*$G56,0)</f>
        <v>0</v>
      </c>
      <c r="K56" s="325">
        <f t="shared" si="36"/>
        <v>0</v>
      </c>
      <c r="L56" s="325">
        <f t="shared" si="36"/>
        <v>0</v>
      </c>
      <c r="M56" s="325">
        <f t="shared" si="36"/>
        <v>0</v>
      </c>
      <c r="N56" s="325">
        <f t="shared" si="36"/>
        <v>0</v>
      </c>
      <c r="O56" s="325">
        <f t="shared" si="36"/>
        <v>0</v>
      </c>
      <c r="P56" s="325">
        <f t="shared" si="36"/>
        <v>0</v>
      </c>
      <c r="Q56" s="325">
        <f t="shared" si="36"/>
        <v>0</v>
      </c>
      <c r="R56" s="325">
        <f t="shared" si="36"/>
        <v>0</v>
      </c>
      <c r="S56" s="325">
        <f t="shared" si="36"/>
        <v>0</v>
      </c>
      <c r="T56" s="325">
        <f t="shared" si="36"/>
        <v>0</v>
      </c>
      <c r="U56" s="326">
        <f t="shared" si="36"/>
        <v>0</v>
      </c>
    </row>
    <row r="57" spans="1:23" x14ac:dyDescent="0.25">
      <c r="A57" s="11"/>
      <c r="B57" s="102" t="s">
        <v>22</v>
      </c>
      <c r="C57" s="322" t="s">
        <v>192</v>
      </c>
      <c r="D57" s="207" t="s">
        <v>47</v>
      </c>
      <c r="E57" s="395" t="s">
        <v>172</v>
      </c>
      <c r="F57" s="361"/>
      <c r="G57" s="360"/>
      <c r="H57" s="82">
        <f t="shared" si="35"/>
        <v>0</v>
      </c>
      <c r="I57" s="54"/>
      <c r="J57" s="325">
        <f t="shared" ref="J57:U57" si="37">IF($C21&gt;0,(J$16*$C21)*$G57,0)</f>
        <v>0</v>
      </c>
      <c r="K57" s="325">
        <f t="shared" si="37"/>
        <v>0</v>
      </c>
      <c r="L57" s="325">
        <f t="shared" si="37"/>
        <v>0</v>
      </c>
      <c r="M57" s="325">
        <f t="shared" si="37"/>
        <v>0</v>
      </c>
      <c r="N57" s="325">
        <f t="shared" si="37"/>
        <v>0</v>
      </c>
      <c r="O57" s="325">
        <f t="shared" si="37"/>
        <v>0</v>
      </c>
      <c r="P57" s="325">
        <f t="shared" si="37"/>
        <v>0</v>
      </c>
      <c r="Q57" s="325">
        <f t="shared" si="37"/>
        <v>0</v>
      </c>
      <c r="R57" s="325">
        <f t="shared" si="37"/>
        <v>0</v>
      </c>
      <c r="S57" s="325">
        <f t="shared" si="37"/>
        <v>0</v>
      </c>
      <c r="T57" s="325">
        <f t="shared" si="37"/>
        <v>0</v>
      </c>
      <c r="U57" s="326">
        <f t="shared" si="37"/>
        <v>0</v>
      </c>
    </row>
    <row r="58" spans="1:23" x14ac:dyDescent="0.25">
      <c r="A58" s="11"/>
      <c r="B58" s="102" t="s">
        <v>25</v>
      </c>
      <c r="C58" s="322" t="s">
        <v>192</v>
      </c>
      <c r="D58" s="207" t="s">
        <v>47</v>
      </c>
      <c r="E58" s="395" t="s">
        <v>172</v>
      </c>
      <c r="F58" s="396"/>
      <c r="G58" s="360"/>
      <c r="H58" s="82">
        <f t="shared" si="35"/>
        <v>0</v>
      </c>
      <c r="I58" s="54"/>
      <c r="J58" s="325">
        <f t="shared" ref="J58:U58" si="38">IF($C22&gt;0,(J$16*$C22)*$G58,0)</f>
        <v>0</v>
      </c>
      <c r="K58" s="325">
        <f t="shared" si="38"/>
        <v>0</v>
      </c>
      <c r="L58" s="325">
        <f t="shared" si="38"/>
        <v>0</v>
      </c>
      <c r="M58" s="325">
        <f t="shared" si="38"/>
        <v>0</v>
      </c>
      <c r="N58" s="325">
        <f t="shared" si="38"/>
        <v>0</v>
      </c>
      <c r="O58" s="325">
        <f t="shared" si="38"/>
        <v>0</v>
      </c>
      <c r="P58" s="325">
        <f t="shared" si="38"/>
        <v>0</v>
      </c>
      <c r="Q58" s="325">
        <f t="shared" si="38"/>
        <v>0</v>
      </c>
      <c r="R58" s="325">
        <f t="shared" si="38"/>
        <v>0</v>
      </c>
      <c r="S58" s="325">
        <f t="shared" si="38"/>
        <v>0</v>
      </c>
      <c r="T58" s="325">
        <f t="shared" si="38"/>
        <v>0</v>
      </c>
      <c r="U58" s="326">
        <f t="shared" si="38"/>
        <v>0</v>
      </c>
    </row>
    <row r="59" spans="1:23" x14ac:dyDescent="0.25">
      <c r="A59" s="11"/>
      <c r="B59" s="102" t="s">
        <v>30</v>
      </c>
      <c r="C59" s="322" t="s">
        <v>192</v>
      </c>
      <c r="D59" s="207" t="s">
        <v>47</v>
      </c>
      <c r="E59" s="395" t="s">
        <v>172</v>
      </c>
      <c r="F59" s="396"/>
      <c r="G59" s="360"/>
      <c r="H59" s="82">
        <f t="shared" si="35"/>
        <v>0</v>
      </c>
      <c r="I59" s="54"/>
      <c r="J59" s="325">
        <f t="shared" ref="J59:U59" si="39">IF($C23&gt;0,(J$16*$C23)*$G59,0)</f>
        <v>0</v>
      </c>
      <c r="K59" s="325">
        <f t="shared" si="39"/>
        <v>0</v>
      </c>
      <c r="L59" s="325">
        <f t="shared" si="39"/>
        <v>0</v>
      </c>
      <c r="M59" s="325">
        <f t="shared" si="39"/>
        <v>0</v>
      </c>
      <c r="N59" s="325">
        <f t="shared" si="39"/>
        <v>0</v>
      </c>
      <c r="O59" s="325">
        <f t="shared" si="39"/>
        <v>0</v>
      </c>
      <c r="P59" s="325">
        <f t="shared" si="39"/>
        <v>0</v>
      </c>
      <c r="Q59" s="325">
        <f t="shared" si="39"/>
        <v>0</v>
      </c>
      <c r="R59" s="325">
        <f t="shared" si="39"/>
        <v>0</v>
      </c>
      <c r="S59" s="325">
        <f t="shared" si="39"/>
        <v>0</v>
      </c>
      <c r="T59" s="325">
        <f t="shared" si="39"/>
        <v>0</v>
      </c>
      <c r="U59" s="326">
        <f t="shared" si="39"/>
        <v>0</v>
      </c>
    </row>
    <row r="60" spans="1:23" x14ac:dyDescent="0.25">
      <c r="A60" s="11"/>
      <c r="B60" s="102" t="s">
        <v>222</v>
      </c>
      <c r="C60" s="322" t="s">
        <v>192</v>
      </c>
      <c r="D60" s="207" t="s">
        <v>47</v>
      </c>
      <c r="E60" s="395" t="s">
        <v>172</v>
      </c>
      <c r="F60" s="396"/>
      <c r="G60" s="360"/>
      <c r="H60" s="82">
        <f t="shared" si="35"/>
        <v>0</v>
      </c>
      <c r="I60" s="54"/>
      <c r="J60" s="325">
        <f t="shared" ref="J60:U60" si="40">IF($C24&gt;0,(J$16*$C24)*$G60,0)</f>
        <v>0</v>
      </c>
      <c r="K60" s="325">
        <f t="shared" si="40"/>
        <v>0</v>
      </c>
      <c r="L60" s="325">
        <f t="shared" si="40"/>
        <v>0</v>
      </c>
      <c r="M60" s="325">
        <f t="shared" si="40"/>
        <v>0</v>
      </c>
      <c r="N60" s="325">
        <f t="shared" si="40"/>
        <v>0</v>
      </c>
      <c r="O60" s="325">
        <f t="shared" si="40"/>
        <v>0</v>
      </c>
      <c r="P60" s="325">
        <f t="shared" si="40"/>
        <v>0</v>
      </c>
      <c r="Q60" s="325">
        <f t="shared" si="40"/>
        <v>0</v>
      </c>
      <c r="R60" s="325">
        <f t="shared" si="40"/>
        <v>0</v>
      </c>
      <c r="S60" s="325">
        <f t="shared" si="40"/>
        <v>0</v>
      </c>
      <c r="T60" s="325">
        <f t="shared" si="40"/>
        <v>0</v>
      </c>
      <c r="U60" s="326">
        <f t="shared" si="40"/>
        <v>0</v>
      </c>
    </row>
    <row r="61" spans="1:23" x14ac:dyDescent="0.25">
      <c r="A61" s="11"/>
      <c r="B61" s="102" t="s">
        <v>34</v>
      </c>
      <c r="C61" s="322" t="s">
        <v>192</v>
      </c>
      <c r="D61" s="207" t="s">
        <v>47</v>
      </c>
      <c r="E61" s="395" t="s">
        <v>172</v>
      </c>
      <c r="F61" s="396"/>
      <c r="G61" s="360"/>
      <c r="H61" s="82">
        <f t="shared" si="35"/>
        <v>0</v>
      </c>
      <c r="I61" s="54"/>
      <c r="J61" s="325">
        <f t="shared" ref="J61:U61" si="41">IF($C25&gt;0,(J$16*$C25)*$G61,0)</f>
        <v>0</v>
      </c>
      <c r="K61" s="325">
        <f t="shared" si="41"/>
        <v>0</v>
      </c>
      <c r="L61" s="325">
        <f t="shared" si="41"/>
        <v>0</v>
      </c>
      <c r="M61" s="325">
        <f t="shared" si="41"/>
        <v>0</v>
      </c>
      <c r="N61" s="325">
        <f t="shared" si="41"/>
        <v>0</v>
      </c>
      <c r="O61" s="325">
        <f t="shared" si="41"/>
        <v>0</v>
      </c>
      <c r="P61" s="325">
        <f t="shared" si="41"/>
        <v>0</v>
      </c>
      <c r="Q61" s="325">
        <f t="shared" si="41"/>
        <v>0</v>
      </c>
      <c r="R61" s="325">
        <f t="shared" si="41"/>
        <v>0</v>
      </c>
      <c r="S61" s="325">
        <f t="shared" si="41"/>
        <v>0</v>
      </c>
      <c r="T61" s="325">
        <f t="shared" si="41"/>
        <v>0</v>
      </c>
      <c r="U61" s="326">
        <f t="shared" si="41"/>
        <v>0</v>
      </c>
    </row>
    <row r="62" spans="1:23" x14ac:dyDescent="0.25">
      <c r="A62" s="11"/>
      <c r="B62" s="102" t="s">
        <v>37</v>
      </c>
      <c r="C62" s="322" t="s">
        <v>192</v>
      </c>
      <c r="D62" s="207" t="s">
        <v>47</v>
      </c>
      <c r="E62" s="395" t="s">
        <v>172</v>
      </c>
      <c r="F62" s="396"/>
      <c r="G62" s="360"/>
      <c r="H62" s="82">
        <f t="shared" si="35"/>
        <v>0</v>
      </c>
      <c r="I62" s="54"/>
      <c r="J62" s="325">
        <f t="shared" ref="J62:U62" si="42">IF($C26&gt;0,(J$16*$C26)*$G62,0)</f>
        <v>0</v>
      </c>
      <c r="K62" s="325">
        <f t="shared" si="42"/>
        <v>0</v>
      </c>
      <c r="L62" s="325">
        <f t="shared" si="42"/>
        <v>0</v>
      </c>
      <c r="M62" s="325">
        <f t="shared" si="42"/>
        <v>0</v>
      </c>
      <c r="N62" s="325">
        <f t="shared" si="42"/>
        <v>0</v>
      </c>
      <c r="O62" s="325">
        <f t="shared" si="42"/>
        <v>0</v>
      </c>
      <c r="P62" s="325">
        <f t="shared" si="42"/>
        <v>0</v>
      </c>
      <c r="Q62" s="325">
        <f t="shared" si="42"/>
        <v>0</v>
      </c>
      <c r="R62" s="325">
        <f t="shared" si="42"/>
        <v>0</v>
      </c>
      <c r="S62" s="325">
        <f t="shared" si="42"/>
        <v>0</v>
      </c>
      <c r="T62" s="325">
        <f t="shared" si="42"/>
        <v>0</v>
      </c>
      <c r="U62" s="326">
        <f t="shared" si="42"/>
        <v>0</v>
      </c>
    </row>
    <row r="63" spans="1:23" x14ac:dyDescent="0.25">
      <c r="A63" s="11"/>
      <c r="B63" s="102" t="s">
        <v>174</v>
      </c>
      <c r="C63" s="322" t="s">
        <v>192</v>
      </c>
      <c r="D63" s="207" t="s">
        <v>47</v>
      </c>
      <c r="E63" s="395" t="s">
        <v>172</v>
      </c>
      <c r="F63" s="396"/>
      <c r="G63" s="360"/>
      <c r="H63" s="82">
        <f t="shared" si="35"/>
        <v>0</v>
      </c>
      <c r="I63" s="54"/>
      <c r="J63" s="325">
        <f t="shared" ref="J63:U63" si="43">IF($C27&gt;0,(J$16*$C27)*$G63,0)</f>
        <v>0</v>
      </c>
      <c r="K63" s="325">
        <f t="shared" si="43"/>
        <v>0</v>
      </c>
      <c r="L63" s="325">
        <f t="shared" si="43"/>
        <v>0</v>
      </c>
      <c r="M63" s="325">
        <f t="shared" si="43"/>
        <v>0</v>
      </c>
      <c r="N63" s="325">
        <f t="shared" si="43"/>
        <v>0</v>
      </c>
      <c r="O63" s="325">
        <f t="shared" si="43"/>
        <v>0</v>
      </c>
      <c r="P63" s="325">
        <f t="shared" si="43"/>
        <v>0</v>
      </c>
      <c r="Q63" s="325">
        <f t="shared" si="43"/>
        <v>0</v>
      </c>
      <c r="R63" s="325">
        <f t="shared" si="43"/>
        <v>0</v>
      </c>
      <c r="S63" s="325">
        <f t="shared" si="43"/>
        <v>0</v>
      </c>
      <c r="T63" s="325">
        <f t="shared" si="43"/>
        <v>0</v>
      </c>
      <c r="U63" s="326">
        <f t="shared" si="43"/>
        <v>0</v>
      </c>
    </row>
    <row r="64" spans="1:23" x14ac:dyDescent="0.25">
      <c r="A64" s="11"/>
      <c r="B64" s="102" t="s">
        <v>175</v>
      </c>
      <c r="C64" s="322" t="s">
        <v>192</v>
      </c>
      <c r="D64" s="207" t="s">
        <v>47</v>
      </c>
      <c r="E64" s="395" t="s">
        <v>221</v>
      </c>
      <c r="F64" s="396"/>
      <c r="G64" s="360"/>
      <c r="H64" s="82">
        <f t="shared" si="35"/>
        <v>0</v>
      </c>
      <c r="I64" s="54"/>
      <c r="J64" s="325">
        <f t="shared" ref="J64:U64" si="44">IF($C28&gt;0,(J$16*$C28)*$G64,0)</f>
        <v>0</v>
      </c>
      <c r="K64" s="325">
        <f t="shared" si="44"/>
        <v>0</v>
      </c>
      <c r="L64" s="325">
        <f t="shared" si="44"/>
        <v>0</v>
      </c>
      <c r="M64" s="325">
        <f t="shared" si="44"/>
        <v>0</v>
      </c>
      <c r="N64" s="325">
        <f t="shared" si="44"/>
        <v>0</v>
      </c>
      <c r="O64" s="325">
        <f t="shared" si="44"/>
        <v>0</v>
      </c>
      <c r="P64" s="325">
        <f t="shared" si="44"/>
        <v>0</v>
      </c>
      <c r="Q64" s="325">
        <f t="shared" si="44"/>
        <v>0</v>
      </c>
      <c r="R64" s="325">
        <f t="shared" si="44"/>
        <v>0</v>
      </c>
      <c r="S64" s="325">
        <f t="shared" si="44"/>
        <v>0</v>
      </c>
      <c r="T64" s="325">
        <f t="shared" si="44"/>
        <v>0</v>
      </c>
      <c r="U64" s="326">
        <f t="shared" si="44"/>
        <v>0</v>
      </c>
    </row>
    <row r="65" spans="1:23" x14ac:dyDescent="0.25">
      <c r="A65" s="11"/>
      <c r="B65" s="102" t="s">
        <v>176</v>
      </c>
      <c r="C65" s="322" t="s">
        <v>192</v>
      </c>
      <c r="D65" s="207" t="s">
        <v>47</v>
      </c>
      <c r="E65" s="395" t="s">
        <v>221</v>
      </c>
      <c r="F65" s="396"/>
      <c r="G65" s="360"/>
      <c r="H65" s="82">
        <f t="shared" si="35"/>
        <v>0</v>
      </c>
      <c r="I65" s="54"/>
      <c r="J65" s="325">
        <f t="shared" ref="J65:U65" si="45">IF($C29&gt;0,(J$16*$C29)*$G65,0)</f>
        <v>0</v>
      </c>
      <c r="K65" s="325">
        <f t="shared" si="45"/>
        <v>0</v>
      </c>
      <c r="L65" s="325">
        <f t="shared" si="45"/>
        <v>0</v>
      </c>
      <c r="M65" s="325">
        <f t="shared" si="45"/>
        <v>0</v>
      </c>
      <c r="N65" s="325">
        <f t="shared" si="45"/>
        <v>0</v>
      </c>
      <c r="O65" s="325">
        <f t="shared" si="45"/>
        <v>0</v>
      </c>
      <c r="P65" s="325">
        <f t="shared" si="45"/>
        <v>0</v>
      </c>
      <c r="Q65" s="325">
        <f t="shared" si="45"/>
        <v>0</v>
      </c>
      <c r="R65" s="325">
        <f t="shared" si="45"/>
        <v>0</v>
      </c>
      <c r="S65" s="325">
        <f t="shared" si="45"/>
        <v>0</v>
      </c>
      <c r="T65" s="325">
        <f t="shared" si="45"/>
        <v>0</v>
      </c>
      <c r="U65" s="326">
        <f t="shared" si="45"/>
        <v>0</v>
      </c>
    </row>
    <row r="66" spans="1:23" x14ac:dyDescent="0.25">
      <c r="A66" s="11"/>
      <c r="B66" s="102" t="s">
        <v>23</v>
      </c>
      <c r="C66" s="322" t="s">
        <v>192</v>
      </c>
      <c r="D66" s="207" t="s">
        <v>47</v>
      </c>
      <c r="E66" s="395" t="s">
        <v>221</v>
      </c>
      <c r="F66" s="396"/>
      <c r="G66" s="360"/>
      <c r="H66" s="82">
        <f t="shared" si="35"/>
        <v>0</v>
      </c>
      <c r="I66" s="54"/>
      <c r="J66" s="325">
        <f t="shared" ref="J66:U66" si="46">IF($C30&gt;0,(J$16*$C30)*$G66,0)</f>
        <v>0</v>
      </c>
      <c r="K66" s="325">
        <f t="shared" si="46"/>
        <v>0</v>
      </c>
      <c r="L66" s="325">
        <f t="shared" si="46"/>
        <v>0</v>
      </c>
      <c r="M66" s="325">
        <f t="shared" si="46"/>
        <v>0</v>
      </c>
      <c r="N66" s="325">
        <f t="shared" si="46"/>
        <v>0</v>
      </c>
      <c r="O66" s="325">
        <f t="shared" si="46"/>
        <v>0</v>
      </c>
      <c r="P66" s="325">
        <f t="shared" si="46"/>
        <v>0</v>
      </c>
      <c r="Q66" s="325">
        <f t="shared" si="46"/>
        <v>0</v>
      </c>
      <c r="R66" s="325">
        <f t="shared" si="46"/>
        <v>0</v>
      </c>
      <c r="S66" s="325">
        <f t="shared" si="46"/>
        <v>0</v>
      </c>
      <c r="T66" s="325">
        <f t="shared" si="46"/>
        <v>0</v>
      </c>
      <c r="U66" s="326">
        <f t="shared" si="46"/>
        <v>0</v>
      </c>
    </row>
    <row r="67" spans="1:23" x14ac:dyDescent="0.25">
      <c r="A67" s="11"/>
      <c r="B67" s="102" t="s">
        <v>24</v>
      </c>
      <c r="C67" s="322" t="s">
        <v>192</v>
      </c>
      <c r="D67" s="207" t="s">
        <v>47</v>
      </c>
      <c r="E67" s="395" t="s">
        <v>221</v>
      </c>
      <c r="F67" s="396"/>
      <c r="G67" s="360"/>
      <c r="H67" s="82">
        <f t="shared" si="35"/>
        <v>0</v>
      </c>
      <c r="I67" s="54"/>
      <c r="J67" s="325">
        <f t="shared" ref="J67:U67" si="47">IF($C31&gt;0,(J$16*$C31)*$G67,0)</f>
        <v>0</v>
      </c>
      <c r="K67" s="325">
        <f t="shared" si="47"/>
        <v>0</v>
      </c>
      <c r="L67" s="325">
        <f t="shared" si="47"/>
        <v>0</v>
      </c>
      <c r="M67" s="325">
        <f t="shared" si="47"/>
        <v>0</v>
      </c>
      <c r="N67" s="325">
        <f t="shared" si="47"/>
        <v>0</v>
      </c>
      <c r="O67" s="325">
        <f t="shared" si="47"/>
        <v>0</v>
      </c>
      <c r="P67" s="325">
        <f t="shared" si="47"/>
        <v>0</v>
      </c>
      <c r="Q67" s="325">
        <f t="shared" si="47"/>
        <v>0</v>
      </c>
      <c r="R67" s="325">
        <f t="shared" si="47"/>
        <v>0</v>
      </c>
      <c r="S67" s="325">
        <f t="shared" si="47"/>
        <v>0</v>
      </c>
      <c r="T67" s="325">
        <f t="shared" si="47"/>
        <v>0</v>
      </c>
      <c r="U67" s="326">
        <f t="shared" si="47"/>
        <v>0</v>
      </c>
    </row>
    <row r="68" spans="1:23" x14ac:dyDescent="0.25">
      <c r="A68" s="11"/>
      <c r="B68" s="212" t="s">
        <v>26</v>
      </c>
      <c r="C68" s="322" t="s">
        <v>192</v>
      </c>
      <c r="D68" s="207" t="s">
        <v>47</v>
      </c>
      <c r="E68" s="395" t="s">
        <v>221</v>
      </c>
      <c r="F68" s="396"/>
      <c r="G68" s="360"/>
      <c r="H68" s="82">
        <f t="shared" si="35"/>
        <v>0</v>
      </c>
      <c r="I68" s="54"/>
      <c r="J68" s="325">
        <f t="shared" ref="J68:U68" si="48">IF($C32&gt;0,(J$16*$C32)*$G68,0)</f>
        <v>0</v>
      </c>
      <c r="K68" s="325">
        <f t="shared" si="48"/>
        <v>0</v>
      </c>
      <c r="L68" s="325">
        <f t="shared" si="48"/>
        <v>0</v>
      </c>
      <c r="M68" s="325">
        <f t="shared" si="48"/>
        <v>0</v>
      </c>
      <c r="N68" s="325">
        <f t="shared" si="48"/>
        <v>0</v>
      </c>
      <c r="O68" s="325">
        <f t="shared" si="48"/>
        <v>0</v>
      </c>
      <c r="P68" s="325">
        <f t="shared" si="48"/>
        <v>0</v>
      </c>
      <c r="Q68" s="325">
        <f t="shared" si="48"/>
        <v>0</v>
      </c>
      <c r="R68" s="325">
        <f t="shared" si="48"/>
        <v>0</v>
      </c>
      <c r="S68" s="325">
        <f t="shared" si="48"/>
        <v>0</v>
      </c>
      <c r="T68" s="325">
        <f t="shared" si="48"/>
        <v>0</v>
      </c>
      <c r="U68" s="326">
        <f t="shared" si="48"/>
        <v>0</v>
      </c>
    </row>
    <row r="69" spans="1:23" x14ac:dyDescent="0.25">
      <c r="A69" s="11"/>
      <c r="B69" s="102" t="s">
        <v>27</v>
      </c>
      <c r="C69" s="322" t="s">
        <v>192</v>
      </c>
      <c r="D69" s="207" t="s">
        <v>47</v>
      </c>
      <c r="E69" s="395" t="s">
        <v>221</v>
      </c>
      <c r="F69" s="396"/>
      <c r="G69" s="360"/>
      <c r="H69" s="82">
        <f t="shared" si="35"/>
        <v>0</v>
      </c>
      <c r="I69" s="54"/>
      <c r="J69" s="325">
        <f t="shared" ref="J69:U69" si="49">IF($C33&gt;0,(J$16*$C33)*$G69,0)</f>
        <v>0</v>
      </c>
      <c r="K69" s="325">
        <f t="shared" si="49"/>
        <v>0</v>
      </c>
      <c r="L69" s="325">
        <f t="shared" si="49"/>
        <v>0</v>
      </c>
      <c r="M69" s="325">
        <f t="shared" si="49"/>
        <v>0</v>
      </c>
      <c r="N69" s="325">
        <f t="shared" si="49"/>
        <v>0</v>
      </c>
      <c r="O69" s="325">
        <f t="shared" si="49"/>
        <v>0</v>
      </c>
      <c r="P69" s="325">
        <f t="shared" si="49"/>
        <v>0</v>
      </c>
      <c r="Q69" s="325">
        <f t="shared" si="49"/>
        <v>0</v>
      </c>
      <c r="R69" s="325">
        <f t="shared" si="49"/>
        <v>0</v>
      </c>
      <c r="S69" s="325">
        <f t="shared" si="49"/>
        <v>0</v>
      </c>
      <c r="T69" s="325">
        <f t="shared" si="49"/>
        <v>0</v>
      </c>
      <c r="U69" s="326">
        <f t="shared" si="49"/>
        <v>0</v>
      </c>
    </row>
    <row r="70" spans="1:23" x14ac:dyDescent="0.25">
      <c r="A70" s="11"/>
      <c r="B70" s="102" t="s">
        <v>28</v>
      </c>
      <c r="C70" s="322" t="s">
        <v>192</v>
      </c>
      <c r="D70" s="207" t="s">
        <v>47</v>
      </c>
      <c r="E70" s="395" t="s">
        <v>221</v>
      </c>
      <c r="F70" s="396"/>
      <c r="G70" s="360"/>
      <c r="H70" s="82">
        <f t="shared" si="35"/>
        <v>0</v>
      </c>
      <c r="I70" s="54"/>
      <c r="J70" s="325">
        <f t="shared" ref="J70:U70" si="50">IF($C34&gt;0,(J$16*$C34)*$G70,0)</f>
        <v>0</v>
      </c>
      <c r="K70" s="325">
        <f t="shared" si="50"/>
        <v>0</v>
      </c>
      <c r="L70" s="325">
        <f t="shared" si="50"/>
        <v>0</v>
      </c>
      <c r="M70" s="325">
        <f t="shared" si="50"/>
        <v>0</v>
      </c>
      <c r="N70" s="325">
        <f t="shared" si="50"/>
        <v>0</v>
      </c>
      <c r="O70" s="325">
        <f t="shared" si="50"/>
        <v>0</v>
      </c>
      <c r="P70" s="325">
        <f t="shared" si="50"/>
        <v>0</v>
      </c>
      <c r="Q70" s="325">
        <f t="shared" si="50"/>
        <v>0</v>
      </c>
      <c r="R70" s="325">
        <f t="shared" si="50"/>
        <v>0</v>
      </c>
      <c r="S70" s="325">
        <f t="shared" si="50"/>
        <v>0</v>
      </c>
      <c r="T70" s="325">
        <f t="shared" si="50"/>
        <v>0</v>
      </c>
      <c r="U70" s="326">
        <f t="shared" si="50"/>
        <v>0</v>
      </c>
    </row>
    <row r="71" spans="1:23" x14ac:dyDescent="0.25">
      <c r="A71" s="11"/>
      <c r="B71" s="212" t="s">
        <v>29</v>
      </c>
      <c r="C71" s="322" t="s">
        <v>192</v>
      </c>
      <c r="D71" s="207" t="s">
        <v>47</v>
      </c>
      <c r="E71" s="395" t="s">
        <v>221</v>
      </c>
      <c r="F71" s="396"/>
      <c r="G71" s="360"/>
      <c r="H71" s="82">
        <f t="shared" si="35"/>
        <v>0</v>
      </c>
      <c r="I71" s="54"/>
      <c r="J71" s="325">
        <f t="shared" ref="J71:U71" si="51">IF($C35&gt;0,(J$16*$C35)*$G71,0)</f>
        <v>0</v>
      </c>
      <c r="K71" s="325">
        <f t="shared" si="51"/>
        <v>0</v>
      </c>
      <c r="L71" s="325">
        <f t="shared" si="51"/>
        <v>0</v>
      </c>
      <c r="M71" s="325">
        <f t="shared" si="51"/>
        <v>0</v>
      </c>
      <c r="N71" s="325">
        <f t="shared" si="51"/>
        <v>0</v>
      </c>
      <c r="O71" s="325">
        <f t="shared" si="51"/>
        <v>0</v>
      </c>
      <c r="P71" s="325">
        <f t="shared" si="51"/>
        <v>0</v>
      </c>
      <c r="Q71" s="325">
        <f t="shared" si="51"/>
        <v>0</v>
      </c>
      <c r="R71" s="325">
        <f t="shared" si="51"/>
        <v>0</v>
      </c>
      <c r="S71" s="325">
        <f t="shared" si="51"/>
        <v>0</v>
      </c>
      <c r="T71" s="325">
        <f t="shared" si="51"/>
        <v>0</v>
      </c>
      <c r="U71" s="326">
        <f t="shared" si="51"/>
        <v>0</v>
      </c>
    </row>
    <row r="72" spans="1:23" x14ac:dyDescent="0.25">
      <c r="A72" s="11"/>
      <c r="B72" s="212" t="s">
        <v>31</v>
      </c>
      <c r="C72" s="322" t="s">
        <v>192</v>
      </c>
      <c r="D72" s="207" t="s">
        <v>47</v>
      </c>
      <c r="E72" s="395" t="s">
        <v>221</v>
      </c>
      <c r="F72" s="396"/>
      <c r="G72" s="360"/>
      <c r="H72" s="82">
        <f t="shared" si="35"/>
        <v>0</v>
      </c>
      <c r="I72" s="54"/>
      <c r="J72" s="325">
        <f t="shared" ref="J72:U72" si="52">IF($C36&gt;0,(J$16*$C36)*$G72,0)</f>
        <v>0</v>
      </c>
      <c r="K72" s="325">
        <f t="shared" si="52"/>
        <v>0</v>
      </c>
      <c r="L72" s="325">
        <f t="shared" si="52"/>
        <v>0</v>
      </c>
      <c r="M72" s="325">
        <f t="shared" si="52"/>
        <v>0</v>
      </c>
      <c r="N72" s="325">
        <f t="shared" si="52"/>
        <v>0</v>
      </c>
      <c r="O72" s="325">
        <f t="shared" si="52"/>
        <v>0</v>
      </c>
      <c r="P72" s="325">
        <f t="shared" si="52"/>
        <v>0</v>
      </c>
      <c r="Q72" s="325">
        <f t="shared" si="52"/>
        <v>0</v>
      </c>
      <c r="R72" s="325">
        <f t="shared" si="52"/>
        <v>0</v>
      </c>
      <c r="S72" s="325">
        <f t="shared" si="52"/>
        <v>0</v>
      </c>
      <c r="T72" s="325">
        <f t="shared" si="52"/>
        <v>0</v>
      </c>
      <c r="U72" s="326">
        <f t="shared" si="52"/>
        <v>0</v>
      </c>
    </row>
    <row r="73" spans="1:23" x14ac:dyDescent="0.25">
      <c r="A73" s="11"/>
      <c r="B73" s="212" t="s">
        <v>32</v>
      </c>
      <c r="C73" s="322" t="s">
        <v>192</v>
      </c>
      <c r="D73" s="207" t="s">
        <v>47</v>
      </c>
      <c r="E73" s="395" t="s">
        <v>221</v>
      </c>
      <c r="F73" s="396"/>
      <c r="G73" s="360"/>
      <c r="H73" s="82">
        <f t="shared" si="35"/>
        <v>0</v>
      </c>
      <c r="I73" s="54"/>
      <c r="J73" s="325">
        <f t="shared" ref="J73:U73" si="53">IF($C37&gt;0,(J$16*$C37)*$G73,0)</f>
        <v>0</v>
      </c>
      <c r="K73" s="325">
        <f t="shared" si="53"/>
        <v>0</v>
      </c>
      <c r="L73" s="325">
        <f t="shared" si="53"/>
        <v>0</v>
      </c>
      <c r="M73" s="325">
        <f t="shared" si="53"/>
        <v>0</v>
      </c>
      <c r="N73" s="325">
        <f t="shared" si="53"/>
        <v>0</v>
      </c>
      <c r="O73" s="325">
        <f t="shared" si="53"/>
        <v>0</v>
      </c>
      <c r="P73" s="325">
        <f t="shared" si="53"/>
        <v>0</v>
      </c>
      <c r="Q73" s="325">
        <f t="shared" si="53"/>
        <v>0</v>
      </c>
      <c r="R73" s="325">
        <f t="shared" si="53"/>
        <v>0</v>
      </c>
      <c r="S73" s="325">
        <f t="shared" si="53"/>
        <v>0</v>
      </c>
      <c r="T73" s="325">
        <f t="shared" si="53"/>
        <v>0</v>
      </c>
      <c r="U73" s="326">
        <f t="shared" si="53"/>
        <v>0</v>
      </c>
    </row>
    <row r="74" spans="1:23" x14ac:dyDescent="0.25">
      <c r="A74" s="11"/>
      <c r="B74" s="102" t="s">
        <v>33</v>
      </c>
      <c r="C74" s="322" t="s">
        <v>192</v>
      </c>
      <c r="D74" s="207" t="s">
        <v>47</v>
      </c>
      <c r="E74" s="395" t="s">
        <v>221</v>
      </c>
      <c r="F74" s="396"/>
      <c r="G74" s="360"/>
      <c r="H74" s="82">
        <f t="shared" si="35"/>
        <v>0</v>
      </c>
      <c r="I74" s="54"/>
      <c r="J74" s="325">
        <f t="shared" ref="J74:U74" si="54">IF($C38&gt;0,(J$16*$C38)*$G74,0)</f>
        <v>0</v>
      </c>
      <c r="K74" s="325">
        <f t="shared" si="54"/>
        <v>0</v>
      </c>
      <c r="L74" s="325">
        <f t="shared" si="54"/>
        <v>0</v>
      </c>
      <c r="M74" s="325">
        <f t="shared" si="54"/>
        <v>0</v>
      </c>
      <c r="N74" s="325">
        <f t="shared" si="54"/>
        <v>0</v>
      </c>
      <c r="O74" s="325">
        <f t="shared" si="54"/>
        <v>0</v>
      </c>
      <c r="P74" s="325">
        <f t="shared" si="54"/>
        <v>0</v>
      </c>
      <c r="Q74" s="325">
        <f t="shared" si="54"/>
        <v>0</v>
      </c>
      <c r="R74" s="325">
        <f t="shared" si="54"/>
        <v>0</v>
      </c>
      <c r="S74" s="325">
        <f t="shared" si="54"/>
        <v>0</v>
      </c>
      <c r="T74" s="325">
        <f t="shared" si="54"/>
        <v>0</v>
      </c>
      <c r="U74" s="326">
        <f t="shared" si="54"/>
        <v>0</v>
      </c>
    </row>
    <row r="75" spans="1:23" x14ac:dyDescent="0.25">
      <c r="A75" s="11"/>
      <c r="B75" s="212" t="s">
        <v>35</v>
      </c>
      <c r="C75" s="322" t="s">
        <v>192</v>
      </c>
      <c r="D75" s="207" t="s">
        <v>47</v>
      </c>
      <c r="E75" s="395" t="s">
        <v>221</v>
      </c>
      <c r="F75" s="362"/>
      <c r="G75" s="360"/>
      <c r="H75" s="82">
        <f t="shared" si="35"/>
        <v>0</v>
      </c>
      <c r="I75" s="54"/>
      <c r="J75" s="325">
        <f t="shared" ref="J75:U75" si="55">IF($C39&gt;0,(J$16*$C39)*$G75,0)</f>
        <v>0</v>
      </c>
      <c r="K75" s="325">
        <f t="shared" si="55"/>
        <v>0</v>
      </c>
      <c r="L75" s="325">
        <f t="shared" si="55"/>
        <v>0</v>
      </c>
      <c r="M75" s="325">
        <f t="shared" si="55"/>
        <v>0</v>
      </c>
      <c r="N75" s="325">
        <f t="shared" si="55"/>
        <v>0</v>
      </c>
      <c r="O75" s="325">
        <f t="shared" si="55"/>
        <v>0</v>
      </c>
      <c r="P75" s="325">
        <f t="shared" si="55"/>
        <v>0</v>
      </c>
      <c r="Q75" s="325">
        <f t="shared" si="55"/>
        <v>0</v>
      </c>
      <c r="R75" s="325">
        <f t="shared" si="55"/>
        <v>0</v>
      </c>
      <c r="S75" s="325">
        <f t="shared" si="55"/>
        <v>0</v>
      </c>
      <c r="T75" s="325">
        <f t="shared" si="55"/>
        <v>0</v>
      </c>
      <c r="U75" s="326">
        <f t="shared" si="55"/>
        <v>0</v>
      </c>
    </row>
    <row r="76" spans="1:23" x14ac:dyDescent="0.25">
      <c r="A76" s="11"/>
      <c r="B76" s="212" t="s">
        <v>36</v>
      </c>
      <c r="C76" s="322" t="s">
        <v>192</v>
      </c>
      <c r="D76" s="207" t="s">
        <v>47</v>
      </c>
      <c r="E76" s="395" t="s">
        <v>221</v>
      </c>
      <c r="F76" s="361"/>
      <c r="G76" s="360"/>
      <c r="H76" s="82">
        <f t="shared" si="35"/>
        <v>0</v>
      </c>
      <c r="I76" s="54"/>
      <c r="J76" s="325">
        <f t="shared" ref="J76:U76" si="56">IF($C40&gt;0,(J$16*$C40)*$G76,0)</f>
        <v>0</v>
      </c>
      <c r="K76" s="325">
        <f t="shared" si="56"/>
        <v>0</v>
      </c>
      <c r="L76" s="325">
        <f t="shared" si="56"/>
        <v>0</v>
      </c>
      <c r="M76" s="325">
        <f t="shared" si="56"/>
        <v>0</v>
      </c>
      <c r="N76" s="325">
        <f t="shared" si="56"/>
        <v>0</v>
      </c>
      <c r="O76" s="325">
        <f t="shared" si="56"/>
        <v>0</v>
      </c>
      <c r="P76" s="325">
        <f t="shared" si="56"/>
        <v>0</v>
      </c>
      <c r="Q76" s="325">
        <f t="shared" si="56"/>
        <v>0</v>
      </c>
      <c r="R76" s="325">
        <f t="shared" si="56"/>
        <v>0</v>
      </c>
      <c r="S76" s="325">
        <f t="shared" si="56"/>
        <v>0</v>
      </c>
      <c r="T76" s="325">
        <f t="shared" si="56"/>
        <v>0</v>
      </c>
      <c r="U76" s="326">
        <f t="shared" si="56"/>
        <v>0</v>
      </c>
    </row>
    <row r="77" spans="1:23" ht="15.75" thickBot="1" x14ac:dyDescent="0.3">
      <c r="A77" s="84"/>
      <c r="B77" s="214" t="s">
        <v>38</v>
      </c>
      <c r="C77" s="323" t="s">
        <v>192</v>
      </c>
      <c r="D77" s="215" t="s">
        <v>47</v>
      </c>
      <c r="E77" s="397" t="s">
        <v>221</v>
      </c>
      <c r="F77" s="363"/>
      <c r="G77" s="360"/>
      <c r="H77" s="82">
        <f t="shared" si="35"/>
        <v>0</v>
      </c>
      <c r="I77" s="54"/>
      <c r="J77" s="325">
        <f t="shared" ref="J77:U77" si="57">IF($C41&gt;0,(J$16*$C41)*$G77,0)</f>
        <v>0</v>
      </c>
      <c r="K77" s="325">
        <f t="shared" si="57"/>
        <v>0</v>
      </c>
      <c r="L77" s="325">
        <f t="shared" si="57"/>
        <v>0</v>
      </c>
      <c r="M77" s="325">
        <f t="shared" si="57"/>
        <v>0</v>
      </c>
      <c r="N77" s="325">
        <f t="shared" si="57"/>
        <v>0</v>
      </c>
      <c r="O77" s="325">
        <f t="shared" si="57"/>
        <v>0</v>
      </c>
      <c r="P77" s="325">
        <f t="shared" si="57"/>
        <v>0</v>
      </c>
      <c r="Q77" s="325">
        <f t="shared" si="57"/>
        <v>0</v>
      </c>
      <c r="R77" s="325">
        <f t="shared" si="57"/>
        <v>0</v>
      </c>
      <c r="S77" s="325">
        <f t="shared" si="57"/>
        <v>0</v>
      </c>
      <c r="T77" s="325">
        <f t="shared" si="57"/>
        <v>0</v>
      </c>
      <c r="U77" s="326">
        <f t="shared" si="57"/>
        <v>0</v>
      </c>
    </row>
    <row r="78" spans="1:23" ht="16.5" thickTop="1" thickBot="1" x14ac:dyDescent="0.3">
      <c r="A78" s="11"/>
      <c r="B78" s="85"/>
      <c r="C78" s="86"/>
      <c r="D78" s="86"/>
      <c r="E78" s="87"/>
      <c r="F78" s="88"/>
      <c r="G78" s="89" t="e">
        <f>H78/W16</f>
        <v>#DIV/0!</v>
      </c>
      <c r="H78" s="75">
        <f>SUM(H56:H77)</f>
        <v>0</v>
      </c>
      <c r="I78" s="76"/>
      <c r="J78" s="327">
        <f t="shared" ref="J78:U78" si="58">SUM(J56:J77)</f>
        <v>0</v>
      </c>
      <c r="K78" s="327">
        <f t="shared" si="58"/>
        <v>0</v>
      </c>
      <c r="L78" s="327">
        <f t="shared" si="58"/>
        <v>0</v>
      </c>
      <c r="M78" s="327">
        <f t="shared" si="58"/>
        <v>0</v>
      </c>
      <c r="N78" s="327">
        <f t="shared" si="58"/>
        <v>0</v>
      </c>
      <c r="O78" s="327">
        <f t="shared" si="58"/>
        <v>0</v>
      </c>
      <c r="P78" s="327">
        <f t="shared" si="58"/>
        <v>0</v>
      </c>
      <c r="Q78" s="327">
        <f t="shared" si="58"/>
        <v>0</v>
      </c>
      <c r="R78" s="327">
        <f t="shared" si="58"/>
        <v>0</v>
      </c>
      <c r="S78" s="327">
        <f t="shared" si="58"/>
        <v>0</v>
      </c>
      <c r="T78" s="327">
        <f t="shared" si="58"/>
        <v>0</v>
      </c>
      <c r="U78" s="328">
        <f t="shared" si="58"/>
        <v>0</v>
      </c>
      <c r="W78" s="67">
        <f>SUM(J78:U78)</f>
        <v>0</v>
      </c>
    </row>
    <row r="79" spans="1:23" ht="15.75" thickBot="1" x14ac:dyDescent="0.3">
      <c r="A79" s="11"/>
      <c r="B79" s="84"/>
      <c r="C79" s="84"/>
      <c r="D79" s="84"/>
      <c r="E79" s="52"/>
      <c r="F79" s="90"/>
      <c r="G79" s="91"/>
      <c r="H79" s="92"/>
      <c r="I79" s="46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</row>
    <row r="80" spans="1:23" ht="15.75" thickBot="1" x14ac:dyDescent="0.3">
      <c r="A80" s="11"/>
      <c r="B80" s="93" t="s">
        <v>48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40"/>
    </row>
    <row r="81" spans="1:21" x14ac:dyDescent="0.25">
      <c r="A81" s="11"/>
      <c r="B81" s="94" t="s">
        <v>49</v>
      </c>
      <c r="C81" s="80" t="s">
        <v>44</v>
      </c>
      <c r="D81" s="42" t="s">
        <v>220</v>
      </c>
      <c r="E81" s="80" t="s">
        <v>50</v>
      </c>
      <c r="F81" s="80" t="s">
        <v>51</v>
      </c>
      <c r="G81" s="42" t="s">
        <v>239</v>
      </c>
      <c r="H81" s="42" t="s">
        <v>18</v>
      </c>
      <c r="I81" s="43"/>
      <c r="J81" s="178">
        <v>45658</v>
      </c>
      <c r="K81" s="178">
        <v>45689</v>
      </c>
      <c r="L81" s="178">
        <v>45717</v>
      </c>
      <c r="M81" s="178">
        <v>45748</v>
      </c>
      <c r="N81" s="178">
        <v>45778</v>
      </c>
      <c r="O81" s="178">
        <v>45809</v>
      </c>
      <c r="P81" s="178">
        <v>45839</v>
      </c>
      <c r="Q81" s="178">
        <v>45870</v>
      </c>
      <c r="R81" s="178">
        <v>45901</v>
      </c>
      <c r="S81" s="178">
        <v>45931</v>
      </c>
      <c r="T81" s="178">
        <v>45962</v>
      </c>
      <c r="U81" s="178">
        <v>45992</v>
      </c>
    </row>
    <row r="82" spans="1:21" x14ac:dyDescent="0.25">
      <c r="A82" s="11"/>
      <c r="B82" s="95" t="s">
        <v>52</v>
      </c>
      <c r="C82" s="330" t="s">
        <v>212</v>
      </c>
      <c r="D82" s="97" t="s">
        <v>53</v>
      </c>
      <c r="E82" s="98"/>
      <c r="F82" s="98"/>
      <c r="G82" s="96"/>
      <c r="H82" s="99">
        <f t="shared" ref="H82:H105" si="59">SUM(J82:U82)</f>
        <v>0</v>
      </c>
      <c r="J82" s="364"/>
      <c r="K82" s="364"/>
      <c r="L82" s="364"/>
      <c r="M82" s="364"/>
      <c r="N82" s="364"/>
      <c r="O82" s="364"/>
      <c r="P82" s="364"/>
      <c r="Q82" s="364"/>
      <c r="R82" s="364"/>
      <c r="S82" s="364"/>
      <c r="T82" s="364"/>
      <c r="U82" s="365"/>
    </row>
    <row r="83" spans="1:21" x14ac:dyDescent="0.25">
      <c r="A83" s="11"/>
      <c r="B83" s="102" t="s">
        <v>227</v>
      </c>
      <c r="C83" s="331" t="s">
        <v>213</v>
      </c>
      <c r="D83" s="104" t="s">
        <v>53</v>
      </c>
      <c r="E83" s="103">
        <v>699</v>
      </c>
      <c r="F83" s="103">
        <v>3675</v>
      </c>
      <c r="G83" s="103"/>
      <c r="H83" s="99">
        <f t="shared" si="59"/>
        <v>0</v>
      </c>
      <c r="I83" s="46"/>
      <c r="J83" s="364"/>
      <c r="K83" s="364"/>
      <c r="L83" s="364"/>
      <c r="M83" s="364"/>
      <c r="N83" s="364"/>
      <c r="O83" s="364"/>
      <c r="P83" s="364"/>
      <c r="Q83" s="364"/>
      <c r="R83" s="364"/>
      <c r="S83" s="364"/>
      <c r="T83" s="364"/>
      <c r="U83" s="365"/>
    </row>
    <row r="84" spans="1:21" x14ac:dyDescent="0.25">
      <c r="A84" s="11"/>
      <c r="B84" s="102" t="s">
        <v>54</v>
      </c>
      <c r="C84" s="331" t="s">
        <v>216</v>
      </c>
      <c r="D84" s="104" t="s">
        <v>53</v>
      </c>
      <c r="E84" s="103">
        <v>699</v>
      </c>
      <c r="F84" s="103">
        <v>3691</v>
      </c>
      <c r="G84" s="103"/>
      <c r="H84" s="99">
        <f t="shared" si="59"/>
        <v>0</v>
      </c>
      <c r="I84" s="46"/>
      <c r="J84" s="364"/>
      <c r="K84" s="364"/>
      <c r="L84" s="364"/>
      <c r="M84" s="364"/>
      <c r="N84" s="364"/>
      <c r="O84" s="364"/>
      <c r="P84" s="364"/>
      <c r="Q84" s="364"/>
      <c r="R84" s="364"/>
      <c r="S84" s="364"/>
      <c r="T84" s="364"/>
      <c r="U84" s="365"/>
    </row>
    <row r="85" spans="1:21" x14ac:dyDescent="0.25">
      <c r="A85" s="11"/>
      <c r="B85" s="102" t="s">
        <v>55</v>
      </c>
      <c r="C85" s="331" t="s">
        <v>217</v>
      </c>
      <c r="D85" s="104" t="s">
        <v>53</v>
      </c>
      <c r="E85" s="103">
        <v>699</v>
      </c>
      <c r="F85" s="103">
        <v>3677</v>
      </c>
      <c r="G85" s="103"/>
      <c r="H85" s="99">
        <f t="shared" si="59"/>
        <v>0</v>
      </c>
      <c r="I85" s="46"/>
      <c r="J85" s="364"/>
      <c r="K85" s="364"/>
      <c r="L85" s="364"/>
      <c r="M85" s="364"/>
      <c r="N85" s="364"/>
      <c r="O85" s="364"/>
      <c r="P85" s="364"/>
      <c r="Q85" s="364"/>
      <c r="R85" s="364"/>
      <c r="S85" s="364"/>
      <c r="T85" s="364"/>
      <c r="U85" s="365"/>
    </row>
    <row r="86" spans="1:21" x14ac:dyDescent="0.25">
      <c r="A86" s="11"/>
      <c r="B86" s="105" t="s">
        <v>228</v>
      </c>
      <c r="C86" s="103">
        <v>721</v>
      </c>
      <c r="D86" s="104" t="s">
        <v>53</v>
      </c>
      <c r="E86" s="103">
        <v>699</v>
      </c>
      <c r="F86" s="103">
        <v>3671</v>
      </c>
      <c r="G86" s="103"/>
      <c r="H86" s="99">
        <f t="shared" si="59"/>
        <v>0</v>
      </c>
      <c r="J86" s="364"/>
      <c r="K86" s="364"/>
      <c r="L86" s="364"/>
      <c r="M86" s="364"/>
      <c r="N86" s="364"/>
      <c r="O86" s="364"/>
      <c r="P86" s="364"/>
      <c r="Q86" s="364"/>
      <c r="R86" s="364"/>
      <c r="S86" s="364"/>
      <c r="T86" s="364"/>
      <c r="U86" s="365"/>
    </row>
    <row r="87" spans="1:21" x14ac:dyDescent="0.25">
      <c r="A87" s="11"/>
      <c r="B87" s="105" t="s">
        <v>56</v>
      </c>
      <c r="C87" s="331" t="s">
        <v>218</v>
      </c>
      <c r="D87" s="104" t="s">
        <v>53</v>
      </c>
      <c r="E87" s="103">
        <v>699</v>
      </c>
      <c r="F87" s="103">
        <v>3669</v>
      </c>
      <c r="G87" s="103"/>
      <c r="H87" s="99">
        <f t="shared" si="59"/>
        <v>0</v>
      </c>
      <c r="J87" s="364"/>
      <c r="K87" s="364"/>
      <c r="L87" s="364"/>
      <c r="M87" s="364"/>
      <c r="N87" s="364"/>
      <c r="O87" s="364"/>
      <c r="P87" s="364"/>
      <c r="Q87" s="364"/>
      <c r="R87" s="364"/>
      <c r="S87" s="364"/>
      <c r="T87" s="364"/>
      <c r="U87" s="365"/>
    </row>
    <row r="88" spans="1:21" x14ac:dyDescent="0.25">
      <c r="A88" s="11"/>
      <c r="B88" s="105" t="s">
        <v>57</v>
      </c>
      <c r="C88" s="331" t="s">
        <v>219</v>
      </c>
      <c r="D88" s="104" t="s">
        <v>53</v>
      </c>
      <c r="E88" s="103">
        <v>699</v>
      </c>
      <c r="F88" s="103">
        <v>3665</v>
      </c>
      <c r="G88" s="103"/>
      <c r="H88" s="99">
        <f t="shared" si="59"/>
        <v>0</v>
      </c>
      <c r="J88" s="364"/>
      <c r="K88" s="364"/>
      <c r="L88" s="364"/>
      <c r="M88" s="364"/>
      <c r="N88" s="364"/>
      <c r="O88" s="364"/>
      <c r="P88" s="364"/>
      <c r="Q88" s="364"/>
      <c r="R88" s="364"/>
      <c r="S88" s="364"/>
      <c r="T88" s="364"/>
      <c r="U88" s="365"/>
    </row>
    <row r="89" spans="1:21" x14ac:dyDescent="0.25">
      <c r="A89" s="11"/>
      <c r="B89" s="105" t="s">
        <v>229</v>
      </c>
      <c r="C89" s="331" t="s">
        <v>215</v>
      </c>
      <c r="D89" s="104" t="s">
        <v>53</v>
      </c>
      <c r="E89" s="103">
        <v>699</v>
      </c>
      <c r="F89" s="103">
        <v>3963</v>
      </c>
      <c r="G89" s="103"/>
      <c r="H89" s="99">
        <f t="shared" si="59"/>
        <v>0</v>
      </c>
      <c r="J89" s="364"/>
      <c r="K89" s="364"/>
      <c r="L89" s="364"/>
      <c r="M89" s="364"/>
      <c r="N89" s="364"/>
      <c r="O89" s="364"/>
      <c r="P89" s="364"/>
      <c r="Q89" s="364"/>
      <c r="R89" s="364"/>
      <c r="S89" s="364"/>
      <c r="T89" s="364"/>
      <c r="U89" s="365"/>
    </row>
    <row r="90" spans="1:21" x14ac:dyDescent="0.25">
      <c r="A90" s="11"/>
      <c r="B90" s="105" t="s">
        <v>238</v>
      </c>
      <c r="C90" s="331" t="s">
        <v>214</v>
      </c>
      <c r="D90" s="332" t="s">
        <v>59</v>
      </c>
      <c r="E90" s="103"/>
      <c r="F90" s="103"/>
      <c r="G90" s="103"/>
      <c r="H90" s="99">
        <f t="shared" si="59"/>
        <v>0</v>
      </c>
      <c r="J90" s="347"/>
      <c r="K90" s="347"/>
      <c r="L90" s="347"/>
      <c r="M90" s="347"/>
      <c r="N90" s="347"/>
      <c r="O90" s="347"/>
      <c r="P90" s="347"/>
      <c r="Q90" s="347"/>
      <c r="R90" s="347"/>
      <c r="S90" s="347"/>
      <c r="T90" s="347"/>
      <c r="U90" s="348"/>
    </row>
    <row r="91" spans="1:21" x14ac:dyDescent="0.25">
      <c r="A91" s="11"/>
      <c r="B91" s="105" t="s">
        <v>225</v>
      </c>
      <c r="C91" s="103">
        <v>720</v>
      </c>
      <c r="D91" s="332" t="s">
        <v>59</v>
      </c>
      <c r="E91" s="103"/>
      <c r="F91" s="103"/>
      <c r="G91" s="103"/>
      <c r="H91" s="99">
        <f t="shared" si="59"/>
        <v>0</v>
      </c>
      <c r="I91" s="46"/>
      <c r="J91" s="47">
        <f t="shared" ref="J91:U91" si="60">J115</f>
        <v>0</v>
      </c>
      <c r="K91" s="47">
        <f t="shared" si="60"/>
        <v>0</v>
      </c>
      <c r="L91" s="47">
        <f t="shared" si="60"/>
        <v>0</v>
      </c>
      <c r="M91" s="47">
        <f t="shared" si="60"/>
        <v>0</v>
      </c>
      <c r="N91" s="47">
        <f t="shared" si="60"/>
        <v>0</v>
      </c>
      <c r="O91" s="47">
        <f t="shared" si="60"/>
        <v>0</v>
      </c>
      <c r="P91" s="47">
        <f t="shared" si="60"/>
        <v>0</v>
      </c>
      <c r="Q91" s="47">
        <f t="shared" si="60"/>
        <v>0</v>
      </c>
      <c r="R91" s="47">
        <f t="shared" si="60"/>
        <v>0</v>
      </c>
      <c r="S91" s="47">
        <f t="shared" si="60"/>
        <v>0</v>
      </c>
      <c r="T91" s="47">
        <f t="shared" si="60"/>
        <v>0</v>
      </c>
      <c r="U91" s="48">
        <f t="shared" si="60"/>
        <v>0</v>
      </c>
    </row>
    <row r="92" spans="1:21" x14ac:dyDescent="0.25">
      <c r="A92" s="11"/>
      <c r="B92" s="105" t="s">
        <v>226</v>
      </c>
      <c r="C92" s="103">
        <v>720</v>
      </c>
      <c r="D92" s="332" t="s">
        <v>59</v>
      </c>
      <c r="E92" s="103"/>
      <c r="F92" s="103"/>
      <c r="G92" s="103"/>
      <c r="H92" s="99">
        <f t="shared" si="59"/>
        <v>0</v>
      </c>
      <c r="I92" s="46"/>
      <c r="J92" s="47">
        <f t="shared" ref="J92:U92" si="61">J114</f>
        <v>0</v>
      </c>
      <c r="K92" s="47">
        <f t="shared" si="61"/>
        <v>0</v>
      </c>
      <c r="L92" s="47">
        <f t="shared" si="61"/>
        <v>0</v>
      </c>
      <c r="M92" s="47">
        <f t="shared" si="61"/>
        <v>0</v>
      </c>
      <c r="N92" s="47">
        <f t="shared" si="61"/>
        <v>0</v>
      </c>
      <c r="O92" s="47">
        <f t="shared" si="61"/>
        <v>0</v>
      </c>
      <c r="P92" s="47">
        <f t="shared" si="61"/>
        <v>0</v>
      </c>
      <c r="Q92" s="47">
        <f t="shared" si="61"/>
        <v>0</v>
      </c>
      <c r="R92" s="47">
        <f t="shared" si="61"/>
        <v>0</v>
      </c>
      <c r="S92" s="47">
        <f t="shared" si="61"/>
        <v>0</v>
      </c>
      <c r="T92" s="47">
        <f t="shared" si="61"/>
        <v>0</v>
      </c>
      <c r="U92" s="48">
        <f t="shared" si="61"/>
        <v>0</v>
      </c>
    </row>
    <row r="93" spans="1:21" x14ac:dyDescent="0.25">
      <c r="A93" s="11"/>
      <c r="B93" s="105" t="s">
        <v>205</v>
      </c>
      <c r="C93" s="103">
        <v>720</v>
      </c>
      <c r="D93" s="332" t="s">
        <v>59</v>
      </c>
      <c r="E93" s="103"/>
      <c r="F93" s="103"/>
      <c r="G93" s="103"/>
      <c r="H93" s="99">
        <f t="shared" si="59"/>
        <v>0</v>
      </c>
      <c r="I93" s="46"/>
      <c r="J93" s="47">
        <f t="shared" ref="J93:U93" si="62">J118</f>
        <v>0</v>
      </c>
      <c r="K93" s="47">
        <f t="shared" si="62"/>
        <v>0</v>
      </c>
      <c r="L93" s="47">
        <f t="shared" si="62"/>
        <v>0</v>
      </c>
      <c r="M93" s="47">
        <f t="shared" si="62"/>
        <v>0</v>
      </c>
      <c r="N93" s="47">
        <f t="shared" si="62"/>
        <v>0</v>
      </c>
      <c r="O93" s="47">
        <f t="shared" si="62"/>
        <v>0</v>
      </c>
      <c r="P93" s="47">
        <f t="shared" si="62"/>
        <v>0</v>
      </c>
      <c r="Q93" s="47">
        <f t="shared" si="62"/>
        <v>0</v>
      </c>
      <c r="R93" s="47">
        <f t="shared" si="62"/>
        <v>0</v>
      </c>
      <c r="S93" s="47">
        <f t="shared" si="62"/>
        <v>0</v>
      </c>
      <c r="T93" s="47">
        <f t="shared" si="62"/>
        <v>0</v>
      </c>
      <c r="U93" s="48">
        <f t="shared" si="62"/>
        <v>0</v>
      </c>
    </row>
    <row r="94" spans="1:21" x14ac:dyDescent="0.25">
      <c r="A94" s="11"/>
      <c r="B94" s="105" t="s">
        <v>60</v>
      </c>
      <c r="C94" s="331" t="s">
        <v>194</v>
      </c>
      <c r="D94" s="332" t="s">
        <v>59</v>
      </c>
      <c r="E94" s="103"/>
      <c r="F94" s="103"/>
      <c r="G94" s="103"/>
      <c r="H94" s="99">
        <f t="shared" si="59"/>
        <v>0</v>
      </c>
      <c r="J94" s="47">
        <f t="shared" ref="J94:U94" si="63">J119</f>
        <v>0</v>
      </c>
      <c r="K94" s="47">
        <f t="shared" si="63"/>
        <v>0</v>
      </c>
      <c r="L94" s="47">
        <f t="shared" si="63"/>
        <v>0</v>
      </c>
      <c r="M94" s="47">
        <f t="shared" si="63"/>
        <v>0</v>
      </c>
      <c r="N94" s="47">
        <f t="shared" si="63"/>
        <v>0</v>
      </c>
      <c r="O94" s="47">
        <f t="shared" si="63"/>
        <v>0</v>
      </c>
      <c r="P94" s="47">
        <f t="shared" si="63"/>
        <v>0</v>
      </c>
      <c r="Q94" s="47">
        <f t="shared" si="63"/>
        <v>0</v>
      </c>
      <c r="R94" s="47">
        <f t="shared" si="63"/>
        <v>0</v>
      </c>
      <c r="S94" s="47">
        <f t="shared" si="63"/>
        <v>0</v>
      </c>
      <c r="T94" s="47">
        <f t="shared" si="63"/>
        <v>0</v>
      </c>
      <c r="U94" s="48">
        <f t="shared" si="63"/>
        <v>0</v>
      </c>
    </row>
    <row r="95" spans="1:21" x14ac:dyDescent="0.25">
      <c r="A95" s="11"/>
      <c r="B95" s="105" t="s">
        <v>80</v>
      </c>
      <c r="C95" s="331" t="s">
        <v>194</v>
      </c>
      <c r="D95" s="332" t="s">
        <v>59</v>
      </c>
      <c r="E95" s="103"/>
      <c r="F95" s="103"/>
      <c r="G95" s="103"/>
      <c r="H95" s="99">
        <f t="shared" si="59"/>
        <v>0</v>
      </c>
      <c r="J95" s="47">
        <f t="shared" ref="J95:U95" si="64">J120</f>
        <v>0</v>
      </c>
      <c r="K95" s="47">
        <f t="shared" si="64"/>
        <v>0</v>
      </c>
      <c r="L95" s="47">
        <f t="shared" si="64"/>
        <v>0</v>
      </c>
      <c r="M95" s="47">
        <f t="shared" si="64"/>
        <v>0</v>
      </c>
      <c r="N95" s="47">
        <f t="shared" si="64"/>
        <v>0</v>
      </c>
      <c r="O95" s="47">
        <f t="shared" si="64"/>
        <v>0</v>
      </c>
      <c r="P95" s="47">
        <f t="shared" si="64"/>
        <v>0</v>
      </c>
      <c r="Q95" s="47">
        <f t="shared" si="64"/>
        <v>0</v>
      </c>
      <c r="R95" s="47">
        <f t="shared" si="64"/>
        <v>0</v>
      </c>
      <c r="S95" s="47">
        <f t="shared" si="64"/>
        <v>0</v>
      </c>
      <c r="T95" s="47">
        <f t="shared" si="64"/>
        <v>0</v>
      </c>
      <c r="U95" s="48">
        <f t="shared" si="64"/>
        <v>0</v>
      </c>
    </row>
    <row r="96" spans="1:21" x14ac:dyDescent="0.25">
      <c r="A96" s="11"/>
      <c r="B96" s="105" t="s">
        <v>230</v>
      </c>
      <c r="C96" s="104">
        <v>305</v>
      </c>
      <c r="D96" s="332" t="s">
        <v>61</v>
      </c>
      <c r="E96" s="103"/>
      <c r="F96" s="103"/>
      <c r="G96" s="103"/>
      <c r="H96" s="99">
        <f t="shared" si="59"/>
        <v>0</v>
      </c>
      <c r="J96" s="364"/>
      <c r="K96" s="364"/>
      <c r="L96" s="364"/>
      <c r="M96" s="364"/>
      <c r="N96" s="364"/>
      <c r="O96" s="364"/>
      <c r="P96" s="364"/>
      <c r="Q96" s="364"/>
      <c r="R96" s="364"/>
      <c r="S96" s="364"/>
      <c r="T96" s="364"/>
      <c r="U96" s="365"/>
    </row>
    <row r="97" spans="1:23" x14ac:dyDescent="0.25">
      <c r="A97" s="11"/>
      <c r="B97" s="105" t="s">
        <v>231</v>
      </c>
      <c r="C97" s="104">
        <v>306</v>
      </c>
      <c r="D97" s="332" t="s">
        <v>61</v>
      </c>
      <c r="E97" s="4"/>
      <c r="F97" s="103"/>
      <c r="G97" s="103"/>
      <c r="H97" s="99">
        <f t="shared" si="59"/>
        <v>0</v>
      </c>
      <c r="J97" s="364"/>
      <c r="K97" s="364"/>
      <c r="L97" s="364"/>
      <c r="M97" s="364"/>
      <c r="N97" s="364"/>
      <c r="O97" s="364"/>
      <c r="P97" s="364"/>
      <c r="Q97" s="364"/>
      <c r="R97" s="364"/>
      <c r="S97" s="364"/>
      <c r="T97" s="364"/>
      <c r="U97" s="365"/>
    </row>
    <row r="98" spans="1:23" x14ac:dyDescent="0.25">
      <c r="A98" s="11"/>
      <c r="B98" s="105" t="s">
        <v>232</v>
      </c>
      <c r="C98" s="334" t="s">
        <v>195</v>
      </c>
      <c r="D98" s="332" t="s">
        <v>62</v>
      </c>
      <c r="E98" s="103"/>
      <c r="F98" s="103"/>
      <c r="G98" s="103"/>
      <c r="H98" s="99">
        <f t="shared" si="59"/>
        <v>0</v>
      </c>
      <c r="J98" s="364"/>
      <c r="K98" s="364"/>
      <c r="L98" s="364"/>
      <c r="M98" s="364"/>
      <c r="N98" s="364"/>
      <c r="O98" s="364"/>
      <c r="P98" s="364"/>
      <c r="Q98" s="364"/>
      <c r="R98" s="364"/>
      <c r="S98" s="364"/>
      <c r="T98" s="364"/>
      <c r="U98" s="365"/>
    </row>
    <row r="99" spans="1:23" x14ac:dyDescent="0.25">
      <c r="A99" s="11"/>
      <c r="B99" s="105" t="s">
        <v>233</v>
      </c>
      <c r="C99" s="334" t="s">
        <v>196</v>
      </c>
      <c r="D99" s="332" t="s">
        <v>62</v>
      </c>
      <c r="E99" s="103"/>
      <c r="F99" s="103"/>
      <c r="G99" s="103"/>
      <c r="H99" s="99">
        <f t="shared" si="59"/>
        <v>0</v>
      </c>
      <c r="J99" s="364"/>
      <c r="K99" s="364"/>
      <c r="L99" s="364"/>
      <c r="M99" s="364"/>
      <c r="N99" s="364"/>
      <c r="O99" s="364"/>
      <c r="P99" s="364"/>
      <c r="Q99" s="364"/>
      <c r="R99" s="364"/>
      <c r="S99" s="364"/>
      <c r="T99" s="364"/>
      <c r="U99" s="365"/>
    </row>
    <row r="100" spans="1:23" x14ac:dyDescent="0.25">
      <c r="A100" s="11"/>
      <c r="B100" s="105" t="s">
        <v>235</v>
      </c>
      <c r="C100" s="334" t="s">
        <v>197</v>
      </c>
      <c r="D100" s="332" t="s">
        <v>63</v>
      </c>
      <c r="E100" s="103"/>
      <c r="F100" s="103"/>
      <c r="G100" s="103"/>
      <c r="H100" s="99">
        <f t="shared" si="59"/>
        <v>0</v>
      </c>
      <c r="J100" s="364"/>
      <c r="K100" s="364"/>
      <c r="L100" s="364"/>
      <c r="M100" s="364"/>
      <c r="N100" s="364"/>
      <c r="O100" s="364"/>
      <c r="P100" s="364"/>
      <c r="Q100" s="364"/>
      <c r="R100" s="364"/>
      <c r="S100" s="364"/>
      <c r="T100" s="364"/>
      <c r="U100" s="365"/>
    </row>
    <row r="101" spans="1:23" x14ac:dyDescent="0.25">
      <c r="A101" s="11"/>
      <c r="B101" s="105" t="s">
        <v>64</v>
      </c>
      <c r="C101" s="334" t="s">
        <v>198</v>
      </c>
      <c r="D101" s="332" t="s">
        <v>63</v>
      </c>
      <c r="E101" s="104"/>
      <c r="F101" s="103"/>
      <c r="G101" s="400" t="e">
        <f>H101/$W$16</f>
        <v>#DIV/0!</v>
      </c>
      <c r="H101" s="99">
        <f t="shared" si="59"/>
        <v>0</v>
      </c>
      <c r="J101" s="364"/>
      <c r="K101" s="364"/>
      <c r="L101" s="364"/>
      <c r="M101" s="364"/>
      <c r="N101" s="364"/>
      <c r="O101" s="364"/>
      <c r="P101" s="364"/>
      <c r="Q101" s="364"/>
      <c r="R101" s="364"/>
      <c r="S101" s="364"/>
      <c r="T101" s="364"/>
      <c r="U101" s="365"/>
    </row>
    <row r="102" spans="1:23" x14ac:dyDescent="0.25">
      <c r="A102" s="11"/>
      <c r="B102" s="105" t="s">
        <v>65</v>
      </c>
      <c r="C102" s="334" t="s">
        <v>199</v>
      </c>
      <c r="D102" s="332" t="s">
        <v>63</v>
      </c>
      <c r="E102" s="104">
        <v>365</v>
      </c>
      <c r="F102" s="103"/>
      <c r="G102" s="103"/>
      <c r="H102" s="99">
        <f t="shared" si="59"/>
        <v>0</v>
      </c>
      <c r="J102" s="364"/>
      <c r="K102" s="364"/>
      <c r="L102" s="364"/>
      <c r="M102" s="364"/>
      <c r="N102" s="364"/>
      <c r="O102" s="364"/>
      <c r="P102" s="364"/>
      <c r="Q102" s="364"/>
      <c r="R102" s="364"/>
      <c r="S102" s="364"/>
      <c r="T102" s="364"/>
      <c r="U102" s="365"/>
    </row>
    <row r="103" spans="1:23" x14ac:dyDescent="0.25">
      <c r="A103" s="11"/>
      <c r="B103" s="105" t="s">
        <v>66</v>
      </c>
      <c r="C103" s="334" t="s">
        <v>200</v>
      </c>
      <c r="D103" s="332" t="s">
        <v>67</v>
      </c>
      <c r="E103" s="103">
        <v>338</v>
      </c>
      <c r="F103" s="103"/>
      <c r="G103" s="398">
        <v>0.33</v>
      </c>
      <c r="H103" s="99">
        <f t="shared" si="59"/>
        <v>0</v>
      </c>
      <c r="I103" s="46"/>
      <c r="J103" s="47">
        <f t="shared" ref="J103:U103" si="65">$G$103*J16</f>
        <v>0</v>
      </c>
      <c r="K103" s="47">
        <f t="shared" si="65"/>
        <v>0</v>
      </c>
      <c r="L103" s="47">
        <f t="shared" si="65"/>
        <v>0</v>
      </c>
      <c r="M103" s="47">
        <f t="shared" si="65"/>
        <v>0</v>
      </c>
      <c r="N103" s="47">
        <f t="shared" si="65"/>
        <v>0</v>
      </c>
      <c r="O103" s="47">
        <f t="shared" si="65"/>
        <v>0</v>
      </c>
      <c r="P103" s="47">
        <f t="shared" si="65"/>
        <v>0</v>
      </c>
      <c r="Q103" s="47">
        <f t="shared" si="65"/>
        <v>0</v>
      </c>
      <c r="R103" s="47">
        <f t="shared" si="65"/>
        <v>0</v>
      </c>
      <c r="S103" s="47">
        <f t="shared" si="65"/>
        <v>0</v>
      </c>
      <c r="T103" s="47">
        <f t="shared" si="65"/>
        <v>0</v>
      </c>
      <c r="U103" s="48">
        <f t="shared" si="65"/>
        <v>0</v>
      </c>
    </row>
    <row r="104" spans="1:23" x14ac:dyDescent="0.25">
      <c r="A104" s="11"/>
      <c r="B104" s="105" t="s">
        <v>234</v>
      </c>
      <c r="C104" s="104">
        <v>351</v>
      </c>
      <c r="D104" s="332" t="s">
        <v>67</v>
      </c>
      <c r="E104" s="103">
        <v>324</v>
      </c>
      <c r="F104" s="103"/>
      <c r="G104" s="399">
        <v>1.6000000000000001E-3</v>
      </c>
      <c r="H104" s="99">
        <f t="shared" si="59"/>
        <v>0</v>
      </c>
      <c r="J104" s="47">
        <f t="shared" ref="J104:U104" si="66">$G$104*J46/100</f>
        <v>0</v>
      </c>
      <c r="K104" s="47">
        <f t="shared" si="66"/>
        <v>0</v>
      </c>
      <c r="L104" s="47">
        <f t="shared" si="66"/>
        <v>0</v>
      </c>
      <c r="M104" s="47">
        <f t="shared" si="66"/>
        <v>0</v>
      </c>
      <c r="N104" s="47">
        <f t="shared" si="66"/>
        <v>0</v>
      </c>
      <c r="O104" s="47">
        <f t="shared" si="66"/>
        <v>0</v>
      </c>
      <c r="P104" s="47">
        <f t="shared" si="66"/>
        <v>0</v>
      </c>
      <c r="Q104" s="47">
        <f t="shared" si="66"/>
        <v>0</v>
      </c>
      <c r="R104" s="47">
        <f t="shared" si="66"/>
        <v>0</v>
      </c>
      <c r="S104" s="47">
        <f t="shared" si="66"/>
        <v>0</v>
      </c>
      <c r="T104" s="47">
        <f t="shared" si="66"/>
        <v>0</v>
      </c>
      <c r="U104" s="48">
        <f t="shared" si="66"/>
        <v>0</v>
      </c>
    </row>
    <row r="105" spans="1:23" ht="15.75" thickBot="1" x14ac:dyDescent="0.3">
      <c r="A105" s="11"/>
      <c r="B105" s="106" t="s">
        <v>68</v>
      </c>
      <c r="C105" s="333" t="s">
        <v>201</v>
      </c>
      <c r="D105" s="335" t="s">
        <v>67</v>
      </c>
      <c r="E105" s="108"/>
      <c r="F105" s="108"/>
      <c r="G105" s="398">
        <v>3.75</v>
      </c>
      <c r="H105" s="99">
        <f t="shared" si="59"/>
        <v>0</v>
      </c>
      <c r="J105" s="350">
        <f t="shared" ref="J105:U105" si="67">$G$105*J16</f>
        <v>0</v>
      </c>
      <c r="K105" s="350">
        <f t="shared" si="67"/>
        <v>0</v>
      </c>
      <c r="L105" s="350">
        <f t="shared" si="67"/>
        <v>0</v>
      </c>
      <c r="M105" s="350">
        <f t="shared" si="67"/>
        <v>0</v>
      </c>
      <c r="N105" s="350">
        <f t="shared" si="67"/>
        <v>0</v>
      </c>
      <c r="O105" s="350">
        <f t="shared" si="67"/>
        <v>0</v>
      </c>
      <c r="P105" s="350">
        <f t="shared" si="67"/>
        <v>0</v>
      </c>
      <c r="Q105" s="350">
        <f t="shared" si="67"/>
        <v>0</v>
      </c>
      <c r="R105" s="350">
        <f t="shared" si="67"/>
        <v>0</v>
      </c>
      <c r="S105" s="350">
        <f t="shared" si="67"/>
        <v>0</v>
      </c>
      <c r="T105" s="350">
        <f t="shared" si="67"/>
        <v>0</v>
      </c>
      <c r="U105" s="351">
        <f t="shared" si="67"/>
        <v>0</v>
      </c>
    </row>
    <row r="106" spans="1:23" x14ac:dyDescent="0.25">
      <c r="B106" s="11"/>
      <c r="U106" s="109"/>
    </row>
    <row r="107" spans="1:23" ht="15.75" thickBot="1" x14ac:dyDescent="0.3">
      <c r="A107" s="11"/>
      <c r="B107" s="110" t="s">
        <v>69</v>
      </c>
      <c r="C107" s="33"/>
      <c r="D107" s="33"/>
      <c r="E107" s="33"/>
      <c r="F107" s="33"/>
      <c r="G107" s="111" t="e">
        <f>H107/B127</f>
        <v>#DIV/0!</v>
      </c>
      <c r="H107" s="64">
        <f>SUM(H82:H105)</f>
        <v>0</v>
      </c>
      <c r="I107" s="112"/>
      <c r="J107" s="64">
        <f t="shared" ref="J107:U107" si="68">SUM(J82:J105)</f>
        <v>0</v>
      </c>
      <c r="K107" s="64">
        <f t="shared" si="68"/>
        <v>0</v>
      </c>
      <c r="L107" s="64">
        <f t="shared" si="68"/>
        <v>0</v>
      </c>
      <c r="M107" s="64">
        <f t="shared" si="68"/>
        <v>0</v>
      </c>
      <c r="N107" s="64">
        <f t="shared" si="68"/>
        <v>0</v>
      </c>
      <c r="O107" s="64">
        <f t="shared" si="68"/>
        <v>0</v>
      </c>
      <c r="P107" s="64">
        <f t="shared" si="68"/>
        <v>0</v>
      </c>
      <c r="Q107" s="64">
        <f t="shared" si="68"/>
        <v>0</v>
      </c>
      <c r="R107" s="64">
        <f t="shared" si="68"/>
        <v>0</v>
      </c>
      <c r="S107" s="64">
        <f t="shared" si="68"/>
        <v>0</v>
      </c>
      <c r="T107" s="64">
        <f t="shared" si="68"/>
        <v>0</v>
      </c>
      <c r="U107" s="66">
        <f t="shared" si="68"/>
        <v>0</v>
      </c>
    </row>
    <row r="108" spans="1:23" ht="15.75" thickBot="1" x14ac:dyDescent="0.3"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</row>
    <row r="109" spans="1:23" ht="16.5" thickTop="1" thickBot="1" x14ac:dyDescent="0.3">
      <c r="B109" s="113" t="s">
        <v>70</v>
      </c>
      <c r="C109" s="114"/>
      <c r="D109" s="114"/>
      <c r="E109" s="114"/>
      <c r="F109" s="114"/>
      <c r="G109" s="115"/>
      <c r="H109" s="116">
        <f>H51+H78+H107</f>
        <v>0</v>
      </c>
      <c r="I109" s="115"/>
      <c r="J109" s="116">
        <f t="shared" ref="J109:U109" si="69">J51+J78+J107</f>
        <v>0</v>
      </c>
      <c r="K109" s="116">
        <f t="shared" si="69"/>
        <v>0</v>
      </c>
      <c r="L109" s="116">
        <f t="shared" si="69"/>
        <v>0</v>
      </c>
      <c r="M109" s="116">
        <f t="shared" si="69"/>
        <v>0</v>
      </c>
      <c r="N109" s="116">
        <f t="shared" si="69"/>
        <v>0</v>
      </c>
      <c r="O109" s="116">
        <f t="shared" si="69"/>
        <v>0</v>
      </c>
      <c r="P109" s="116">
        <f t="shared" si="69"/>
        <v>0</v>
      </c>
      <c r="Q109" s="116">
        <f t="shared" si="69"/>
        <v>0</v>
      </c>
      <c r="R109" s="116">
        <f t="shared" si="69"/>
        <v>0</v>
      </c>
      <c r="S109" s="116">
        <f t="shared" si="69"/>
        <v>0</v>
      </c>
      <c r="T109" s="116">
        <f t="shared" si="69"/>
        <v>0</v>
      </c>
      <c r="U109" s="117">
        <f t="shared" si="69"/>
        <v>0</v>
      </c>
      <c r="W109" s="67">
        <f>SUM(J109:U109)</f>
        <v>0</v>
      </c>
    </row>
    <row r="110" spans="1:23" ht="15.75" thickBot="1" x14ac:dyDescent="0.3"/>
    <row r="111" spans="1:23" ht="16.5" thickTop="1" thickBot="1" x14ac:dyDescent="0.3">
      <c r="B111" s="113" t="s">
        <v>71</v>
      </c>
      <c r="C111" s="114"/>
      <c r="D111" s="114"/>
      <c r="E111" s="114"/>
      <c r="F111" s="114"/>
      <c r="G111" s="114"/>
      <c r="H111" s="116">
        <f>H46-H109</f>
        <v>0</v>
      </c>
      <c r="I111" s="115"/>
      <c r="J111" s="116">
        <f t="shared" ref="J111:U111" si="70">J46-J109</f>
        <v>0</v>
      </c>
      <c r="K111" s="116">
        <f t="shared" si="70"/>
        <v>0</v>
      </c>
      <c r="L111" s="116">
        <f t="shared" si="70"/>
        <v>0</v>
      </c>
      <c r="M111" s="116">
        <f t="shared" si="70"/>
        <v>0</v>
      </c>
      <c r="N111" s="116">
        <f t="shared" si="70"/>
        <v>0</v>
      </c>
      <c r="O111" s="116">
        <f t="shared" si="70"/>
        <v>0</v>
      </c>
      <c r="P111" s="116">
        <f t="shared" si="70"/>
        <v>0</v>
      </c>
      <c r="Q111" s="116">
        <f t="shared" si="70"/>
        <v>0</v>
      </c>
      <c r="R111" s="116">
        <f t="shared" si="70"/>
        <v>0</v>
      </c>
      <c r="S111" s="116">
        <f t="shared" si="70"/>
        <v>0</v>
      </c>
      <c r="T111" s="116">
        <f t="shared" si="70"/>
        <v>0</v>
      </c>
      <c r="U111" s="117">
        <f t="shared" si="70"/>
        <v>0</v>
      </c>
      <c r="W111" s="67">
        <f>SUM(J111:U111)</f>
        <v>0</v>
      </c>
    </row>
    <row r="112" spans="1:23" ht="15.75" thickBot="1" x14ac:dyDescent="0.3"/>
    <row r="113" spans="2:21" x14ac:dyDescent="0.25">
      <c r="B113" s="71" t="s">
        <v>72</v>
      </c>
      <c r="C113" s="80" t="s">
        <v>44</v>
      </c>
      <c r="D113" s="42" t="s">
        <v>220</v>
      </c>
      <c r="E113" s="42" t="s">
        <v>203</v>
      </c>
      <c r="F113" s="42" t="s">
        <v>240</v>
      </c>
      <c r="G113" s="42" t="s">
        <v>239</v>
      </c>
      <c r="H113" s="9"/>
      <c r="I113" s="118"/>
      <c r="J113" s="448" t="s">
        <v>73</v>
      </c>
      <c r="K113" s="448"/>
      <c r="L113" s="448"/>
      <c r="M113" s="448"/>
      <c r="N113" s="448"/>
      <c r="O113" s="448"/>
      <c r="P113" s="448"/>
      <c r="Q113" s="448"/>
      <c r="R113" s="448"/>
      <c r="S113" s="448"/>
      <c r="T113" s="448"/>
      <c r="U113" s="449"/>
    </row>
    <row r="114" spans="2:21" x14ac:dyDescent="0.25">
      <c r="B114" s="119" t="s">
        <v>74</v>
      </c>
      <c r="C114" s="340">
        <v>720</v>
      </c>
      <c r="D114" s="120" t="s">
        <v>59</v>
      </c>
      <c r="E114" s="121" t="s">
        <v>75</v>
      </c>
      <c r="F114" s="401"/>
      <c r="G114" s="345">
        <f t="shared" ref="G114:G122" si="71">IFERROR(H114/F114,0)</f>
        <v>0</v>
      </c>
      <c r="H114" s="345">
        <f t="shared" ref="H114:H122" si="72">SUM(J114:U114)</f>
        <v>0</v>
      </c>
      <c r="J114" s="366"/>
      <c r="K114" s="366"/>
      <c r="L114" s="366"/>
      <c r="M114" s="366"/>
      <c r="N114" s="366"/>
      <c r="O114" s="366"/>
      <c r="P114" s="366"/>
      <c r="Q114" s="366"/>
      <c r="R114" s="366"/>
      <c r="S114" s="366"/>
      <c r="T114" s="366"/>
      <c r="U114" s="367"/>
    </row>
    <row r="115" spans="2:21" x14ac:dyDescent="0.25">
      <c r="B115" s="119" t="s">
        <v>76</v>
      </c>
      <c r="C115" s="340">
        <v>720</v>
      </c>
      <c r="D115" s="120" t="s">
        <v>59</v>
      </c>
      <c r="E115" s="121" t="s">
        <v>75</v>
      </c>
      <c r="F115" s="401"/>
      <c r="G115" s="345">
        <f t="shared" si="71"/>
        <v>0</v>
      </c>
      <c r="H115" s="345">
        <f t="shared" si="72"/>
        <v>0</v>
      </c>
      <c r="J115" s="366"/>
      <c r="K115" s="366"/>
      <c r="L115" s="366"/>
      <c r="M115" s="366"/>
      <c r="N115" s="366"/>
      <c r="O115" s="366"/>
      <c r="P115" s="366"/>
      <c r="Q115" s="366"/>
      <c r="R115" s="366"/>
      <c r="S115" s="366"/>
      <c r="T115" s="366"/>
      <c r="U115" s="368"/>
    </row>
    <row r="116" spans="2:21" x14ac:dyDescent="0.25">
      <c r="B116" s="119" t="s">
        <v>77</v>
      </c>
      <c r="C116" s="340">
        <v>720</v>
      </c>
      <c r="D116" s="120" t="s">
        <v>59</v>
      </c>
      <c r="E116" s="121" t="s">
        <v>75</v>
      </c>
      <c r="F116" s="401"/>
      <c r="G116" s="345">
        <f t="shared" si="71"/>
        <v>0</v>
      </c>
      <c r="H116" s="345">
        <f t="shared" si="72"/>
        <v>0</v>
      </c>
      <c r="J116" s="366"/>
      <c r="K116" s="366"/>
      <c r="L116" s="366"/>
      <c r="M116" s="366"/>
      <c r="N116" s="366"/>
      <c r="O116" s="366"/>
      <c r="P116" s="366"/>
      <c r="Q116" s="366"/>
      <c r="R116" s="366"/>
      <c r="S116" s="366"/>
      <c r="T116" s="366"/>
      <c r="U116" s="368"/>
    </row>
    <row r="117" spans="2:21" x14ac:dyDescent="0.25">
      <c r="B117" s="119" t="s">
        <v>78</v>
      </c>
      <c r="C117" s="340">
        <v>720</v>
      </c>
      <c r="D117" s="120" t="s">
        <v>59</v>
      </c>
      <c r="E117" s="121" t="s">
        <v>75</v>
      </c>
      <c r="F117" s="401"/>
      <c r="G117" s="345">
        <f t="shared" si="71"/>
        <v>0</v>
      </c>
      <c r="H117" s="345">
        <f t="shared" si="72"/>
        <v>0</v>
      </c>
      <c r="J117" s="366"/>
      <c r="K117" s="366"/>
      <c r="L117" s="366"/>
      <c r="M117" s="366"/>
      <c r="N117" s="366"/>
      <c r="O117" s="366"/>
      <c r="P117" s="366"/>
      <c r="Q117" s="366"/>
      <c r="R117" s="366"/>
      <c r="S117" s="366"/>
      <c r="T117" s="366"/>
      <c r="U117" s="368"/>
    </row>
    <row r="118" spans="2:21" x14ac:dyDescent="0.25">
      <c r="B118" s="119" t="s">
        <v>205</v>
      </c>
      <c r="C118" s="340">
        <v>720</v>
      </c>
      <c r="D118" s="120" t="s">
        <v>59</v>
      </c>
      <c r="E118" s="121" t="s">
        <v>206</v>
      </c>
      <c r="F118" s="401"/>
      <c r="G118" s="345">
        <f t="shared" si="71"/>
        <v>0</v>
      </c>
      <c r="H118" s="345">
        <f t="shared" si="72"/>
        <v>0</v>
      </c>
      <c r="J118" s="366"/>
      <c r="K118" s="366"/>
      <c r="L118" s="366"/>
      <c r="M118" s="366"/>
      <c r="N118" s="366"/>
      <c r="O118" s="366"/>
      <c r="P118" s="366"/>
      <c r="Q118" s="366"/>
      <c r="R118" s="366"/>
      <c r="S118" s="366"/>
      <c r="T118" s="366"/>
      <c r="U118" s="368"/>
    </row>
    <row r="119" spans="2:21" x14ac:dyDescent="0.25">
      <c r="B119" s="119" t="s">
        <v>60</v>
      </c>
      <c r="C119" s="341" t="s">
        <v>194</v>
      </c>
      <c r="D119" s="120" t="s">
        <v>59</v>
      </c>
      <c r="E119" s="121" t="s">
        <v>79</v>
      </c>
      <c r="F119" s="401"/>
      <c r="G119" s="345">
        <f t="shared" si="71"/>
        <v>0</v>
      </c>
      <c r="H119" s="345">
        <f t="shared" si="72"/>
        <v>0</v>
      </c>
      <c r="J119" s="366"/>
      <c r="K119" s="366"/>
      <c r="L119" s="366"/>
      <c r="M119" s="366"/>
      <c r="N119" s="366"/>
      <c r="O119" s="366"/>
      <c r="P119" s="366"/>
      <c r="Q119" s="366"/>
      <c r="R119" s="366"/>
      <c r="S119" s="366"/>
      <c r="T119" s="366"/>
      <c r="U119" s="368"/>
    </row>
    <row r="120" spans="2:21" x14ac:dyDescent="0.25">
      <c r="B120" s="119" t="s">
        <v>80</v>
      </c>
      <c r="C120" s="341" t="s">
        <v>194</v>
      </c>
      <c r="D120" s="120" t="s">
        <v>59</v>
      </c>
      <c r="E120" s="121" t="s">
        <v>81</v>
      </c>
      <c r="F120" s="401"/>
      <c r="G120" s="345">
        <f t="shared" si="71"/>
        <v>0</v>
      </c>
      <c r="H120" s="345">
        <f t="shared" si="72"/>
        <v>0</v>
      </c>
      <c r="J120" s="366"/>
      <c r="K120" s="366"/>
      <c r="L120" s="366"/>
      <c r="M120" s="366"/>
      <c r="N120" s="366"/>
      <c r="O120" s="366"/>
      <c r="P120" s="366"/>
      <c r="Q120" s="366"/>
      <c r="R120" s="366"/>
      <c r="S120" s="366"/>
      <c r="T120" s="366"/>
      <c r="U120" s="368"/>
    </row>
    <row r="121" spans="2:21" x14ac:dyDescent="0.25">
      <c r="B121" s="336" t="s">
        <v>237</v>
      </c>
      <c r="C121" s="342" t="s">
        <v>195</v>
      </c>
      <c r="D121" s="337" t="s">
        <v>62</v>
      </c>
      <c r="E121" s="338" t="s">
        <v>79</v>
      </c>
      <c r="F121" s="402"/>
      <c r="G121" s="345">
        <f t="shared" si="71"/>
        <v>0</v>
      </c>
      <c r="H121" s="345">
        <f t="shared" si="72"/>
        <v>0</v>
      </c>
      <c r="J121" s="366"/>
      <c r="K121" s="366"/>
      <c r="L121" s="366"/>
      <c r="M121" s="366"/>
      <c r="N121" s="366"/>
      <c r="O121" s="366"/>
      <c r="P121" s="366"/>
      <c r="Q121" s="366"/>
      <c r="R121" s="366"/>
      <c r="S121" s="366"/>
      <c r="T121" s="366"/>
      <c r="U121" s="369"/>
    </row>
    <row r="122" spans="2:21" ht="15.75" thickBot="1" x14ac:dyDescent="0.3">
      <c r="B122" s="125" t="s">
        <v>236</v>
      </c>
      <c r="C122" s="343" t="s">
        <v>195</v>
      </c>
      <c r="D122" s="126" t="s">
        <v>62</v>
      </c>
      <c r="E122" s="127" t="s">
        <v>81</v>
      </c>
      <c r="F122" s="403"/>
      <c r="G122" s="437">
        <f t="shared" si="71"/>
        <v>0</v>
      </c>
      <c r="H122" s="346">
        <f t="shared" si="72"/>
        <v>0</v>
      </c>
      <c r="I122" s="33"/>
      <c r="J122" s="370"/>
      <c r="K122" s="370"/>
      <c r="L122" s="370"/>
      <c r="M122" s="370"/>
      <c r="N122" s="370"/>
      <c r="O122" s="370"/>
      <c r="P122" s="370"/>
      <c r="Q122" s="370"/>
      <c r="R122" s="370"/>
      <c r="S122" s="370"/>
      <c r="T122" s="370"/>
      <c r="U122" s="371"/>
    </row>
    <row r="123" spans="2:21" x14ac:dyDescent="0.25">
      <c r="J123" s="131"/>
      <c r="K123" s="131"/>
      <c r="L123" s="131"/>
      <c r="M123" s="131"/>
      <c r="N123" s="131"/>
      <c r="O123" s="131"/>
      <c r="P123" s="131"/>
      <c r="Q123" s="131"/>
      <c r="R123" s="131"/>
      <c r="S123" s="131"/>
      <c r="T123" s="131"/>
      <c r="U123" s="131"/>
    </row>
    <row r="124" spans="2:21" ht="15.75" thickBot="1" x14ac:dyDescent="0.3">
      <c r="J124" s="131"/>
      <c r="K124" s="131"/>
      <c r="L124" s="131"/>
      <c r="M124" s="131"/>
      <c r="N124" s="131"/>
      <c r="O124" s="131"/>
      <c r="P124" s="131"/>
      <c r="Q124" s="131"/>
      <c r="R124" s="131"/>
      <c r="S124" s="131"/>
      <c r="T124" s="131"/>
      <c r="U124" s="131"/>
    </row>
    <row r="125" spans="2:21" x14ac:dyDescent="0.25">
      <c r="B125" s="71" t="s">
        <v>82</v>
      </c>
      <c r="C125" s="9"/>
      <c r="D125" s="9"/>
      <c r="E125" s="9"/>
      <c r="F125" s="9"/>
      <c r="G125" s="40"/>
      <c r="J125" s="131"/>
      <c r="K125" s="131"/>
      <c r="L125" s="131"/>
      <c r="M125" s="131"/>
      <c r="N125" s="131"/>
      <c r="O125" s="131"/>
      <c r="P125" s="131"/>
      <c r="Q125" s="131"/>
      <c r="R125" s="131"/>
      <c r="S125" s="131"/>
      <c r="T125" s="131"/>
      <c r="U125" s="131"/>
    </row>
    <row r="126" spans="2:21" x14ac:dyDescent="0.25">
      <c r="B126" s="132" t="s">
        <v>83</v>
      </c>
      <c r="C126" s="43" t="s">
        <v>84</v>
      </c>
      <c r="D126"/>
      <c r="E126"/>
      <c r="F126" s="450" t="s">
        <v>85</v>
      </c>
      <c r="G126" s="451"/>
      <c r="I126" s="131"/>
      <c r="J126" s="131"/>
      <c r="K126" s="131"/>
      <c r="L126" s="131"/>
      <c r="M126" s="131"/>
      <c r="N126" s="131"/>
      <c r="O126" s="131"/>
      <c r="P126" s="131"/>
      <c r="Q126" s="131"/>
      <c r="R126" s="131"/>
      <c r="S126" s="131"/>
      <c r="T126" s="131"/>
    </row>
    <row r="127" spans="2:21" ht="18.75" x14ac:dyDescent="0.3">
      <c r="B127" s="133">
        <f>W16</f>
        <v>0</v>
      </c>
      <c r="C127" s="134"/>
      <c r="D127" s="134"/>
      <c r="E127" s="134"/>
      <c r="F127" s="135"/>
      <c r="G127" s="136"/>
      <c r="I127" s="131"/>
      <c r="J127" s="131"/>
      <c r="K127" s="131"/>
      <c r="L127" s="131"/>
      <c r="M127" s="131"/>
      <c r="N127" s="131"/>
      <c r="O127" s="131"/>
      <c r="P127" s="131"/>
      <c r="Q127" s="131"/>
      <c r="R127" s="131"/>
      <c r="S127" s="131"/>
      <c r="T127" s="131"/>
    </row>
    <row r="128" spans="2:21" x14ac:dyDescent="0.25">
      <c r="B128" s="137" t="s">
        <v>86</v>
      </c>
      <c r="C128" s="134"/>
      <c r="D128" s="134"/>
      <c r="E128" s="138">
        <f>H46</f>
        <v>0</v>
      </c>
      <c r="F128" s="135"/>
      <c r="G128" s="139" t="e">
        <f>E128/$B$127</f>
        <v>#DIV/0!</v>
      </c>
      <c r="I128" s="131"/>
      <c r="J128" s="131"/>
      <c r="K128" s="131"/>
      <c r="L128" s="131"/>
      <c r="M128" s="131"/>
      <c r="N128" s="131"/>
      <c r="O128" s="131"/>
      <c r="P128" s="131"/>
      <c r="Q128" s="131"/>
      <c r="R128" s="131"/>
      <c r="S128" s="131"/>
      <c r="T128" s="131"/>
    </row>
    <row r="129" spans="2:21" ht="9" customHeight="1" x14ac:dyDescent="0.25">
      <c r="B129" s="11"/>
      <c r="C129" s="134"/>
      <c r="D129" s="134"/>
      <c r="E129" s="134"/>
      <c r="F129" s="135"/>
      <c r="G129" s="136"/>
      <c r="I129" s="131"/>
      <c r="J129" s="131"/>
      <c r="K129" s="131"/>
      <c r="L129" s="131"/>
      <c r="M129" s="131"/>
      <c r="N129" s="131"/>
      <c r="O129" s="131"/>
      <c r="P129" s="131"/>
      <c r="Q129" s="131"/>
      <c r="R129" s="131"/>
      <c r="S129" s="131"/>
      <c r="T129" s="131"/>
    </row>
    <row r="130" spans="2:21" x14ac:dyDescent="0.25">
      <c r="B130" s="137" t="s">
        <v>87</v>
      </c>
      <c r="C130" s="134"/>
      <c r="D130" s="134"/>
      <c r="E130" s="134"/>
      <c r="F130" s="135"/>
      <c r="G130" s="136"/>
      <c r="I130" s="131"/>
      <c r="J130" s="131"/>
      <c r="K130" s="131"/>
      <c r="L130" s="131"/>
      <c r="M130" s="131"/>
      <c r="N130" s="131"/>
      <c r="O130" s="131"/>
      <c r="P130" s="131"/>
      <c r="Q130" s="131"/>
      <c r="R130" s="131"/>
      <c r="S130" s="131"/>
      <c r="T130" s="131"/>
    </row>
    <row r="131" spans="2:21" x14ac:dyDescent="0.25">
      <c r="B131" s="24" t="s">
        <v>88</v>
      </c>
      <c r="C131" s="138">
        <f>H51+SUM(H82:H89)</f>
        <v>0</v>
      </c>
      <c r="D131" s="138"/>
      <c r="E131" s="134"/>
      <c r="F131" s="140" t="e">
        <f t="shared" ref="F131:F138" si="73">C131/$B$127</f>
        <v>#DIV/0!</v>
      </c>
      <c r="G131" s="136"/>
      <c r="I131" s="131"/>
      <c r="J131" s="131"/>
      <c r="K131" s="131"/>
      <c r="L131" s="131"/>
      <c r="M131" s="131"/>
      <c r="N131" s="131"/>
      <c r="O131" s="131"/>
      <c r="P131" s="131"/>
      <c r="Q131" s="131"/>
      <c r="R131" s="131"/>
      <c r="S131" s="131"/>
      <c r="T131" s="131"/>
    </row>
    <row r="132" spans="2:21" x14ac:dyDescent="0.25">
      <c r="B132" s="24" t="s">
        <v>89</v>
      </c>
      <c r="C132" s="138">
        <f>H78</f>
        <v>0</v>
      </c>
      <c r="D132" s="138"/>
      <c r="E132" s="134"/>
      <c r="F132" s="140" t="e">
        <f t="shared" si="73"/>
        <v>#DIV/0!</v>
      </c>
      <c r="G132" s="136"/>
      <c r="I132" s="131"/>
      <c r="J132" s="131"/>
      <c r="K132" s="131"/>
      <c r="L132" s="131"/>
      <c r="M132" s="131"/>
      <c r="N132" s="131"/>
      <c r="O132" s="131"/>
      <c r="P132" s="131"/>
      <c r="Q132" s="131"/>
      <c r="R132" s="131"/>
      <c r="S132" s="131"/>
      <c r="T132" s="131"/>
    </row>
    <row r="133" spans="2:21" x14ac:dyDescent="0.25">
      <c r="B133" s="24" t="s">
        <v>59</v>
      </c>
      <c r="C133" s="138">
        <f>SUM(H90:H95)</f>
        <v>0</v>
      </c>
      <c r="D133" s="138"/>
      <c r="E133" s="134"/>
      <c r="F133" s="140" t="e">
        <f t="shared" si="73"/>
        <v>#DIV/0!</v>
      </c>
      <c r="G133" s="136"/>
      <c r="I133" s="131"/>
      <c r="J133" s="131"/>
      <c r="K133" s="131"/>
      <c r="L133" s="131"/>
      <c r="M133" s="131"/>
      <c r="N133" s="131"/>
      <c r="O133" s="131"/>
      <c r="P133" s="131"/>
      <c r="Q133" s="148"/>
      <c r="R133" s="131"/>
      <c r="S133" s="131"/>
      <c r="T133" s="131"/>
    </row>
    <row r="134" spans="2:21" x14ac:dyDescent="0.25">
      <c r="B134" s="24" t="s">
        <v>90</v>
      </c>
      <c r="C134" s="138">
        <f>SUM(H96:H97)</f>
        <v>0</v>
      </c>
      <c r="D134" s="138"/>
      <c r="E134" s="134"/>
      <c r="F134" s="140" t="e">
        <f t="shared" si="73"/>
        <v>#DIV/0!</v>
      </c>
      <c r="G134" s="136"/>
      <c r="I134" s="131"/>
      <c r="J134" s="131"/>
      <c r="K134" s="131"/>
      <c r="L134" s="131"/>
      <c r="M134" s="131"/>
      <c r="N134" s="131"/>
      <c r="O134" s="131"/>
      <c r="P134" s="131"/>
      <c r="Q134" s="131"/>
      <c r="R134" s="131"/>
      <c r="S134" s="131"/>
      <c r="T134" s="131"/>
    </row>
    <row r="135" spans="2:21" x14ac:dyDescent="0.25">
      <c r="B135" s="24" t="s">
        <v>91</v>
      </c>
      <c r="C135" s="138">
        <f>SUM(H98:H99)</f>
        <v>0</v>
      </c>
      <c r="D135" s="138"/>
      <c r="E135" s="134"/>
      <c r="F135" s="140" t="e">
        <f t="shared" si="73"/>
        <v>#DIV/0!</v>
      </c>
      <c r="G135" s="136"/>
      <c r="I135" s="131"/>
      <c r="J135" s="131"/>
      <c r="K135" s="131"/>
      <c r="L135" s="131"/>
      <c r="M135" s="131"/>
      <c r="N135" s="131"/>
      <c r="O135" s="131"/>
      <c r="P135" s="131"/>
      <c r="Q135" s="131"/>
      <c r="R135" s="131"/>
      <c r="S135" s="131"/>
      <c r="T135" s="131"/>
    </row>
    <row r="136" spans="2:21" x14ac:dyDescent="0.25">
      <c r="B136" s="24" t="s">
        <v>63</v>
      </c>
      <c r="C136" s="138">
        <f>SUM(H100:H102)</f>
        <v>0</v>
      </c>
      <c r="D136" s="138"/>
      <c r="E136" s="134"/>
      <c r="F136" s="140" t="e">
        <f t="shared" si="73"/>
        <v>#DIV/0!</v>
      </c>
      <c r="G136" s="136"/>
      <c r="I136" s="131"/>
      <c r="J136" s="131"/>
      <c r="K136" s="131"/>
      <c r="L136" s="131"/>
      <c r="M136" s="131"/>
      <c r="N136" s="131"/>
      <c r="O136" s="131"/>
      <c r="P136" s="131"/>
      <c r="Q136" s="131"/>
      <c r="R136" s="131"/>
      <c r="S136" s="131"/>
      <c r="T136" s="131"/>
    </row>
    <row r="137" spans="2:21" x14ac:dyDescent="0.25">
      <c r="B137" s="24" t="s">
        <v>68</v>
      </c>
      <c r="C137" s="138">
        <f>H105</f>
        <v>0</v>
      </c>
      <c r="D137" s="138"/>
      <c r="E137" s="134"/>
      <c r="F137" s="140" t="e">
        <f t="shared" si="73"/>
        <v>#DIV/0!</v>
      </c>
      <c r="G137" s="136"/>
      <c r="I137" s="131"/>
      <c r="J137" s="131"/>
      <c r="K137" s="131"/>
      <c r="L137" s="131"/>
      <c r="M137" s="131"/>
      <c r="N137" s="131"/>
      <c r="O137" s="131"/>
      <c r="P137" s="131"/>
      <c r="Q137" s="131"/>
      <c r="R137" s="131"/>
      <c r="S137" s="131"/>
      <c r="T137" s="131"/>
    </row>
    <row r="138" spans="2:21" x14ac:dyDescent="0.25">
      <c r="B138" s="24" t="s">
        <v>92</v>
      </c>
      <c r="C138" s="141">
        <f>SUM(H103:H104)</f>
        <v>0</v>
      </c>
      <c r="D138" s="141"/>
      <c r="E138" s="141">
        <f>SUM(C131:C138)</f>
        <v>0</v>
      </c>
      <c r="F138" s="142" t="e">
        <f t="shared" si="73"/>
        <v>#DIV/0!</v>
      </c>
      <c r="G138" s="143" t="e">
        <f>SUM(F131:F138)</f>
        <v>#DIV/0!</v>
      </c>
      <c r="I138" s="131"/>
      <c r="J138" s="131"/>
      <c r="K138" s="131"/>
      <c r="L138" s="131"/>
      <c r="M138" s="131"/>
      <c r="N138" s="131"/>
      <c r="O138" s="131"/>
      <c r="P138" s="131"/>
      <c r="Q138" s="131"/>
      <c r="R138" s="131"/>
      <c r="S138" s="131"/>
      <c r="T138" s="131"/>
    </row>
    <row r="139" spans="2:21" ht="19.5" thickBot="1" x14ac:dyDescent="0.35">
      <c r="B139" s="32"/>
      <c r="C139" s="144"/>
      <c r="D139" s="144"/>
      <c r="E139" s="145">
        <f>E128-E138</f>
        <v>0</v>
      </c>
      <c r="F139" s="146"/>
      <c r="G139" s="147" t="e">
        <f>G128-G138</f>
        <v>#DIV/0!</v>
      </c>
      <c r="I139" s="131"/>
      <c r="J139" s="131"/>
      <c r="K139" s="131"/>
      <c r="L139" s="131"/>
      <c r="M139" s="131"/>
      <c r="N139" s="131"/>
      <c r="O139" s="131"/>
      <c r="P139" s="131"/>
      <c r="Q139" s="131"/>
      <c r="R139" s="131"/>
      <c r="S139" s="131"/>
      <c r="T139" s="131"/>
    </row>
    <row r="140" spans="2:21" x14ac:dyDescent="0.25">
      <c r="J140" s="131"/>
      <c r="K140" s="131"/>
      <c r="L140" s="131"/>
      <c r="M140" s="131"/>
      <c r="N140" s="131"/>
      <c r="O140" s="131"/>
      <c r="P140" s="131"/>
      <c r="Q140" s="131"/>
      <c r="R140" s="131"/>
      <c r="S140" s="131"/>
      <c r="T140" s="131"/>
      <c r="U140" s="131"/>
    </row>
    <row r="141" spans="2:21" x14ac:dyDescent="0.25">
      <c r="J141" s="131"/>
      <c r="K141" s="131"/>
      <c r="L141" s="131"/>
      <c r="M141" s="131"/>
      <c r="N141" s="131"/>
      <c r="O141" s="131"/>
      <c r="P141" s="131"/>
      <c r="Q141" s="131"/>
      <c r="R141" s="131"/>
      <c r="S141" s="131"/>
      <c r="T141" s="131"/>
      <c r="U141" s="131"/>
    </row>
    <row r="142" spans="2:21" x14ac:dyDescent="0.25">
      <c r="J142" s="131"/>
      <c r="K142" s="131"/>
      <c r="L142" s="131"/>
      <c r="M142" s="148"/>
      <c r="N142" s="131"/>
      <c r="O142" s="131"/>
      <c r="P142" s="131"/>
      <c r="Q142" s="131"/>
      <c r="R142" s="131"/>
      <c r="S142" s="131"/>
      <c r="T142" s="131"/>
      <c r="U142" s="131"/>
    </row>
  </sheetData>
  <sheetProtection algorithmName="SHA-512" hashValue="6UrXyJv5dJnrTuk/j7hIZmLI5IC7fh41LgmAN48gNSv4fHxb1RVtCTzGRco02fembDZL6JSqWVVXR8m33H+9Wg==" saltValue="OLzSDWTlU0IivosCAbLbgw==" spinCount="100000" sheet="1" objects="1" scenarios="1" selectLockedCells="1"/>
  <protectedRanges>
    <protectedRange sqref="J7:U13" name="Production_1"/>
    <protectedRange sqref="J4:U6" name="Production_1_1"/>
    <protectedRange sqref="F41:G41" name="JAS converions_1"/>
    <protectedRange sqref="G56:G77" name="Log transport costs_1"/>
    <protectedRange sqref="C20:C40" name="Grade mix_1"/>
    <protectedRange sqref="F20:G40" name="JAS converions_1_1"/>
  </protectedRanges>
  <mergeCells count="6">
    <mergeCell ref="J113:U113"/>
    <mergeCell ref="F126:G126"/>
    <mergeCell ref="I10:I12"/>
    <mergeCell ref="I13:I16"/>
    <mergeCell ref="I4:I6"/>
    <mergeCell ref="I7:I9"/>
  </mergeCells>
  <conditionalFormatting sqref="C42">
    <cfRule type="cellIs" dxfId="9" priority="1" operator="greaterThan">
      <formula>0.99</formula>
    </cfRule>
  </conditionalFormatting>
  <dataValidations count="1">
    <dataValidation type="whole" errorStyle="warning" allowBlank="1" showInputMessage="1" showErrorMessage="1" errorTitle="High number of skids" error="Are you sure you are going to build this many skids?" sqref="J119:U122" xr:uid="{760956B9-831B-487B-BA2A-87A522EC74DC}">
      <formula1>0</formula1>
      <formula2>10</formula2>
    </dataValidation>
  </dataValidations>
  <pageMargins left="0.70866141732283472" right="0.70866141732283472" top="0.74803149606299213" bottom="0.74803149606299213" header="0.31496062992125984" footer="0.31496062992125984"/>
  <pageSetup paperSize="8" scale="36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77DB6-368D-4816-85E6-2F501CD4BFCF}">
  <sheetPr codeName="Sheet13">
    <tabColor theme="7" tint="0.39997558519241921"/>
    <pageSetUpPr fitToPage="1"/>
  </sheetPr>
  <dimension ref="A1:X173"/>
  <sheetViews>
    <sheetView zoomScale="80" zoomScaleNormal="80" workbookViewId="0">
      <pane xSplit="8" ySplit="19" topLeftCell="I49" activePane="bottomRight" state="frozen"/>
      <selection activeCell="I2" sqref="I2"/>
      <selection pane="topRight" activeCell="I2" sqref="I2"/>
      <selection pane="bottomLeft" activeCell="I2" sqref="I2"/>
      <selection pane="bottomRight" activeCell="I2" sqref="I2"/>
    </sheetView>
  </sheetViews>
  <sheetFormatPr defaultColWidth="9" defaultRowHeight="15" x14ac:dyDescent="0.25"/>
  <cols>
    <col min="1" max="1" width="2.28515625" style="1" customWidth="1"/>
    <col min="2" max="2" width="39.7109375" style="1" customWidth="1"/>
    <col min="3" max="3" width="13.85546875" style="1" customWidth="1"/>
    <col min="4" max="4" width="14.7109375" style="1" customWidth="1"/>
    <col min="5" max="5" width="19.7109375" style="1" customWidth="1"/>
    <col min="6" max="6" width="12.42578125" style="1" customWidth="1"/>
    <col min="7" max="7" width="13.28515625" style="1" bestFit="1" customWidth="1"/>
    <col min="8" max="8" width="20.42578125" style="1" customWidth="1"/>
    <col min="9" max="9" width="8.7109375" style="1" customWidth="1"/>
    <col min="10" max="21" width="15.7109375" style="1" bestFit="1" customWidth="1"/>
    <col min="22" max="22" width="5" style="1" customWidth="1"/>
    <col min="23" max="23" width="15.28515625" style="4" bestFit="1" customWidth="1"/>
    <col min="24" max="24" width="17.5703125" style="1" customWidth="1"/>
    <col min="25" max="16384" width="9" style="1"/>
  </cols>
  <sheetData>
    <row r="1" spans="2:24" ht="15.75" thickBot="1" x14ac:dyDescent="0.3">
      <c r="C1" s="2">
        <f>'Rawhitiroa (T&amp;M) Budget'!C1</f>
        <v>2025</v>
      </c>
      <c r="D1" s="3" t="s">
        <v>0</v>
      </c>
    </row>
    <row r="2" spans="2:24" ht="27" thickBot="1" x14ac:dyDescent="0.45">
      <c r="B2" s="5" t="str">
        <f>'Rawhitiroa (T&amp;M) Budget'!B2</f>
        <v>Rawhitiroa</v>
      </c>
      <c r="H2" s="43" t="s">
        <v>209</v>
      </c>
      <c r="I2" s="404"/>
      <c r="W2" s="6"/>
      <c r="X2" s="7"/>
    </row>
    <row r="3" spans="2:24" ht="15.75" x14ac:dyDescent="0.25">
      <c r="B3" s="8" t="s">
        <v>1</v>
      </c>
      <c r="C3" s="9"/>
      <c r="D3" s="9"/>
      <c r="E3" s="9"/>
      <c r="F3" s="9"/>
      <c r="G3" s="9" t="s">
        <v>241</v>
      </c>
      <c r="H3" s="10"/>
      <c r="I3" s="304">
        <f>IF(NOT(ISBLANK(J5)), J5, IF(NOT(ISBLANK(J8)), J8, IF(NOT(ISBLANK(J11)), J11, 0)))+IF(NOT(ISBLANK(K5)), K5, IF(NOT(ISBLANK(K8)), K8, IF(NOT(ISBLANK(K11)), K11, 0)))+IF(NOT(ISBLANK(L5)), L5, IF(NOT(ISBLANK(L8)), L8, IF(NOT(ISBLANK(L11)), L11, 0)))+IF(NOT(ISBLANK(M5)), M5, IF(NOT(ISBLANK(M8)), M8, IF(NOT(ISBLANK(M11)), M11, 0)))+IF(NOT(ISBLANK(N5)), N5, IF(NOT(ISBLANK(N8)), N8, IF(NOT(ISBLANK(N11)), N11, 0)))+IF(NOT(ISBLANK(O5)), O5, IF(NOT(ISBLANK(O8)), O8, IF(NOT(ISBLANK(O11)), O11, 0)))+IF(NOT(ISBLANK(P5)), P5, IF(NOT(ISBLANK(P8)), P8, IF(NOT(ISBLANK(P11)), P11, 0)))+IF(NOT(ISBLANK(Q5)), Q5, IF(NOT(ISBLANK(Q8)), Q8, IF(NOT(ISBLANK(Q11)), Q11, 0)))+IF(NOT(ISBLANK(R5)), R5, IF(NOT(ISBLANK(R8)), R8, IF(NOT(ISBLANK(R11)), R11, 0)))+IF(NOT(ISBLANK(S5)), S5, IF(NOT(ISBLANK(S8)), S8, IF(NOT(ISBLANK(S11)), S11, 0)))+IF(NOT(ISBLANK(T5)), T5, IF(NOT(ISBLANK(T8)), T8, IF(NOT(ISBLANK(T11)), T11, 0)))+IF(NOT(ISBLANK(U5)), U5, IF(NOT(ISBLANK(U8)), U8, IF(NOT(ISBLANK(U11)), U11, 0)))</f>
        <v>0</v>
      </c>
      <c r="J3" s="178">
        <v>45658</v>
      </c>
      <c r="K3" s="178">
        <v>45689</v>
      </c>
      <c r="L3" s="178">
        <v>45717</v>
      </c>
      <c r="M3" s="178">
        <v>45748</v>
      </c>
      <c r="N3" s="178">
        <v>45778</v>
      </c>
      <c r="O3" s="178">
        <v>45809</v>
      </c>
      <c r="P3" s="178">
        <v>45839</v>
      </c>
      <c r="Q3" s="178">
        <v>45870</v>
      </c>
      <c r="R3" s="178">
        <v>45901</v>
      </c>
      <c r="S3" s="178">
        <v>45931</v>
      </c>
      <c r="T3" s="178">
        <v>45962</v>
      </c>
      <c r="U3" s="178">
        <v>45992</v>
      </c>
      <c r="W3" s="6"/>
      <c r="X3" s="7"/>
    </row>
    <row r="4" spans="2:24" x14ac:dyDescent="0.25">
      <c r="B4" s="11"/>
      <c r="G4" s="12" t="s">
        <v>3</v>
      </c>
      <c r="H4" s="301" t="s">
        <v>242</v>
      </c>
      <c r="I4" s="458">
        <f>IFERROR(SUM(J4:U4)/$W$16,0)</f>
        <v>0</v>
      </c>
      <c r="J4" s="13"/>
      <c r="K4" s="13"/>
      <c r="L4" s="13"/>
      <c r="M4" s="14"/>
      <c r="N4" s="14"/>
      <c r="O4" s="14"/>
      <c r="P4" s="14"/>
      <c r="Q4" s="14"/>
      <c r="R4" s="14"/>
      <c r="S4" s="14"/>
      <c r="T4" s="14"/>
      <c r="U4" s="15"/>
      <c r="W4" s="6"/>
      <c r="X4" s="7"/>
    </row>
    <row r="5" spans="2:24" x14ac:dyDescent="0.25">
      <c r="B5" s="11"/>
      <c r="G5" s="16"/>
      <c r="H5" s="1" t="s">
        <v>5</v>
      </c>
      <c r="I5" s="459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5"/>
      <c r="W5" s="6"/>
      <c r="X5" s="7"/>
    </row>
    <row r="6" spans="2:24" ht="15.75" thickBot="1" x14ac:dyDescent="0.3">
      <c r="B6" s="11"/>
      <c r="G6" s="17"/>
      <c r="H6" s="302" t="s">
        <v>6</v>
      </c>
      <c r="I6" s="460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380"/>
      <c r="W6" s="6"/>
      <c r="X6" s="7"/>
    </row>
    <row r="7" spans="2:24" x14ac:dyDescent="0.25">
      <c r="B7" s="11"/>
      <c r="G7" s="12" t="s">
        <v>7</v>
      </c>
      <c r="H7" s="301" t="s">
        <v>242</v>
      </c>
      <c r="I7" s="458">
        <f>IFERROR(SUM(J7:U7)/$W$16,0)</f>
        <v>0</v>
      </c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20"/>
      <c r="W7" s="6"/>
      <c r="X7" s="7"/>
    </row>
    <row r="8" spans="2:24" x14ac:dyDescent="0.25">
      <c r="B8" s="11"/>
      <c r="G8" s="16"/>
      <c r="H8" s="1" t="s">
        <v>5</v>
      </c>
      <c r="I8" s="459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5"/>
      <c r="W8" s="6"/>
      <c r="X8" s="7"/>
    </row>
    <row r="9" spans="2:24" ht="15.75" thickBot="1" x14ac:dyDescent="0.3">
      <c r="B9" s="11"/>
      <c r="G9" s="17"/>
      <c r="H9" s="302" t="s">
        <v>6</v>
      </c>
      <c r="I9" s="460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2"/>
      <c r="W9" s="6"/>
      <c r="X9" s="7"/>
    </row>
    <row r="10" spans="2:24" x14ac:dyDescent="0.25">
      <c r="B10" s="11"/>
      <c r="G10" s="12" t="s">
        <v>8</v>
      </c>
      <c r="H10" s="301" t="s">
        <v>242</v>
      </c>
      <c r="I10" s="458">
        <f>IFERROR(SUM(J10:U10)/$W$16,0)</f>
        <v>0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5"/>
      <c r="W10" s="6"/>
      <c r="X10" s="7"/>
    </row>
    <row r="11" spans="2:24" x14ac:dyDescent="0.25">
      <c r="B11" s="11"/>
      <c r="G11" s="16"/>
      <c r="H11" s="1" t="s">
        <v>5</v>
      </c>
      <c r="I11" s="459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5"/>
      <c r="W11" s="6"/>
      <c r="X11" s="7"/>
    </row>
    <row r="12" spans="2:24" ht="15.75" thickBot="1" x14ac:dyDescent="0.3">
      <c r="B12" s="11"/>
      <c r="G12" s="17"/>
      <c r="H12" s="302" t="s">
        <v>6</v>
      </c>
      <c r="I12" s="460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2"/>
      <c r="V12" s="7"/>
      <c r="W12" s="6"/>
      <c r="X12" s="7"/>
    </row>
    <row r="13" spans="2:24" x14ac:dyDescent="0.25">
      <c r="B13" s="11"/>
      <c r="G13" s="1" t="s">
        <v>2</v>
      </c>
      <c r="H13" s="1" t="s">
        <v>244</v>
      </c>
      <c r="I13" s="461">
        <f>SUM(I4:I12)</f>
        <v>0</v>
      </c>
      <c r="J13" s="412">
        <f t="shared" ref="J13:U13" si="0">J4+J7+J10</f>
        <v>0</v>
      </c>
      <c r="K13" s="412">
        <f t="shared" si="0"/>
        <v>0</v>
      </c>
      <c r="L13" s="412">
        <f t="shared" si="0"/>
        <v>0</v>
      </c>
      <c r="M13" s="412">
        <f t="shared" si="0"/>
        <v>0</v>
      </c>
      <c r="N13" s="412">
        <f t="shared" si="0"/>
        <v>0</v>
      </c>
      <c r="O13" s="412">
        <f t="shared" si="0"/>
        <v>0</v>
      </c>
      <c r="P13" s="412">
        <f t="shared" si="0"/>
        <v>0</v>
      </c>
      <c r="Q13" s="412">
        <f t="shared" si="0"/>
        <v>0</v>
      </c>
      <c r="R13" s="412">
        <f t="shared" si="0"/>
        <v>0</v>
      </c>
      <c r="S13" s="412">
        <f t="shared" si="0"/>
        <v>0</v>
      </c>
      <c r="T13" s="412">
        <f t="shared" si="0"/>
        <v>0</v>
      </c>
      <c r="U13" s="413">
        <f t="shared" si="0"/>
        <v>0</v>
      </c>
      <c r="V13" s="7"/>
      <c r="W13" s="28">
        <f>I3</f>
        <v>0</v>
      </c>
      <c r="X13" s="306" t="s">
        <v>208</v>
      </c>
    </row>
    <row r="14" spans="2:24" x14ac:dyDescent="0.25">
      <c r="B14" s="24"/>
      <c r="C14" s="25"/>
      <c r="D14" s="26"/>
      <c r="H14" t="s">
        <v>245</v>
      </c>
      <c r="I14" s="462"/>
      <c r="J14" s="414">
        <f t="shared" ref="J14:U14" si="1">J13-J16</f>
        <v>0</v>
      </c>
      <c r="K14" s="414">
        <f t="shared" si="1"/>
        <v>0</v>
      </c>
      <c r="L14" s="414">
        <f t="shared" si="1"/>
        <v>0</v>
      </c>
      <c r="M14" s="414">
        <f t="shared" si="1"/>
        <v>0</v>
      </c>
      <c r="N14" s="414">
        <f t="shared" si="1"/>
        <v>0</v>
      </c>
      <c r="O14" s="414">
        <f t="shared" si="1"/>
        <v>0</v>
      </c>
      <c r="P14" s="414">
        <f t="shared" si="1"/>
        <v>0</v>
      </c>
      <c r="Q14" s="414">
        <f t="shared" si="1"/>
        <v>0</v>
      </c>
      <c r="R14" s="414">
        <f t="shared" si="1"/>
        <v>0</v>
      </c>
      <c r="S14" s="414">
        <f t="shared" si="1"/>
        <v>0</v>
      </c>
      <c r="T14" s="414">
        <f t="shared" si="1"/>
        <v>0</v>
      </c>
      <c r="U14" s="415">
        <f t="shared" si="1"/>
        <v>0</v>
      </c>
      <c r="W14" s="28">
        <f>SUM(J14:U14)</f>
        <v>0</v>
      </c>
      <c r="X14" s="306" t="str">
        <f>H14</f>
        <v>Variance Tones</v>
      </c>
    </row>
    <row r="15" spans="2:24" x14ac:dyDescent="0.25">
      <c r="B15" s="24"/>
      <c r="C15" s="29"/>
      <c r="D15" s="30"/>
      <c r="G15" s="1" t="s">
        <v>2</v>
      </c>
      <c r="H15" s="1" t="s">
        <v>207</v>
      </c>
      <c r="I15" s="462"/>
      <c r="J15" s="412">
        <f t="shared" ref="J15:U15" si="2">IFERROR(J13/$I$2,0)</f>
        <v>0</v>
      </c>
      <c r="K15" s="412">
        <f t="shared" si="2"/>
        <v>0</v>
      </c>
      <c r="L15" s="412">
        <f t="shared" si="2"/>
        <v>0</v>
      </c>
      <c r="M15" s="412">
        <f t="shared" si="2"/>
        <v>0</v>
      </c>
      <c r="N15" s="412">
        <f t="shared" si="2"/>
        <v>0</v>
      </c>
      <c r="O15" s="412">
        <f t="shared" si="2"/>
        <v>0</v>
      </c>
      <c r="P15" s="412">
        <f t="shared" si="2"/>
        <v>0</v>
      </c>
      <c r="Q15" s="412">
        <f t="shared" si="2"/>
        <v>0</v>
      </c>
      <c r="R15" s="412">
        <f t="shared" si="2"/>
        <v>0</v>
      </c>
      <c r="S15" s="412">
        <f t="shared" si="2"/>
        <v>0</v>
      </c>
      <c r="T15" s="412">
        <f t="shared" si="2"/>
        <v>0</v>
      </c>
      <c r="U15" s="413">
        <f t="shared" si="2"/>
        <v>0</v>
      </c>
      <c r="V15" s="31"/>
      <c r="W15" s="28">
        <f>SUM(J15:U15)</f>
        <v>0</v>
      </c>
      <c r="X15" s="306" t="str">
        <f>H15</f>
        <v>Hectare (ha)</v>
      </c>
    </row>
    <row r="16" spans="2:24" ht="15.75" thickBot="1" x14ac:dyDescent="0.3">
      <c r="B16" s="32"/>
      <c r="C16" s="33"/>
      <c r="D16" s="33"/>
      <c r="E16" s="33"/>
      <c r="F16" s="33"/>
      <c r="G16" s="33" t="s">
        <v>2</v>
      </c>
      <c r="H16" s="33" t="s">
        <v>243</v>
      </c>
      <c r="I16" s="463"/>
      <c r="J16" s="416">
        <f>Volume_5!D27</f>
        <v>0</v>
      </c>
      <c r="K16" s="416">
        <f>Volume_5!H27</f>
        <v>0</v>
      </c>
      <c r="L16" s="416">
        <f>Volume_5!L27</f>
        <v>0</v>
      </c>
      <c r="M16" s="416">
        <f>Volume_5!P27</f>
        <v>0</v>
      </c>
      <c r="N16" s="416">
        <f>Volume_5!T27</f>
        <v>0</v>
      </c>
      <c r="O16" s="416">
        <f>Volume_5!X27</f>
        <v>0</v>
      </c>
      <c r="P16" s="416">
        <f>Volume_5!AB27</f>
        <v>0</v>
      </c>
      <c r="Q16" s="416">
        <f>Volume_5!AF27</f>
        <v>0</v>
      </c>
      <c r="R16" s="416">
        <f>Volume_5!AJ27</f>
        <v>0</v>
      </c>
      <c r="S16" s="416">
        <f>Volume_5!AN27</f>
        <v>0</v>
      </c>
      <c r="T16" s="416">
        <f>Volume_5!AR27</f>
        <v>0</v>
      </c>
      <c r="U16" s="417">
        <f>Volume_5!AV27</f>
        <v>0</v>
      </c>
      <c r="W16" s="28">
        <f>SUM(J16:U16)</f>
        <v>0</v>
      </c>
      <c r="X16" s="35" t="str">
        <f>H16</f>
        <v>Invoice Tonnes</v>
      </c>
    </row>
    <row r="17" spans="1:24" ht="25.5" customHeight="1" thickBot="1" x14ac:dyDescent="0.3">
      <c r="C17" s="7"/>
      <c r="D17" s="7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7"/>
      <c r="W17" s="38"/>
    </row>
    <row r="18" spans="1:24" ht="16.5" thickBot="1" x14ac:dyDescent="0.3">
      <c r="B18" s="8" t="s">
        <v>12</v>
      </c>
      <c r="C18" s="9"/>
      <c r="D18" s="9"/>
      <c r="E18" s="9"/>
      <c r="F18" s="9"/>
      <c r="G18" s="9"/>
      <c r="H18" s="9"/>
      <c r="I18" s="9"/>
      <c r="J18" s="39"/>
      <c r="K18" s="9"/>
      <c r="L18" s="9"/>
      <c r="M18" s="9"/>
      <c r="N18" s="9"/>
      <c r="O18" s="9"/>
      <c r="P18" s="9"/>
      <c r="Q18" s="9"/>
      <c r="R18" s="9"/>
      <c r="S18" s="9"/>
      <c r="T18" s="9"/>
      <c r="U18" s="40"/>
    </row>
    <row r="19" spans="1:24" x14ac:dyDescent="0.25">
      <c r="B19" s="41" t="s">
        <v>13</v>
      </c>
      <c r="C19" s="42" t="s">
        <v>14</v>
      </c>
      <c r="D19" s="42" t="s">
        <v>210</v>
      </c>
      <c r="E19" s="42" t="s">
        <v>15</v>
      </c>
      <c r="F19" s="42" t="s">
        <v>16</v>
      </c>
      <c r="G19" s="42" t="s">
        <v>17</v>
      </c>
      <c r="H19" s="42" t="s">
        <v>18</v>
      </c>
      <c r="I19" s="43"/>
      <c r="J19" s="178">
        <v>45658</v>
      </c>
      <c r="K19" s="178">
        <v>45689</v>
      </c>
      <c r="L19" s="178">
        <v>45717</v>
      </c>
      <c r="M19" s="178">
        <v>45748</v>
      </c>
      <c r="N19" s="178">
        <v>45778</v>
      </c>
      <c r="O19" s="178">
        <v>45809</v>
      </c>
      <c r="P19" s="178">
        <v>45839</v>
      </c>
      <c r="Q19" s="178">
        <v>45870</v>
      </c>
      <c r="R19" s="178">
        <v>45901</v>
      </c>
      <c r="S19" s="178">
        <v>45931</v>
      </c>
      <c r="T19" s="178">
        <v>45962</v>
      </c>
      <c r="U19" s="178">
        <v>45992</v>
      </c>
    </row>
    <row r="20" spans="1:24" x14ac:dyDescent="0.25">
      <c r="A20" s="11"/>
      <c r="B20" s="239" t="s">
        <v>20</v>
      </c>
      <c r="C20" s="240"/>
      <c r="D20" s="240"/>
      <c r="E20" s="409" t="s">
        <v>21</v>
      </c>
      <c r="F20" s="241"/>
      <c r="G20" s="241"/>
      <c r="H20" s="418">
        <f t="shared" ref="H20:H41" si="3">SUM(J20:U20)</f>
        <v>0</v>
      </c>
      <c r="I20" s="419"/>
      <c r="J20" s="420">
        <f>Volume_5!G4</f>
        <v>0</v>
      </c>
      <c r="K20" s="420">
        <f>Volume_5!K4</f>
        <v>0</v>
      </c>
      <c r="L20" s="420">
        <f>Volume_5!O4</f>
        <v>0</v>
      </c>
      <c r="M20" s="420">
        <f>Volume_5!S4</f>
        <v>0</v>
      </c>
      <c r="N20" s="420">
        <f>Volume_5!W4</f>
        <v>0</v>
      </c>
      <c r="O20" s="420">
        <f>Volume_5!AA4</f>
        <v>0</v>
      </c>
      <c r="P20" s="420">
        <f>Volume_5!AE4</f>
        <v>0</v>
      </c>
      <c r="Q20" s="420">
        <f>Volume_5!AI4</f>
        <v>0</v>
      </c>
      <c r="R20" s="420">
        <f>Volume_5!AM4</f>
        <v>0</v>
      </c>
      <c r="S20" s="420">
        <f>Volume_5!AQ4</f>
        <v>0</v>
      </c>
      <c r="T20" s="420">
        <f>Volume_5!AU4</f>
        <v>0</v>
      </c>
      <c r="U20" s="420">
        <f>Volume_5!AY4</f>
        <v>0</v>
      </c>
      <c r="W20" s="38"/>
    </row>
    <row r="21" spans="1:24" x14ac:dyDescent="0.25">
      <c r="A21" s="11"/>
      <c r="B21" s="239" t="s">
        <v>22</v>
      </c>
      <c r="C21" s="240"/>
      <c r="D21" s="240"/>
      <c r="E21" s="409" t="s">
        <v>21</v>
      </c>
      <c r="F21" s="241"/>
      <c r="G21" s="241"/>
      <c r="H21" s="418">
        <f t="shared" si="3"/>
        <v>0</v>
      </c>
      <c r="I21" s="419"/>
      <c r="J21" s="420">
        <f>Volume_5!G5</f>
        <v>0</v>
      </c>
      <c r="K21" s="420">
        <f>Volume_5!K5</f>
        <v>0</v>
      </c>
      <c r="L21" s="420">
        <f>Volume_5!O5</f>
        <v>0</v>
      </c>
      <c r="M21" s="420">
        <f>Volume_5!S5</f>
        <v>0</v>
      </c>
      <c r="N21" s="420">
        <f>Volume_5!W5</f>
        <v>0</v>
      </c>
      <c r="O21" s="420">
        <f>Volume_5!AA5</f>
        <v>0</v>
      </c>
      <c r="P21" s="420">
        <f>Volume_5!AE5</f>
        <v>0</v>
      </c>
      <c r="Q21" s="420">
        <f>Volume_5!AI5</f>
        <v>0</v>
      </c>
      <c r="R21" s="420">
        <f>Volume_5!AM5</f>
        <v>0</v>
      </c>
      <c r="S21" s="420">
        <f>Volume_5!AQ5</f>
        <v>0</v>
      </c>
      <c r="T21" s="420">
        <f>Volume_5!AU5</f>
        <v>0</v>
      </c>
      <c r="U21" s="420">
        <f>Volume_5!AY5</f>
        <v>0</v>
      </c>
      <c r="W21" s="38"/>
    </row>
    <row r="22" spans="1:24" x14ac:dyDescent="0.25">
      <c r="A22" s="11"/>
      <c r="B22" s="239" t="s">
        <v>25</v>
      </c>
      <c r="C22" s="240"/>
      <c r="D22" s="240"/>
      <c r="E22" s="409" t="s">
        <v>21</v>
      </c>
      <c r="F22" s="241"/>
      <c r="G22" s="241"/>
      <c r="H22" s="418">
        <f t="shared" si="3"/>
        <v>0</v>
      </c>
      <c r="I22" s="419"/>
      <c r="J22" s="420">
        <f>Volume_5!G6</f>
        <v>0</v>
      </c>
      <c r="K22" s="420">
        <f>Volume_5!K6</f>
        <v>0</v>
      </c>
      <c r="L22" s="420">
        <f>Volume_5!O6</f>
        <v>0</v>
      </c>
      <c r="M22" s="420">
        <f>Volume_5!S6</f>
        <v>0</v>
      </c>
      <c r="N22" s="420">
        <f>Volume_5!W6</f>
        <v>0</v>
      </c>
      <c r="O22" s="420">
        <f>Volume_5!AA6</f>
        <v>0</v>
      </c>
      <c r="P22" s="420">
        <f>Volume_5!AE6</f>
        <v>0</v>
      </c>
      <c r="Q22" s="420">
        <f>Volume_5!AI6</f>
        <v>0</v>
      </c>
      <c r="R22" s="420">
        <f>Volume_5!AM6</f>
        <v>0</v>
      </c>
      <c r="S22" s="420">
        <f>Volume_5!AQ6</f>
        <v>0</v>
      </c>
      <c r="T22" s="420">
        <f>Volume_5!AU6</f>
        <v>0</v>
      </c>
      <c r="U22" s="420">
        <f>Volume_5!AY6</f>
        <v>0</v>
      </c>
      <c r="W22" s="38"/>
      <c r="X22"/>
    </row>
    <row r="23" spans="1:24" x14ac:dyDescent="0.25">
      <c r="A23" s="11"/>
      <c r="B23" s="242" t="s">
        <v>30</v>
      </c>
      <c r="C23" s="240"/>
      <c r="D23" s="240"/>
      <c r="E23" s="409" t="s">
        <v>21</v>
      </c>
      <c r="F23" s="241"/>
      <c r="G23" s="241"/>
      <c r="H23" s="418">
        <f t="shared" si="3"/>
        <v>0</v>
      </c>
      <c r="I23" s="419"/>
      <c r="J23" s="420">
        <f>Volume_5!G7</f>
        <v>0</v>
      </c>
      <c r="K23" s="420">
        <f>Volume_5!K7</f>
        <v>0</v>
      </c>
      <c r="L23" s="420">
        <f>Volume_5!O7</f>
        <v>0</v>
      </c>
      <c r="M23" s="420">
        <f>Volume_5!S7</f>
        <v>0</v>
      </c>
      <c r="N23" s="420">
        <f>Volume_5!W7</f>
        <v>0</v>
      </c>
      <c r="O23" s="420">
        <f>Volume_5!AA7</f>
        <v>0</v>
      </c>
      <c r="P23" s="420">
        <f>Volume_5!AE7</f>
        <v>0</v>
      </c>
      <c r="Q23" s="420">
        <f>Volume_5!AI7</f>
        <v>0</v>
      </c>
      <c r="R23" s="420">
        <f>Volume_5!AM7</f>
        <v>0</v>
      </c>
      <c r="S23" s="420">
        <f>Volume_5!AQ7</f>
        <v>0</v>
      </c>
      <c r="T23" s="420">
        <f>Volume_5!AU7</f>
        <v>0</v>
      </c>
      <c r="U23" s="420">
        <f>Volume_5!AY7</f>
        <v>0</v>
      </c>
      <c r="W23" s="38"/>
    </row>
    <row r="24" spans="1:24" x14ac:dyDescent="0.25">
      <c r="A24" s="11"/>
      <c r="B24" s="242" t="s">
        <v>222</v>
      </c>
      <c r="C24" s="240"/>
      <c r="D24" s="240"/>
      <c r="E24" s="409" t="s">
        <v>21</v>
      </c>
      <c r="F24" s="241"/>
      <c r="G24" s="241"/>
      <c r="H24" s="418">
        <f t="shared" si="3"/>
        <v>0</v>
      </c>
      <c r="I24" s="419"/>
      <c r="J24" s="420">
        <f>Volume_5!G8</f>
        <v>0</v>
      </c>
      <c r="K24" s="420">
        <f>Volume_5!K8</f>
        <v>0</v>
      </c>
      <c r="L24" s="420">
        <f>Volume_5!O8</f>
        <v>0</v>
      </c>
      <c r="M24" s="420">
        <f>Volume_5!S8</f>
        <v>0</v>
      </c>
      <c r="N24" s="420">
        <f>Volume_5!W8</f>
        <v>0</v>
      </c>
      <c r="O24" s="420">
        <f>Volume_5!AA8</f>
        <v>0</v>
      </c>
      <c r="P24" s="420">
        <f>Volume_5!AE8</f>
        <v>0</v>
      </c>
      <c r="Q24" s="420">
        <f>Volume_5!AI8</f>
        <v>0</v>
      </c>
      <c r="R24" s="420">
        <f>Volume_5!AM8</f>
        <v>0</v>
      </c>
      <c r="S24" s="420">
        <f>Volume_5!AQ8</f>
        <v>0</v>
      </c>
      <c r="T24" s="420">
        <f>Volume_5!AU8</f>
        <v>0</v>
      </c>
      <c r="U24" s="420">
        <f>Volume_5!AY8</f>
        <v>0</v>
      </c>
      <c r="W24" s="38"/>
    </row>
    <row r="25" spans="1:24" x14ac:dyDescent="0.25">
      <c r="A25" s="11"/>
      <c r="B25" s="242" t="s">
        <v>34</v>
      </c>
      <c r="C25" s="240"/>
      <c r="D25" s="240"/>
      <c r="E25" s="409" t="s">
        <v>21</v>
      </c>
      <c r="F25" s="241"/>
      <c r="G25" s="241"/>
      <c r="H25" s="418">
        <f t="shared" si="3"/>
        <v>0</v>
      </c>
      <c r="I25" s="419"/>
      <c r="J25" s="420">
        <f>Volume_5!G9</f>
        <v>0</v>
      </c>
      <c r="K25" s="420">
        <f>Volume_5!K9</f>
        <v>0</v>
      </c>
      <c r="L25" s="420">
        <f>Volume_5!O9</f>
        <v>0</v>
      </c>
      <c r="M25" s="420">
        <f>Volume_5!S9</f>
        <v>0</v>
      </c>
      <c r="N25" s="420">
        <f>Volume_5!W9</f>
        <v>0</v>
      </c>
      <c r="O25" s="420">
        <f>Volume_5!AA9</f>
        <v>0</v>
      </c>
      <c r="P25" s="420">
        <f>Volume_5!AE9</f>
        <v>0</v>
      </c>
      <c r="Q25" s="420">
        <f>Volume_5!AI9</f>
        <v>0</v>
      </c>
      <c r="R25" s="420">
        <f>Volume_5!AM9</f>
        <v>0</v>
      </c>
      <c r="S25" s="420">
        <f>Volume_5!AQ9</f>
        <v>0</v>
      </c>
      <c r="T25" s="420">
        <f>Volume_5!AU9</f>
        <v>0</v>
      </c>
      <c r="U25" s="420">
        <f>Volume_5!AY9</f>
        <v>0</v>
      </c>
      <c r="W25" s="38"/>
    </row>
    <row r="26" spans="1:24" x14ac:dyDescent="0.25">
      <c r="A26" s="11"/>
      <c r="B26" s="242" t="s">
        <v>37</v>
      </c>
      <c r="C26" s="240"/>
      <c r="D26" s="240"/>
      <c r="E26" s="409" t="s">
        <v>21</v>
      </c>
      <c r="F26" s="241"/>
      <c r="G26" s="241"/>
      <c r="H26" s="418">
        <f t="shared" si="3"/>
        <v>0</v>
      </c>
      <c r="I26" s="419"/>
      <c r="J26" s="420">
        <f>Volume_5!G10</f>
        <v>0</v>
      </c>
      <c r="K26" s="420">
        <f>Volume_5!K10</f>
        <v>0</v>
      </c>
      <c r="L26" s="420">
        <f>Volume_5!O10</f>
        <v>0</v>
      </c>
      <c r="M26" s="420">
        <f>Volume_5!S10</f>
        <v>0</v>
      </c>
      <c r="N26" s="420">
        <f>Volume_5!W10</f>
        <v>0</v>
      </c>
      <c r="O26" s="420">
        <f>Volume_5!AA10</f>
        <v>0</v>
      </c>
      <c r="P26" s="420">
        <f>Volume_5!AE10</f>
        <v>0</v>
      </c>
      <c r="Q26" s="420">
        <f>Volume_5!AI10</f>
        <v>0</v>
      </c>
      <c r="R26" s="420">
        <f>Volume_5!AM10</f>
        <v>0</v>
      </c>
      <c r="S26" s="420">
        <f>Volume_5!AQ10</f>
        <v>0</v>
      </c>
      <c r="T26" s="420">
        <f>Volume_5!AU10</f>
        <v>0</v>
      </c>
      <c r="U26" s="420">
        <f>Volume_5!AY10</f>
        <v>0</v>
      </c>
      <c r="W26" s="38"/>
    </row>
    <row r="27" spans="1:24" x14ac:dyDescent="0.25">
      <c r="A27" s="11"/>
      <c r="B27" s="242" t="s">
        <v>174</v>
      </c>
      <c r="C27" s="240"/>
      <c r="D27" s="240"/>
      <c r="E27" s="409" t="s">
        <v>21</v>
      </c>
      <c r="F27" s="241"/>
      <c r="G27" s="241"/>
      <c r="H27" s="418">
        <f t="shared" si="3"/>
        <v>0</v>
      </c>
      <c r="I27" s="419"/>
      <c r="J27" s="420">
        <f>Volume_5!G11</f>
        <v>0</v>
      </c>
      <c r="K27" s="420">
        <f>Volume_5!K11</f>
        <v>0</v>
      </c>
      <c r="L27" s="420">
        <f>Volume_5!O11</f>
        <v>0</v>
      </c>
      <c r="M27" s="420">
        <f>Volume_5!S11</f>
        <v>0</v>
      </c>
      <c r="N27" s="420">
        <f>Volume_5!W11</f>
        <v>0</v>
      </c>
      <c r="O27" s="420">
        <f>Volume_5!AA11</f>
        <v>0</v>
      </c>
      <c r="P27" s="420">
        <f>Volume_5!AE11</f>
        <v>0</v>
      </c>
      <c r="Q27" s="420">
        <f>Volume_5!AI11</f>
        <v>0</v>
      </c>
      <c r="R27" s="420">
        <f>Volume_5!AM11</f>
        <v>0</v>
      </c>
      <c r="S27" s="420">
        <f>Volume_5!AQ11</f>
        <v>0</v>
      </c>
      <c r="T27" s="420">
        <f>Volume_5!AU11</f>
        <v>0</v>
      </c>
      <c r="U27" s="420">
        <f>Volume_5!AY11</f>
        <v>0</v>
      </c>
      <c r="W27" s="38"/>
    </row>
    <row r="28" spans="1:24" x14ac:dyDescent="0.25">
      <c r="A28" s="11"/>
      <c r="B28" s="376" t="s">
        <v>202</v>
      </c>
      <c r="C28" s="377"/>
      <c r="D28" s="377"/>
      <c r="E28" s="390" t="s">
        <v>21</v>
      </c>
      <c r="F28" s="44"/>
      <c r="G28" s="44"/>
      <c r="H28" s="418">
        <f t="shared" si="3"/>
        <v>0</v>
      </c>
      <c r="I28" s="419"/>
      <c r="J28" s="420">
        <f>Volume_5!G12</f>
        <v>0</v>
      </c>
      <c r="K28" s="420">
        <f>Volume_5!K12</f>
        <v>0</v>
      </c>
      <c r="L28" s="420">
        <f>Volume_5!O12</f>
        <v>0</v>
      </c>
      <c r="M28" s="420">
        <f>Volume_5!S12</f>
        <v>0</v>
      </c>
      <c r="N28" s="420">
        <f>Volume_5!W12</f>
        <v>0</v>
      </c>
      <c r="O28" s="420">
        <f>Volume_5!AA12</f>
        <v>0</v>
      </c>
      <c r="P28" s="420">
        <f>Volume_5!AE12</f>
        <v>0</v>
      </c>
      <c r="Q28" s="420">
        <f>Volume_5!AI12</f>
        <v>0</v>
      </c>
      <c r="R28" s="420">
        <f>Volume_5!AM12</f>
        <v>0</v>
      </c>
      <c r="S28" s="420">
        <f>Volume_5!AQ12</f>
        <v>0</v>
      </c>
      <c r="T28" s="420">
        <f>Volume_5!AU12</f>
        <v>0</v>
      </c>
      <c r="U28" s="420">
        <f>Volume_5!AY12</f>
        <v>0</v>
      </c>
      <c r="W28" s="38"/>
    </row>
    <row r="29" spans="1:24" x14ac:dyDescent="0.25">
      <c r="A29" s="11"/>
      <c r="B29" s="243" t="s">
        <v>175</v>
      </c>
      <c r="C29" s="244"/>
      <c r="D29" s="244"/>
      <c r="E29" s="410" t="s">
        <v>19</v>
      </c>
      <c r="F29" s="245"/>
      <c r="G29" s="245"/>
      <c r="H29" s="418">
        <f t="shared" si="3"/>
        <v>0</v>
      </c>
      <c r="I29" s="419"/>
      <c r="J29" s="420">
        <f>Volume_5!G13</f>
        <v>0</v>
      </c>
      <c r="K29" s="420">
        <f>Volume_5!K13</f>
        <v>0</v>
      </c>
      <c r="L29" s="420">
        <f>Volume_5!O13</f>
        <v>0</v>
      </c>
      <c r="M29" s="420">
        <f>Volume_5!S13</f>
        <v>0</v>
      </c>
      <c r="N29" s="420">
        <f>Volume_5!W13</f>
        <v>0</v>
      </c>
      <c r="O29" s="420">
        <f>Volume_5!AA13</f>
        <v>0</v>
      </c>
      <c r="P29" s="420">
        <f>Volume_5!AE13</f>
        <v>0</v>
      </c>
      <c r="Q29" s="420">
        <f>Volume_5!AI13</f>
        <v>0</v>
      </c>
      <c r="R29" s="420">
        <f>Volume_5!AM13</f>
        <v>0</v>
      </c>
      <c r="S29" s="420">
        <f>Volume_5!AQ13</f>
        <v>0</v>
      </c>
      <c r="T29" s="420">
        <f>Volume_5!AU13</f>
        <v>0</v>
      </c>
      <c r="U29" s="420">
        <f>Volume_5!AY13</f>
        <v>0</v>
      </c>
      <c r="W29" s="38"/>
    </row>
    <row r="30" spans="1:24" x14ac:dyDescent="0.25">
      <c r="A30" s="11"/>
      <c r="B30" s="243" t="s">
        <v>176</v>
      </c>
      <c r="C30" s="244"/>
      <c r="D30" s="244"/>
      <c r="E30" s="410" t="s">
        <v>19</v>
      </c>
      <c r="F30" s="245"/>
      <c r="G30" s="245"/>
      <c r="H30" s="418">
        <f t="shared" si="3"/>
        <v>0</v>
      </c>
      <c r="I30" s="419"/>
      <c r="J30" s="420">
        <f>Volume_5!G14</f>
        <v>0</v>
      </c>
      <c r="K30" s="420">
        <f>Volume_5!K14</f>
        <v>0</v>
      </c>
      <c r="L30" s="420">
        <f>Volume_5!O14</f>
        <v>0</v>
      </c>
      <c r="M30" s="420">
        <f>Volume_5!S14</f>
        <v>0</v>
      </c>
      <c r="N30" s="420">
        <f>Volume_5!W14</f>
        <v>0</v>
      </c>
      <c r="O30" s="420">
        <f>Volume_5!AA14</f>
        <v>0</v>
      </c>
      <c r="P30" s="420">
        <f>Volume_5!AE14</f>
        <v>0</v>
      </c>
      <c r="Q30" s="420">
        <f>Volume_5!AI14</f>
        <v>0</v>
      </c>
      <c r="R30" s="420">
        <f>Volume_5!AM14</f>
        <v>0</v>
      </c>
      <c r="S30" s="420">
        <f>Volume_5!AQ14</f>
        <v>0</v>
      </c>
      <c r="T30" s="420">
        <f>Volume_5!AU14</f>
        <v>0</v>
      </c>
      <c r="U30" s="420">
        <f>Volume_5!AY14</f>
        <v>0</v>
      </c>
      <c r="W30" s="38"/>
    </row>
    <row r="31" spans="1:24" x14ac:dyDescent="0.25">
      <c r="A31" s="11"/>
      <c r="B31" s="243" t="s">
        <v>23</v>
      </c>
      <c r="C31" s="244"/>
      <c r="D31" s="244"/>
      <c r="E31" s="411" t="s">
        <v>19</v>
      </c>
      <c r="F31" s="245"/>
      <c r="G31" s="245"/>
      <c r="H31" s="418">
        <f t="shared" si="3"/>
        <v>0</v>
      </c>
      <c r="I31" s="419"/>
      <c r="J31" s="420">
        <f>Volume_5!G15</f>
        <v>0</v>
      </c>
      <c r="K31" s="420">
        <f>Volume_5!K15</f>
        <v>0</v>
      </c>
      <c r="L31" s="420">
        <f>Volume_5!O15</f>
        <v>0</v>
      </c>
      <c r="M31" s="420">
        <f>Volume_5!S15</f>
        <v>0</v>
      </c>
      <c r="N31" s="420">
        <f>Volume_5!W15</f>
        <v>0</v>
      </c>
      <c r="O31" s="420">
        <f>Volume_5!AA15</f>
        <v>0</v>
      </c>
      <c r="P31" s="420">
        <f>Volume_5!AE15</f>
        <v>0</v>
      </c>
      <c r="Q31" s="420">
        <f>Volume_5!AI15</f>
        <v>0</v>
      </c>
      <c r="R31" s="420">
        <f>Volume_5!AM15</f>
        <v>0</v>
      </c>
      <c r="S31" s="420">
        <f>Volume_5!AQ15</f>
        <v>0</v>
      </c>
      <c r="T31" s="420">
        <f>Volume_5!AU15</f>
        <v>0</v>
      </c>
      <c r="U31" s="420">
        <f>Volume_5!AY15</f>
        <v>0</v>
      </c>
      <c r="W31" s="38"/>
    </row>
    <row r="32" spans="1:24" x14ac:dyDescent="0.25">
      <c r="A32" s="11"/>
      <c r="B32" s="246" t="s">
        <v>24</v>
      </c>
      <c r="C32" s="244"/>
      <c r="D32" s="244"/>
      <c r="E32" s="411" t="s">
        <v>19</v>
      </c>
      <c r="F32" s="245"/>
      <c r="G32" s="245"/>
      <c r="H32" s="418">
        <f t="shared" si="3"/>
        <v>0</v>
      </c>
      <c r="I32" s="419"/>
      <c r="J32" s="420">
        <f>Volume_5!G16</f>
        <v>0</v>
      </c>
      <c r="K32" s="420">
        <f>Volume_5!K16</f>
        <v>0</v>
      </c>
      <c r="L32" s="420">
        <f>Volume_5!O16</f>
        <v>0</v>
      </c>
      <c r="M32" s="420">
        <f>Volume_5!S16</f>
        <v>0</v>
      </c>
      <c r="N32" s="420">
        <f>Volume_5!W16</f>
        <v>0</v>
      </c>
      <c r="O32" s="420">
        <f>Volume_5!AA16</f>
        <v>0</v>
      </c>
      <c r="P32" s="420">
        <f>Volume_5!AE16</f>
        <v>0</v>
      </c>
      <c r="Q32" s="420">
        <f>Volume_5!AI16</f>
        <v>0</v>
      </c>
      <c r="R32" s="420">
        <f>Volume_5!AM16</f>
        <v>0</v>
      </c>
      <c r="S32" s="420">
        <f>Volume_5!AQ16</f>
        <v>0</v>
      </c>
      <c r="T32" s="420">
        <f>Volume_5!AU16</f>
        <v>0</v>
      </c>
      <c r="U32" s="420">
        <f>Volume_5!AY16</f>
        <v>0</v>
      </c>
      <c r="W32" s="38"/>
    </row>
    <row r="33" spans="1:23" x14ac:dyDescent="0.25">
      <c r="A33" s="11"/>
      <c r="B33" s="246" t="s">
        <v>26</v>
      </c>
      <c r="C33" s="244"/>
      <c r="D33" s="244"/>
      <c r="E33" s="411" t="s">
        <v>19</v>
      </c>
      <c r="F33" s="245"/>
      <c r="G33" s="245"/>
      <c r="H33" s="418">
        <f t="shared" si="3"/>
        <v>0</v>
      </c>
      <c r="I33" s="419"/>
      <c r="J33" s="420">
        <f>Volume_5!G17</f>
        <v>0</v>
      </c>
      <c r="K33" s="420">
        <f>Volume_5!K17</f>
        <v>0</v>
      </c>
      <c r="L33" s="420">
        <f>Volume_5!O17</f>
        <v>0</v>
      </c>
      <c r="M33" s="420">
        <f>Volume_5!S17</f>
        <v>0</v>
      </c>
      <c r="N33" s="420">
        <f>Volume_5!W17</f>
        <v>0</v>
      </c>
      <c r="O33" s="420">
        <f>Volume_5!AA17</f>
        <v>0</v>
      </c>
      <c r="P33" s="420">
        <f>Volume_5!AE17</f>
        <v>0</v>
      </c>
      <c r="Q33" s="420">
        <f>Volume_5!AI17</f>
        <v>0</v>
      </c>
      <c r="R33" s="420">
        <f>Volume_5!AM17</f>
        <v>0</v>
      </c>
      <c r="S33" s="420">
        <f>Volume_5!AQ17</f>
        <v>0</v>
      </c>
      <c r="T33" s="420">
        <f>Volume_5!AU17</f>
        <v>0</v>
      </c>
      <c r="U33" s="420">
        <f>Volume_5!AY17</f>
        <v>0</v>
      </c>
      <c r="W33" s="38"/>
    </row>
    <row r="34" spans="1:23" x14ac:dyDescent="0.25">
      <c r="A34" s="11"/>
      <c r="B34" s="246" t="s">
        <v>27</v>
      </c>
      <c r="C34" s="244"/>
      <c r="D34" s="244"/>
      <c r="E34" s="410" t="s">
        <v>19</v>
      </c>
      <c r="F34" s="245"/>
      <c r="G34" s="245"/>
      <c r="H34" s="418">
        <f t="shared" si="3"/>
        <v>0</v>
      </c>
      <c r="I34" s="419"/>
      <c r="J34" s="420">
        <f>Volume_5!G18</f>
        <v>0</v>
      </c>
      <c r="K34" s="420">
        <f>Volume_5!K18</f>
        <v>0</v>
      </c>
      <c r="L34" s="420">
        <f>Volume_5!O18</f>
        <v>0</v>
      </c>
      <c r="M34" s="420">
        <f>Volume_5!S18</f>
        <v>0</v>
      </c>
      <c r="N34" s="420">
        <f>Volume_5!W18</f>
        <v>0</v>
      </c>
      <c r="O34" s="420">
        <f>Volume_5!AA18</f>
        <v>0</v>
      </c>
      <c r="P34" s="420">
        <f>Volume_5!AE18</f>
        <v>0</v>
      </c>
      <c r="Q34" s="420">
        <f>Volume_5!AI18</f>
        <v>0</v>
      </c>
      <c r="R34" s="420">
        <f>Volume_5!AM18</f>
        <v>0</v>
      </c>
      <c r="S34" s="420">
        <f>Volume_5!AQ18</f>
        <v>0</v>
      </c>
      <c r="T34" s="420">
        <f>Volume_5!AU18</f>
        <v>0</v>
      </c>
      <c r="U34" s="420">
        <f>Volume_5!AY18</f>
        <v>0</v>
      </c>
      <c r="W34" s="38"/>
    </row>
    <row r="35" spans="1:23" x14ac:dyDescent="0.25">
      <c r="A35" s="11"/>
      <c r="B35" s="243" t="s">
        <v>29</v>
      </c>
      <c r="C35" s="244"/>
      <c r="D35" s="244"/>
      <c r="E35" s="411" t="s">
        <v>19</v>
      </c>
      <c r="F35" s="245"/>
      <c r="G35" s="245"/>
      <c r="H35" s="418">
        <f t="shared" si="3"/>
        <v>0</v>
      </c>
      <c r="I35" s="419"/>
      <c r="J35" s="420">
        <f>Volume_5!G19</f>
        <v>0</v>
      </c>
      <c r="K35" s="420">
        <f>Volume_5!K19</f>
        <v>0</v>
      </c>
      <c r="L35" s="420">
        <f>Volume_5!O19</f>
        <v>0</v>
      </c>
      <c r="M35" s="420">
        <f>Volume_5!S19</f>
        <v>0</v>
      </c>
      <c r="N35" s="420">
        <f>Volume_5!W19</f>
        <v>0</v>
      </c>
      <c r="O35" s="420">
        <f>Volume_5!AA19</f>
        <v>0</v>
      </c>
      <c r="P35" s="420">
        <f>Volume_5!AE19</f>
        <v>0</v>
      </c>
      <c r="Q35" s="420">
        <f>Volume_5!AI19</f>
        <v>0</v>
      </c>
      <c r="R35" s="420">
        <f>Volume_5!AM19</f>
        <v>0</v>
      </c>
      <c r="S35" s="420">
        <f>Volume_5!AQ19</f>
        <v>0</v>
      </c>
      <c r="T35" s="420">
        <f>Volume_5!AU19</f>
        <v>0</v>
      </c>
      <c r="U35" s="420">
        <f>Volume_5!AY19</f>
        <v>0</v>
      </c>
      <c r="W35" s="38"/>
    </row>
    <row r="36" spans="1:23" x14ac:dyDescent="0.25">
      <c r="A36" s="11"/>
      <c r="B36" s="243" t="s">
        <v>28</v>
      </c>
      <c r="C36" s="244"/>
      <c r="D36" s="244"/>
      <c r="E36" s="411" t="s">
        <v>19</v>
      </c>
      <c r="F36" s="245"/>
      <c r="G36" s="245"/>
      <c r="H36" s="418">
        <f t="shared" si="3"/>
        <v>0</v>
      </c>
      <c r="I36" s="419"/>
      <c r="J36" s="420">
        <f>Volume_5!G20</f>
        <v>0</v>
      </c>
      <c r="K36" s="420">
        <f>Volume_5!K20</f>
        <v>0</v>
      </c>
      <c r="L36" s="420">
        <f>Volume_5!O20</f>
        <v>0</v>
      </c>
      <c r="M36" s="420">
        <f>Volume_5!S20</f>
        <v>0</v>
      </c>
      <c r="N36" s="420">
        <f>Volume_5!W20</f>
        <v>0</v>
      </c>
      <c r="O36" s="420">
        <f>Volume_5!AA20</f>
        <v>0</v>
      </c>
      <c r="P36" s="420">
        <f>Volume_5!AE20</f>
        <v>0</v>
      </c>
      <c r="Q36" s="420">
        <f>Volume_5!AI20</f>
        <v>0</v>
      </c>
      <c r="R36" s="420">
        <f>Volume_5!AM20</f>
        <v>0</v>
      </c>
      <c r="S36" s="420">
        <f>Volume_5!AQ20</f>
        <v>0</v>
      </c>
      <c r="T36" s="420">
        <f>Volume_5!AU20</f>
        <v>0</v>
      </c>
      <c r="U36" s="420">
        <f>Volume_5!AY20</f>
        <v>0</v>
      </c>
      <c r="W36" s="38"/>
    </row>
    <row r="37" spans="1:23" x14ac:dyDescent="0.25">
      <c r="A37" s="11"/>
      <c r="B37" s="246" t="s">
        <v>31</v>
      </c>
      <c r="C37" s="244"/>
      <c r="D37" s="244"/>
      <c r="E37" s="411" t="s">
        <v>19</v>
      </c>
      <c r="F37" s="245"/>
      <c r="G37" s="245"/>
      <c r="H37" s="418">
        <f t="shared" si="3"/>
        <v>0</v>
      </c>
      <c r="I37" s="419"/>
      <c r="J37" s="420">
        <f>Volume_5!G21</f>
        <v>0</v>
      </c>
      <c r="K37" s="420">
        <f>Volume_5!K21</f>
        <v>0</v>
      </c>
      <c r="L37" s="420">
        <f>Volume_5!O21</f>
        <v>0</v>
      </c>
      <c r="M37" s="420">
        <f>Volume_5!S21</f>
        <v>0</v>
      </c>
      <c r="N37" s="420">
        <f>Volume_5!W21</f>
        <v>0</v>
      </c>
      <c r="O37" s="420">
        <f>Volume_5!AA21</f>
        <v>0</v>
      </c>
      <c r="P37" s="420">
        <f>Volume_5!AE21</f>
        <v>0</v>
      </c>
      <c r="Q37" s="420">
        <f>Volume_5!AI21</f>
        <v>0</v>
      </c>
      <c r="R37" s="420">
        <f>Volume_5!AM21</f>
        <v>0</v>
      </c>
      <c r="S37" s="420">
        <f>Volume_5!AQ21</f>
        <v>0</v>
      </c>
      <c r="T37" s="420">
        <f>Volume_5!AU21</f>
        <v>0</v>
      </c>
      <c r="U37" s="420">
        <f>Volume_5!AY21</f>
        <v>0</v>
      </c>
      <c r="W37" s="38"/>
    </row>
    <row r="38" spans="1:23" x14ac:dyDescent="0.25">
      <c r="A38" s="11"/>
      <c r="B38" s="246" t="s">
        <v>32</v>
      </c>
      <c r="C38" s="244"/>
      <c r="D38" s="244"/>
      <c r="E38" s="411" t="s">
        <v>19</v>
      </c>
      <c r="F38" s="245"/>
      <c r="G38" s="245"/>
      <c r="H38" s="418">
        <f t="shared" si="3"/>
        <v>0</v>
      </c>
      <c r="I38" s="419"/>
      <c r="J38" s="420">
        <f>Volume_5!G22</f>
        <v>0</v>
      </c>
      <c r="K38" s="420">
        <f>Volume_5!K22</f>
        <v>0</v>
      </c>
      <c r="L38" s="420">
        <f>Volume_5!O22</f>
        <v>0</v>
      </c>
      <c r="M38" s="420">
        <f>Volume_5!S22</f>
        <v>0</v>
      </c>
      <c r="N38" s="420">
        <f>Volume_5!W22</f>
        <v>0</v>
      </c>
      <c r="O38" s="420">
        <f>Volume_5!AA22</f>
        <v>0</v>
      </c>
      <c r="P38" s="420">
        <f>Volume_5!AE22</f>
        <v>0</v>
      </c>
      <c r="Q38" s="420">
        <f>Volume_5!AI22</f>
        <v>0</v>
      </c>
      <c r="R38" s="420">
        <f>Volume_5!AM22</f>
        <v>0</v>
      </c>
      <c r="S38" s="420">
        <f>Volume_5!AQ22</f>
        <v>0</v>
      </c>
      <c r="T38" s="420">
        <f>Volume_5!AU22</f>
        <v>0</v>
      </c>
      <c r="U38" s="420">
        <f>Volume_5!AY22</f>
        <v>0</v>
      </c>
      <c r="W38" s="38"/>
    </row>
    <row r="39" spans="1:23" x14ac:dyDescent="0.25">
      <c r="A39" s="11"/>
      <c r="B39" s="246" t="s">
        <v>33</v>
      </c>
      <c r="C39" s="244"/>
      <c r="D39" s="244"/>
      <c r="E39" s="411" t="s">
        <v>19</v>
      </c>
      <c r="F39" s="245"/>
      <c r="G39" s="245"/>
      <c r="H39" s="418">
        <f t="shared" si="3"/>
        <v>0</v>
      </c>
      <c r="I39" s="419"/>
      <c r="J39" s="420">
        <f>Volume_5!G23</f>
        <v>0</v>
      </c>
      <c r="K39" s="420">
        <f>Volume_5!K23</f>
        <v>0</v>
      </c>
      <c r="L39" s="420">
        <f>Volume_5!O23</f>
        <v>0</v>
      </c>
      <c r="M39" s="420">
        <f>Volume_5!S23</f>
        <v>0</v>
      </c>
      <c r="N39" s="420">
        <f>Volume_5!W23</f>
        <v>0</v>
      </c>
      <c r="O39" s="420">
        <f>Volume_5!AA23</f>
        <v>0</v>
      </c>
      <c r="P39" s="420">
        <f>Volume_5!AE23</f>
        <v>0</v>
      </c>
      <c r="Q39" s="420">
        <f>Volume_5!AI23</f>
        <v>0</v>
      </c>
      <c r="R39" s="420">
        <f>Volume_5!AM23</f>
        <v>0</v>
      </c>
      <c r="S39" s="420">
        <f>Volume_5!AQ23</f>
        <v>0</v>
      </c>
      <c r="T39" s="420">
        <f>Volume_5!AU23</f>
        <v>0</v>
      </c>
      <c r="U39" s="420">
        <f>Volume_5!AY23</f>
        <v>0</v>
      </c>
      <c r="W39" s="38"/>
    </row>
    <row r="40" spans="1:23" x14ac:dyDescent="0.25">
      <c r="A40" s="11"/>
      <c r="B40" s="246" t="s">
        <v>35</v>
      </c>
      <c r="C40" s="244"/>
      <c r="D40" s="244"/>
      <c r="E40" s="411" t="s">
        <v>19</v>
      </c>
      <c r="F40" s="245"/>
      <c r="G40" s="245"/>
      <c r="H40" s="418">
        <f t="shared" si="3"/>
        <v>0</v>
      </c>
      <c r="I40" s="419"/>
      <c r="J40" s="420">
        <f>Volume_5!G24</f>
        <v>0</v>
      </c>
      <c r="K40" s="420">
        <f>Volume_5!K24</f>
        <v>0</v>
      </c>
      <c r="L40" s="420">
        <f>Volume_5!O24</f>
        <v>0</v>
      </c>
      <c r="M40" s="420">
        <f>Volume_5!S24</f>
        <v>0</v>
      </c>
      <c r="N40" s="420">
        <f>Volume_5!W24</f>
        <v>0</v>
      </c>
      <c r="O40" s="420">
        <f>Volume_5!AA24</f>
        <v>0</v>
      </c>
      <c r="P40" s="420">
        <f>Volume_5!AE24</f>
        <v>0</v>
      </c>
      <c r="Q40" s="420">
        <f>Volume_5!AI24</f>
        <v>0</v>
      </c>
      <c r="R40" s="420">
        <f>Volume_5!AM24</f>
        <v>0</v>
      </c>
      <c r="S40" s="420">
        <f>Volume_5!AQ24</f>
        <v>0</v>
      </c>
      <c r="T40" s="420">
        <f>Volume_5!AU24</f>
        <v>0</v>
      </c>
      <c r="U40" s="420">
        <f>Volume_5!AY24</f>
        <v>0</v>
      </c>
      <c r="W40" s="38"/>
    </row>
    <row r="41" spans="1:23" x14ac:dyDescent="0.25">
      <c r="A41" s="11"/>
      <c r="B41" s="243" t="s">
        <v>36</v>
      </c>
      <c r="C41" s="244"/>
      <c r="D41" s="244"/>
      <c r="E41" s="411" t="s">
        <v>19</v>
      </c>
      <c r="F41" s="245"/>
      <c r="G41" s="245"/>
      <c r="H41" s="418">
        <f t="shared" si="3"/>
        <v>0</v>
      </c>
      <c r="I41" s="419"/>
      <c r="J41" s="420">
        <f>Volume_5!G25</f>
        <v>0</v>
      </c>
      <c r="K41" s="420">
        <f>Volume_5!K25</f>
        <v>0</v>
      </c>
      <c r="L41" s="420">
        <f>Volume_5!O25</f>
        <v>0</v>
      </c>
      <c r="M41" s="420">
        <f>Volume_5!S25</f>
        <v>0</v>
      </c>
      <c r="N41" s="420">
        <f>Volume_5!W25</f>
        <v>0</v>
      </c>
      <c r="O41" s="420">
        <f>Volume_5!AA25</f>
        <v>0</v>
      </c>
      <c r="P41" s="420">
        <f>Volume_5!AE25</f>
        <v>0</v>
      </c>
      <c r="Q41" s="420">
        <f>Volume_5!AI25</f>
        <v>0</v>
      </c>
      <c r="R41" s="420">
        <f>Volume_5!AM25</f>
        <v>0</v>
      </c>
      <c r="S41" s="420">
        <f>Volume_5!AQ25</f>
        <v>0</v>
      </c>
      <c r="T41" s="420">
        <f>Volume_5!AU25</f>
        <v>0</v>
      </c>
      <c r="U41" s="420">
        <f>Volume_5!AY25</f>
        <v>0</v>
      </c>
      <c r="W41" s="38"/>
    </row>
    <row r="42" spans="1:23" ht="15.75" thickBot="1" x14ac:dyDescent="0.3">
      <c r="A42" s="11"/>
      <c r="B42" s="49"/>
      <c r="C42" s="50">
        <f>SUM(C20:C41)</f>
        <v>0</v>
      </c>
      <c r="D42" s="51"/>
      <c r="E42" s="52"/>
      <c r="F42" s="53"/>
      <c r="G42" s="54"/>
      <c r="H42" s="421"/>
      <c r="I42" s="419"/>
      <c r="J42" s="419"/>
      <c r="K42" s="419"/>
      <c r="L42" s="419"/>
      <c r="M42" s="419"/>
      <c r="N42" s="419"/>
      <c r="O42" s="419"/>
      <c r="P42" s="419"/>
      <c r="Q42" s="419"/>
      <c r="R42" s="419"/>
      <c r="S42" s="419"/>
      <c r="T42" s="419"/>
      <c r="U42" s="422"/>
    </row>
    <row r="43" spans="1:23" ht="15.75" thickTop="1" x14ac:dyDescent="0.25">
      <c r="A43" s="11"/>
      <c r="B43" s="55" t="s">
        <v>39</v>
      </c>
      <c r="C43" s="51">
        <f>SUMIF(E20:E41,"JAS",C20:C41)</f>
        <v>0</v>
      </c>
      <c r="D43" s="51"/>
      <c r="E43" s="52"/>
      <c r="F43" s="53"/>
      <c r="G43" s="421"/>
      <c r="H43" s="418">
        <f>SUM(J43:U43)</f>
        <v>0</v>
      </c>
      <c r="I43" s="419"/>
      <c r="J43" s="423">
        <f t="shared" ref="J43:U43" si="4">SUM(J28:J41)</f>
        <v>0</v>
      </c>
      <c r="K43" s="423">
        <f t="shared" si="4"/>
        <v>0</v>
      </c>
      <c r="L43" s="423">
        <f t="shared" si="4"/>
        <v>0</v>
      </c>
      <c r="M43" s="423">
        <f t="shared" si="4"/>
        <v>0</v>
      </c>
      <c r="N43" s="423">
        <f t="shared" si="4"/>
        <v>0</v>
      </c>
      <c r="O43" s="423">
        <f t="shared" si="4"/>
        <v>0</v>
      </c>
      <c r="P43" s="423">
        <f t="shared" si="4"/>
        <v>0</v>
      </c>
      <c r="Q43" s="423">
        <f t="shared" si="4"/>
        <v>0</v>
      </c>
      <c r="R43" s="423">
        <f t="shared" si="4"/>
        <v>0</v>
      </c>
      <c r="S43" s="423">
        <f t="shared" si="4"/>
        <v>0</v>
      </c>
      <c r="T43" s="423">
        <f t="shared" si="4"/>
        <v>0</v>
      </c>
      <c r="U43" s="423">
        <f t="shared" si="4"/>
        <v>0</v>
      </c>
      <c r="W43" s="38"/>
    </row>
    <row r="44" spans="1:23" x14ac:dyDescent="0.25">
      <c r="A44" s="11"/>
      <c r="B44" s="55" t="s">
        <v>40</v>
      </c>
      <c r="C44" s="51">
        <f>SUMIF(E20:E41,"Tonnes",C20:C41)</f>
        <v>0</v>
      </c>
      <c r="D44" s="51"/>
      <c r="E44" s="52"/>
      <c r="F44" s="53"/>
      <c r="G44" s="421"/>
      <c r="H44" s="418">
        <f>SUM(J44:U44)</f>
        <v>0</v>
      </c>
      <c r="I44" s="419"/>
      <c r="J44" s="423">
        <f t="shared" ref="J44:U44" si="5">SUM(J20:J27)</f>
        <v>0</v>
      </c>
      <c r="K44" s="423">
        <f t="shared" si="5"/>
        <v>0</v>
      </c>
      <c r="L44" s="423">
        <f t="shared" si="5"/>
        <v>0</v>
      </c>
      <c r="M44" s="423">
        <f t="shared" si="5"/>
        <v>0</v>
      </c>
      <c r="N44" s="423">
        <f t="shared" si="5"/>
        <v>0</v>
      </c>
      <c r="O44" s="423">
        <f t="shared" si="5"/>
        <v>0</v>
      </c>
      <c r="P44" s="423">
        <f t="shared" si="5"/>
        <v>0</v>
      </c>
      <c r="Q44" s="423">
        <f t="shared" si="5"/>
        <v>0</v>
      </c>
      <c r="R44" s="423">
        <f t="shared" si="5"/>
        <v>0</v>
      </c>
      <c r="S44" s="423">
        <f t="shared" si="5"/>
        <v>0</v>
      </c>
      <c r="T44" s="423">
        <f t="shared" si="5"/>
        <v>0</v>
      </c>
      <c r="U44" s="423">
        <f t="shared" si="5"/>
        <v>0</v>
      </c>
    </row>
    <row r="45" spans="1:23" ht="15.75" thickBot="1" x14ac:dyDescent="0.3">
      <c r="A45" s="11"/>
      <c r="B45" s="49"/>
      <c r="C45" s="51"/>
      <c r="D45" s="51"/>
      <c r="E45" s="52"/>
      <c r="F45" s="53"/>
      <c r="G45" s="421"/>
      <c r="H45" s="421"/>
      <c r="I45" s="419"/>
      <c r="J45" s="421"/>
      <c r="K45" s="421"/>
      <c r="L45" s="421"/>
      <c r="M45" s="421"/>
      <c r="N45" s="421"/>
      <c r="O45" s="421"/>
      <c r="P45" s="421"/>
      <c r="Q45" s="421"/>
      <c r="R45" s="421"/>
      <c r="S45" s="421"/>
      <c r="T45" s="421"/>
      <c r="U45" s="424"/>
    </row>
    <row r="46" spans="1:23" ht="16.5" thickTop="1" thickBot="1" x14ac:dyDescent="0.3">
      <c r="A46" s="11"/>
      <c r="B46" s="59" t="s">
        <v>18</v>
      </c>
      <c r="C46" s="60"/>
      <c r="D46" s="60"/>
      <c r="E46" s="61"/>
      <c r="F46" s="62"/>
      <c r="G46" s="427">
        <f>IFERROR(H46/W16,0)</f>
        <v>0</v>
      </c>
      <c r="H46" s="425">
        <f>SUM(H20:H41)</f>
        <v>0</v>
      </c>
      <c r="I46" s="65"/>
      <c r="J46" s="425">
        <f t="shared" ref="J46:U46" si="6">SUM(J20:J41)</f>
        <v>0</v>
      </c>
      <c r="K46" s="425">
        <f t="shared" si="6"/>
        <v>0</v>
      </c>
      <c r="L46" s="425">
        <f t="shared" si="6"/>
        <v>0</v>
      </c>
      <c r="M46" s="425">
        <f t="shared" si="6"/>
        <v>0</v>
      </c>
      <c r="N46" s="425">
        <f t="shared" si="6"/>
        <v>0</v>
      </c>
      <c r="O46" s="425">
        <f t="shared" si="6"/>
        <v>0</v>
      </c>
      <c r="P46" s="425">
        <f t="shared" si="6"/>
        <v>0</v>
      </c>
      <c r="Q46" s="425">
        <f t="shared" si="6"/>
        <v>0</v>
      </c>
      <c r="R46" s="425">
        <f t="shared" si="6"/>
        <v>0</v>
      </c>
      <c r="S46" s="425">
        <f t="shared" si="6"/>
        <v>0</v>
      </c>
      <c r="T46" s="425">
        <f t="shared" si="6"/>
        <v>0</v>
      </c>
      <c r="U46" s="426">
        <f t="shared" si="6"/>
        <v>0</v>
      </c>
      <c r="W46" s="67">
        <f>SUM(J46:U46)</f>
        <v>0</v>
      </c>
    </row>
    <row r="47" spans="1:23" x14ac:dyDescent="0.25">
      <c r="A47" s="11"/>
      <c r="B47" s="68"/>
      <c r="G47" s="52"/>
      <c r="H47" s="69"/>
      <c r="I47" s="69"/>
    </row>
    <row r="48" spans="1:23" ht="16.5" thickBot="1" x14ac:dyDescent="0.3">
      <c r="A48" s="11"/>
      <c r="B48" s="70" t="s">
        <v>41</v>
      </c>
      <c r="C48" s="80" t="s">
        <v>44</v>
      </c>
      <c r="D48" s="42" t="s">
        <v>220</v>
      </c>
    </row>
    <row r="49" spans="1:23" ht="15.75" thickBot="1" x14ac:dyDescent="0.3">
      <c r="A49" s="11"/>
      <c r="B49" s="71" t="s">
        <v>42</v>
      </c>
      <c r="C49" s="321" t="s">
        <v>193</v>
      </c>
      <c r="D49" s="324" t="s">
        <v>53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40"/>
    </row>
    <row r="50" spans="1:23" ht="15.75" thickBot="1" x14ac:dyDescent="0.3">
      <c r="A50" s="11"/>
      <c r="B50" s="72"/>
      <c r="C50" s="43"/>
      <c r="D50" s="43"/>
      <c r="E50" s="43"/>
      <c r="F50" s="43"/>
      <c r="G50" s="43"/>
      <c r="H50" s="42" t="s">
        <v>18</v>
      </c>
      <c r="I50" s="43"/>
      <c r="J50" s="178">
        <v>45658</v>
      </c>
      <c r="K50" s="178">
        <v>45689</v>
      </c>
      <c r="L50" s="178">
        <v>45717</v>
      </c>
      <c r="M50" s="178">
        <v>45748</v>
      </c>
      <c r="N50" s="178">
        <v>45778</v>
      </c>
      <c r="O50" s="178">
        <v>45809</v>
      </c>
      <c r="P50" s="178">
        <v>45839</v>
      </c>
      <c r="Q50" s="178">
        <v>45870</v>
      </c>
      <c r="R50" s="178">
        <v>45901</v>
      </c>
      <c r="S50" s="178">
        <v>45931</v>
      </c>
      <c r="T50" s="178">
        <v>45962</v>
      </c>
      <c r="U50" s="178">
        <v>45992</v>
      </c>
    </row>
    <row r="51" spans="1:23" ht="16.5" thickTop="1" thickBot="1" x14ac:dyDescent="0.3">
      <c r="A51" s="11"/>
      <c r="B51" s="73"/>
      <c r="C51" s="74"/>
      <c r="D51" s="74"/>
      <c r="E51" s="74"/>
      <c r="F51" s="74"/>
      <c r="G51" s="433">
        <f>IFERROR(H51/W16,0)</f>
        <v>0</v>
      </c>
      <c r="H51" s="434">
        <f>SUM(J51:U51)</f>
        <v>0</v>
      </c>
      <c r="I51" s="76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2"/>
      <c r="W51" s="67">
        <f>SUM(J51:U51)</f>
        <v>0</v>
      </c>
    </row>
    <row r="52" spans="1:23" x14ac:dyDescent="0.25">
      <c r="A52" s="11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</row>
    <row r="53" spans="1:23" ht="15.75" thickBot="1" x14ac:dyDescent="0.3">
      <c r="A53" s="11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</row>
    <row r="54" spans="1:23" ht="15.75" thickBot="1" x14ac:dyDescent="0.3">
      <c r="A54" s="11"/>
      <c r="B54" s="71" t="s">
        <v>43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40"/>
    </row>
    <row r="55" spans="1:23" x14ac:dyDescent="0.25">
      <c r="A55" s="11"/>
      <c r="B55" s="41" t="s">
        <v>13</v>
      </c>
      <c r="C55" s="80" t="s">
        <v>44</v>
      </c>
      <c r="D55" s="42" t="s">
        <v>220</v>
      </c>
      <c r="E55" s="80" t="s">
        <v>45</v>
      </c>
      <c r="F55" s="80" t="s">
        <v>45</v>
      </c>
      <c r="G55" s="80" t="s">
        <v>46</v>
      </c>
      <c r="H55" s="81" t="s">
        <v>18</v>
      </c>
      <c r="I55" s="43"/>
      <c r="J55" s="178">
        <v>45658</v>
      </c>
      <c r="K55" s="178">
        <v>45689</v>
      </c>
      <c r="L55" s="178">
        <v>45717</v>
      </c>
      <c r="M55" s="178">
        <v>45748</v>
      </c>
      <c r="N55" s="178">
        <v>45778</v>
      </c>
      <c r="O55" s="178">
        <v>45809</v>
      </c>
      <c r="P55" s="178">
        <v>45839</v>
      </c>
      <c r="Q55" s="178">
        <v>45870</v>
      </c>
      <c r="R55" s="178">
        <v>45901</v>
      </c>
      <c r="S55" s="178">
        <v>45931</v>
      </c>
      <c r="T55" s="178">
        <v>45962</v>
      </c>
      <c r="U55" s="178">
        <v>45992</v>
      </c>
    </row>
    <row r="56" spans="1:23" x14ac:dyDescent="0.25">
      <c r="A56" s="11"/>
      <c r="B56" s="203" t="s">
        <v>20</v>
      </c>
      <c r="C56" s="83" t="s">
        <v>192</v>
      </c>
      <c r="D56" s="83" t="s">
        <v>47</v>
      </c>
      <c r="E56" s="204" t="s">
        <v>172</v>
      </c>
      <c r="F56" s="205"/>
      <c r="G56" s="206"/>
      <c r="H56" s="435">
        <f>SUM(J56:U56)</f>
        <v>0</v>
      </c>
      <c r="I56" s="54"/>
      <c r="J56" s="428"/>
      <c r="K56" s="428"/>
      <c r="L56" s="428"/>
      <c r="M56" s="428"/>
      <c r="N56" s="428"/>
      <c r="O56" s="428"/>
      <c r="P56" s="428"/>
      <c r="Q56" s="428"/>
      <c r="R56" s="428"/>
      <c r="S56" s="428"/>
      <c r="T56" s="428"/>
      <c r="U56" s="428"/>
    </row>
    <row r="57" spans="1:23" x14ac:dyDescent="0.25">
      <c r="A57" s="11"/>
      <c r="B57" s="102" t="s">
        <v>22</v>
      </c>
      <c r="C57" s="207" t="s">
        <v>192</v>
      </c>
      <c r="D57" s="207" t="s">
        <v>47</v>
      </c>
      <c r="E57" s="208" t="s">
        <v>172</v>
      </c>
      <c r="F57" s="209" t="s">
        <v>251</v>
      </c>
      <c r="G57" s="206">
        <v>31.23</v>
      </c>
      <c r="H57" s="435">
        <v>0</v>
      </c>
      <c r="I57" s="54"/>
      <c r="J57" s="428"/>
      <c r="K57" s="428"/>
      <c r="L57" s="428"/>
      <c r="M57" s="428"/>
      <c r="N57" s="428"/>
      <c r="O57" s="428"/>
      <c r="P57" s="428"/>
      <c r="Q57" s="428"/>
      <c r="R57" s="428"/>
      <c r="S57" s="428"/>
      <c r="T57" s="428"/>
      <c r="U57" s="428"/>
    </row>
    <row r="58" spans="1:23" x14ac:dyDescent="0.25">
      <c r="A58" s="11"/>
      <c r="B58" s="102" t="s">
        <v>25</v>
      </c>
      <c r="C58" s="207" t="s">
        <v>192</v>
      </c>
      <c r="D58" s="207" t="s">
        <v>47</v>
      </c>
      <c r="E58" s="210" t="s">
        <v>172</v>
      </c>
      <c r="F58" s="211"/>
      <c r="G58" s="206"/>
      <c r="H58" s="435">
        <f t="shared" ref="H58:H77" si="7">SUM(J58:U58)</f>
        <v>0</v>
      </c>
      <c r="I58" s="54"/>
      <c r="J58" s="428"/>
      <c r="K58" s="428"/>
      <c r="L58" s="428"/>
      <c r="M58" s="428"/>
      <c r="N58" s="428"/>
      <c r="O58" s="428"/>
      <c r="P58" s="428"/>
      <c r="Q58" s="428"/>
      <c r="R58" s="428"/>
      <c r="S58" s="428"/>
      <c r="T58" s="428"/>
      <c r="U58" s="428"/>
    </row>
    <row r="59" spans="1:23" x14ac:dyDescent="0.25">
      <c r="A59" s="11"/>
      <c r="B59" s="102" t="s">
        <v>30</v>
      </c>
      <c r="C59" s="207" t="s">
        <v>192</v>
      </c>
      <c r="D59" s="207" t="s">
        <v>47</v>
      </c>
      <c r="E59" s="210" t="s">
        <v>172</v>
      </c>
      <c r="F59" s="211" t="s">
        <v>223</v>
      </c>
      <c r="G59" s="206">
        <v>31.23</v>
      </c>
      <c r="H59" s="435">
        <f t="shared" si="7"/>
        <v>0</v>
      </c>
      <c r="I59" s="54"/>
      <c r="J59" s="428"/>
      <c r="K59" s="428"/>
      <c r="L59" s="428"/>
      <c r="M59" s="428"/>
      <c r="N59" s="428"/>
      <c r="O59" s="428"/>
      <c r="P59" s="428"/>
      <c r="Q59" s="428"/>
      <c r="R59" s="428"/>
      <c r="S59" s="428"/>
      <c r="T59" s="428"/>
      <c r="U59" s="428"/>
    </row>
    <row r="60" spans="1:23" x14ac:dyDescent="0.25">
      <c r="A60" s="11"/>
      <c r="B60" s="102" t="s">
        <v>222</v>
      </c>
      <c r="C60" s="207" t="s">
        <v>192</v>
      </c>
      <c r="D60" s="207" t="s">
        <v>47</v>
      </c>
      <c r="E60" s="210" t="s">
        <v>172</v>
      </c>
      <c r="F60" s="211" t="s">
        <v>223</v>
      </c>
      <c r="G60" s="206">
        <v>31.23</v>
      </c>
      <c r="H60" s="435">
        <f t="shared" si="7"/>
        <v>0</v>
      </c>
      <c r="I60" s="54"/>
      <c r="J60" s="428"/>
      <c r="K60" s="428"/>
      <c r="L60" s="428"/>
      <c r="M60" s="428"/>
      <c r="N60" s="428"/>
      <c r="O60" s="428"/>
      <c r="P60" s="428"/>
      <c r="Q60" s="428"/>
      <c r="R60" s="428"/>
      <c r="S60" s="428"/>
      <c r="T60" s="428"/>
      <c r="U60" s="428"/>
    </row>
    <row r="61" spans="1:23" x14ac:dyDescent="0.25">
      <c r="A61" s="11"/>
      <c r="B61" s="102" t="s">
        <v>34</v>
      </c>
      <c r="C61" s="207" t="s">
        <v>192</v>
      </c>
      <c r="D61" s="207" t="s">
        <v>47</v>
      </c>
      <c r="E61" s="210" t="s">
        <v>172</v>
      </c>
      <c r="F61" s="211"/>
      <c r="G61" s="206"/>
      <c r="H61" s="435">
        <f t="shared" si="7"/>
        <v>0</v>
      </c>
      <c r="I61" s="54"/>
      <c r="J61" s="428"/>
      <c r="K61" s="428"/>
      <c r="L61" s="428"/>
      <c r="M61" s="428"/>
      <c r="N61" s="428"/>
      <c r="O61" s="428"/>
      <c r="P61" s="428"/>
      <c r="Q61" s="428"/>
      <c r="R61" s="428"/>
      <c r="S61" s="428"/>
      <c r="T61" s="428"/>
      <c r="U61" s="428"/>
    </row>
    <row r="62" spans="1:23" x14ac:dyDescent="0.25">
      <c r="A62" s="11"/>
      <c r="B62" s="102" t="s">
        <v>37</v>
      </c>
      <c r="C62" s="207" t="s">
        <v>192</v>
      </c>
      <c r="D62" s="207" t="s">
        <v>47</v>
      </c>
      <c r="E62" s="210" t="s">
        <v>172</v>
      </c>
      <c r="F62" s="211"/>
      <c r="G62" s="206"/>
      <c r="H62" s="435">
        <f t="shared" si="7"/>
        <v>0</v>
      </c>
      <c r="I62" s="54"/>
      <c r="J62" s="428"/>
      <c r="K62" s="428"/>
      <c r="L62" s="428"/>
      <c r="M62" s="428"/>
      <c r="N62" s="428"/>
      <c r="O62" s="428"/>
      <c r="P62" s="428"/>
      <c r="Q62" s="428"/>
      <c r="R62" s="428"/>
      <c r="S62" s="428"/>
      <c r="T62" s="428"/>
      <c r="U62" s="428"/>
    </row>
    <row r="63" spans="1:23" x14ac:dyDescent="0.25">
      <c r="A63" s="11"/>
      <c r="B63" s="102" t="s">
        <v>174</v>
      </c>
      <c r="C63" s="207" t="s">
        <v>192</v>
      </c>
      <c r="D63" s="207" t="s">
        <v>47</v>
      </c>
      <c r="E63" s="210" t="s">
        <v>172</v>
      </c>
      <c r="F63" s="211"/>
      <c r="G63" s="206"/>
      <c r="H63" s="435">
        <f t="shared" si="7"/>
        <v>0</v>
      </c>
      <c r="I63" s="54"/>
      <c r="J63" s="428"/>
      <c r="K63" s="428"/>
      <c r="L63" s="428"/>
      <c r="M63" s="428"/>
      <c r="N63" s="428"/>
      <c r="O63" s="428"/>
      <c r="P63" s="428"/>
      <c r="Q63" s="428"/>
      <c r="R63" s="428"/>
      <c r="S63" s="428"/>
      <c r="T63" s="428"/>
      <c r="U63" s="428"/>
    </row>
    <row r="64" spans="1:23" x14ac:dyDescent="0.25">
      <c r="A64" s="11"/>
      <c r="B64" s="102" t="s">
        <v>175</v>
      </c>
      <c r="C64" s="207" t="s">
        <v>192</v>
      </c>
      <c r="D64" s="207" t="s">
        <v>47</v>
      </c>
      <c r="E64" s="210" t="s">
        <v>221</v>
      </c>
      <c r="F64" s="211" t="s">
        <v>224</v>
      </c>
      <c r="G64" s="206">
        <v>52.85</v>
      </c>
      <c r="H64" s="435">
        <f t="shared" si="7"/>
        <v>0</v>
      </c>
      <c r="I64" s="54"/>
      <c r="J64" s="428"/>
      <c r="K64" s="428"/>
      <c r="L64" s="428"/>
      <c r="M64" s="428"/>
      <c r="N64" s="428"/>
      <c r="O64" s="428"/>
      <c r="P64" s="428"/>
      <c r="Q64" s="428"/>
      <c r="R64" s="428"/>
      <c r="S64" s="428"/>
      <c r="T64" s="428"/>
      <c r="U64" s="428"/>
    </row>
    <row r="65" spans="1:23" x14ac:dyDescent="0.25">
      <c r="A65" s="11"/>
      <c r="B65" s="102" t="s">
        <v>176</v>
      </c>
      <c r="C65" s="207" t="s">
        <v>192</v>
      </c>
      <c r="D65" s="207" t="s">
        <v>47</v>
      </c>
      <c r="E65" s="210" t="s">
        <v>221</v>
      </c>
      <c r="F65" s="211" t="s">
        <v>224</v>
      </c>
      <c r="G65" s="206">
        <v>52.85</v>
      </c>
      <c r="H65" s="435">
        <f t="shared" si="7"/>
        <v>0</v>
      </c>
      <c r="I65" s="54"/>
      <c r="J65" s="428"/>
      <c r="K65" s="428"/>
      <c r="L65" s="428"/>
      <c r="M65" s="428"/>
      <c r="N65" s="428"/>
      <c r="O65" s="428"/>
      <c r="P65" s="428"/>
      <c r="Q65" s="428"/>
      <c r="R65" s="428"/>
      <c r="S65" s="428"/>
      <c r="T65" s="428"/>
      <c r="U65" s="428"/>
    </row>
    <row r="66" spans="1:23" x14ac:dyDescent="0.25">
      <c r="A66" s="11"/>
      <c r="B66" s="102" t="s">
        <v>23</v>
      </c>
      <c r="C66" s="207" t="s">
        <v>192</v>
      </c>
      <c r="D66" s="207" t="s">
        <v>47</v>
      </c>
      <c r="E66" s="210" t="s">
        <v>221</v>
      </c>
      <c r="F66" s="211" t="s">
        <v>224</v>
      </c>
      <c r="G66" s="206">
        <v>52.85</v>
      </c>
      <c r="H66" s="435">
        <f t="shared" si="7"/>
        <v>0</v>
      </c>
      <c r="I66" s="54"/>
      <c r="J66" s="428"/>
      <c r="K66" s="428"/>
      <c r="L66" s="428"/>
      <c r="M66" s="428"/>
      <c r="N66" s="428"/>
      <c r="O66" s="428"/>
      <c r="P66" s="428"/>
      <c r="Q66" s="428"/>
      <c r="R66" s="428"/>
      <c r="S66" s="428"/>
      <c r="T66" s="428"/>
      <c r="U66" s="428"/>
    </row>
    <row r="67" spans="1:23" x14ac:dyDescent="0.25">
      <c r="A67" s="11"/>
      <c r="B67" s="102" t="s">
        <v>24</v>
      </c>
      <c r="C67" s="207" t="s">
        <v>192</v>
      </c>
      <c r="D67" s="207" t="s">
        <v>47</v>
      </c>
      <c r="E67" s="208" t="s">
        <v>221</v>
      </c>
      <c r="F67" s="211" t="s">
        <v>224</v>
      </c>
      <c r="G67" s="206">
        <v>52.85</v>
      </c>
      <c r="H67" s="435">
        <f t="shared" si="7"/>
        <v>0</v>
      </c>
      <c r="I67" s="54"/>
      <c r="J67" s="428"/>
      <c r="K67" s="428"/>
      <c r="L67" s="428"/>
      <c r="M67" s="428"/>
      <c r="N67" s="428"/>
      <c r="O67" s="428"/>
      <c r="P67" s="428"/>
      <c r="Q67" s="428"/>
      <c r="R67" s="428"/>
      <c r="S67" s="428"/>
      <c r="T67" s="428"/>
      <c r="U67" s="428"/>
    </row>
    <row r="68" spans="1:23" x14ac:dyDescent="0.25">
      <c r="A68" s="11"/>
      <c r="B68" s="212" t="s">
        <v>26</v>
      </c>
      <c r="C68" s="207" t="s">
        <v>192</v>
      </c>
      <c r="D68" s="207" t="s">
        <v>47</v>
      </c>
      <c r="E68" s="210" t="s">
        <v>221</v>
      </c>
      <c r="F68" s="211" t="s">
        <v>224</v>
      </c>
      <c r="G68" s="206">
        <v>52.85</v>
      </c>
      <c r="H68" s="435">
        <f t="shared" si="7"/>
        <v>0</v>
      </c>
      <c r="I68" s="54"/>
      <c r="J68" s="428"/>
      <c r="K68" s="428"/>
      <c r="L68" s="428"/>
      <c r="M68" s="428"/>
      <c r="N68" s="428"/>
      <c r="O68" s="428"/>
      <c r="P68" s="428"/>
      <c r="Q68" s="428"/>
      <c r="R68" s="428"/>
      <c r="S68" s="428"/>
      <c r="T68" s="428"/>
      <c r="U68" s="428"/>
    </row>
    <row r="69" spans="1:23" x14ac:dyDescent="0.25">
      <c r="A69" s="11"/>
      <c r="B69" s="102" t="s">
        <v>27</v>
      </c>
      <c r="C69" s="207" t="s">
        <v>192</v>
      </c>
      <c r="D69" s="207" t="s">
        <v>47</v>
      </c>
      <c r="E69" s="210" t="s">
        <v>221</v>
      </c>
      <c r="F69" s="211" t="s">
        <v>224</v>
      </c>
      <c r="G69" s="206">
        <v>52.85</v>
      </c>
      <c r="H69" s="435">
        <f t="shared" si="7"/>
        <v>0</v>
      </c>
      <c r="I69" s="54"/>
      <c r="J69" s="428"/>
      <c r="K69" s="428"/>
      <c r="L69" s="428"/>
      <c r="M69" s="428"/>
      <c r="N69" s="428"/>
      <c r="O69" s="428"/>
      <c r="P69" s="428"/>
      <c r="Q69" s="428"/>
      <c r="R69" s="428"/>
      <c r="S69" s="428"/>
      <c r="T69" s="428"/>
      <c r="U69" s="428"/>
    </row>
    <row r="70" spans="1:23" x14ac:dyDescent="0.25">
      <c r="A70" s="11"/>
      <c r="B70" s="102" t="s">
        <v>28</v>
      </c>
      <c r="C70" s="207" t="s">
        <v>192</v>
      </c>
      <c r="D70" s="207" t="s">
        <v>47</v>
      </c>
      <c r="E70" s="210" t="s">
        <v>221</v>
      </c>
      <c r="F70" s="211" t="s">
        <v>224</v>
      </c>
      <c r="G70" s="206">
        <v>52.85</v>
      </c>
      <c r="H70" s="435">
        <f t="shared" si="7"/>
        <v>0</v>
      </c>
      <c r="I70" s="54"/>
      <c r="J70" s="428"/>
      <c r="K70" s="428"/>
      <c r="L70" s="428"/>
      <c r="M70" s="428"/>
      <c r="N70" s="428"/>
      <c r="O70" s="428"/>
      <c r="P70" s="428"/>
      <c r="Q70" s="428"/>
      <c r="R70" s="428"/>
      <c r="S70" s="428"/>
      <c r="T70" s="428"/>
      <c r="U70" s="428"/>
    </row>
    <row r="71" spans="1:23" x14ac:dyDescent="0.25">
      <c r="A71" s="11"/>
      <c r="B71" s="212" t="s">
        <v>29</v>
      </c>
      <c r="C71" s="207" t="s">
        <v>192</v>
      </c>
      <c r="D71" s="207" t="s">
        <v>47</v>
      </c>
      <c r="E71" s="208" t="s">
        <v>221</v>
      </c>
      <c r="F71" s="211" t="s">
        <v>224</v>
      </c>
      <c r="G71" s="206">
        <v>52.85</v>
      </c>
      <c r="H71" s="435">
        <f t="shared" si="7"/>
        <v>0</v>
      </c>
      <c r="I71" s="54"/>
      <c r="J71" s="428"/>
      <c r="K71" s="428"/>
      <c r="L71" s="428"/>
      <c r="M71" s="428"/>
      <c r="N71" s="428"/>
      <c r="O71" s="428"/>
      <c r="P71" s="428"/>
      <c r="Q71" s="428"/>
      <c r="R71" s="428"/>
      <c r="S71" s="428"/>
      <c r="T71" s="428"/>
      <c r="U71" s="428"/>
    </row>
    <row r="72" spans="1:23" x14ac:dyDescent="0.25">
      <c r="A72" s="11"/>
      <c r="B72" s="212" t="s">
        <v>31</v>
      </c>
      <c r="C72" s="207" t="s">
        <v>192</v>
      </c>
      <c r="D72" s="207" t="s">
        <v>47</v>
      </c>
      <c r="E72" s="208" t="s">
        <v>221</v>
      </c>
      <c r="F72" s="211" t="s">
        <v>224</v>
      </c>
      <c r="G72" s="206">
        <v>52.85</v>
      </c>
      <c r="H72" s="435">
        <f t="shared" si="7"/>
        <v>0</v>
      </c>
      <c r="I72" s="54"/>
      <c r="J72" s="428"/>
      <c r="K72" s="428"/>
      <c r="L72" s="428"/>
      <c r="M72" s="428"/>
      <c r="N72" s="428"/>
      <c r="O72" s="428"/>
      <c r="P72" s="428"/>
      <c r="Q72" s="428"/>
      <c r="R72" s="428"/>
      <c r="S72" s="428"/>
      <c r="T72" s="428"/>
      <c r="U72" s="428"/>
    </row>
    <row r="73" spans="1:23" x14ac:dyDescent="0.25">
      <c r="A73" s="11"/>
      <c r="B73" s="212" t="s">
        <v>32</v>
      </c>
      <c r="C73" s="207" t="s">
        <v>192</v>
      </c>
      <c r="D73" s="207" t="s">
        <v>47</v>
      </c>
      <c r="E73" s="210" t="s">
        <v>221</v>
      </c>
      <c r="F73" s="211" t="s">
        <v>224</v>
      </c>
      <c r="G73" s="206">
        <v>52.85</v>
      </c>
      <c r="H73" s="435">
        <f t="shared" si="7"/>
        <v>0</v>
      </c>
      <c r="I73" s="54"/>
      <c r="J73" s="428"/>
      <c r="K73" s="428"/>
      <c r="L73" s="428"/>
      <c r="M73" s="428"/>
      <c r="N73" s="428"/>
      <c r="O73" s="428"/>
      <c r="P73" s="428"/>
      <c r="Q73" s="428"/>
      <c r="R73" s="428"/>
      <c r="S73" s="428"/>
      <c r="T73" s="428"/>
      <c r="U73" s="428"/>
    </row>
    <row r="74" spans="1:23" x14ac:dyDescent="0.25">
      <c r="A74" s="11"/>
      <c r="B74" s="102" t="s">
        <v>33</v>
      </c>
      <c r="C74" s="207" t="s">
        <v>192</v>
      </c>
      <c r="D74" s="207" t="s">
        <v>47</v>
      </c>
      <c r="E74" s="210" t="s">
        <v>221</v>
      </c>
      <c r="F74" s="211" t="s">
        <v>224</v>
      </c>
      <c r="G74" s="206">
        <v>52.85</v>
      </c>
      <c r="H74" s="435">
        <f t="shared" si="7"/>
        <v>0</v>
      </c>
      <c r="I74" s="54"/>
      <c r="J74" s="428"/>
      <c r="K74" s="428"/>
      <c r="L74" s="428"/>
      <c r="M74" s="428"/>
      <c r="N74" s="428"/>
      <c r="O74" s="428"/>
      <c r="P74" s="428"/>
      <c r="Q74" s="428"/>
      <c r="R74" s="428"/>
      <c r="S74" s="428"/>
      <c r="T74" s="428"/>
      <c r="U74" s="428"/>
    </row>
    <row r="75" spans="1:23" x14ac:dyDescent="0.25">
      <c r="A75" s="11"/>
      <c r="B75" s="212" t="s">
        <v>35</v>
      </c>
      <c r="C75" s="207" t="s">
        <v>192</v>
      </c>
      <c r="D75" s="207" t="s">
        <v>47</v>
      </c>
      <c r="E75" s="208"/>
      <c r="F75" s="213"/>
      <c r="G75" s="206"/>
      <c r="H75" s="435">
        <f t="shared" si="7"/>
        <v>0</v>
      </c>
      <c r="I75" s="54"/>
      <c r="J75" s="428"/>
      <c r="K75" s="428"/>
      <c r="L75" s="428"/>
      <c r="M75" s="428"/>
      <c r="N75" s="428"/>
      <c r="O75" s="428"/>
      <c r="P75" s="428"/>
      <c r="Q75" s="428"/>
      <c r="R75" s="428"/>
      <c r="S75" s="428"/>
      <c r="T75" s="428"/>
      <c r="U75" s="428"/>
    </row>
    <row r="76" spans="1:23" x14ac:dyDescent="0.25">
      <c r="A76" s="11"/>
      <c r="B76" s="212" t="s">
        <v>36</v>
      </c>
      <c r="C76" s="207" t="s">
        <v>192</v>
      </c>
      <c r="D76" s="207" t="s">
        <v>47</v>
      </c>
      <c r="E76" s="208"/>
      <c r="F76" s="209"/>
      <c r="G76" s="206"/>
      <c r="H76" s="435">
        <f t="shared" si="7"/>
        <v>0</v>
      </c>
      <c r="I76" s="54"/>
      <c r="J76" s="428"/>
      <c r="K76" s="428"/>
      <c r="L76" s="428"/>
      <c r="M76" s="428"/>
      <c r="N76" s="428"/>
      <c r="O76" s="428"/>
      <c r="P76" s="428"/>
      <c r="Q76" s="428"/>
      <c r="R76" s="428"/>
      <c r="S76" s="428"/>
      <c r="T76" s="428"/>
      <c r="U76" s="428"/>
    </row>
    <row r="77" spans="1:23" ht="15.75" thickBot="1" x14ac:dyDescent="0.3">
      <c r="A77" s="84"/>
      <c r="B77" s="214" t="s">
        <v>38</v>
      </c>
      <c r="C77" s="215" t="s">
        <v>192</v>
      </c>
      <c r="D77" s="215" t="s">
        <v>47</v>
      </c>
      <c r="E77" s="216"/>
      <c r="F77" s="217"/>
      <c r="G77" s="206"/>
      <c r="H77" s="435">
        <f t="shared" si="7"/>
        <v>0</v>
      </c>
      <c r="I77" s="54"/>
      <c r="J77" s="428"/>
      <c r="K77" s="428"/>
      <c r="L77" s="428"/>
      <c r="M77" s="428"/>
      <c r="N77" s="428"/>
      <c r="O77" s="428"/>
      <c r="P77" s="428"/>
      <c r="Q77" s="428"/>
      <c r="R77" s="428"/>
      <c r="S77" s="428"/>
      <c r="T77" s="428"/>
      <c r="U77" s="428"/>
    </row>
    <row r="78" spans="1:23" ht="16.5" thickTop="1" thickBot="1" x14ac:dyDescent="0.3">
      <c r="A78" s="11"/>
      <c r="B78" s="85"/>
      <c r="C78" s="86"/>
      <c r="D78" s="86"/>
      <c r="E78" s="87"/>
      <c r="F78" s="88"/>
      <c r="G78" s="89">
        <f>IFERROR(H78/W16,0)</f>
        <v>0</v>
      </c>
      <c r="H78" s="434">
        <f>SUM(H56:H77)</f>
        <v>0</v>
      </c>
      <c r="I78" s="76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2"/>
      <c r="W78" s="67">
        <f>SUM(J78:U78)</f>
        <v>0</v>
      </c>
    </row>
    <row r="79" spans="1:23" ht="15.75" thickBot="1" x14ac:dyDescent="0.3">
      <c r="A79" s="11"/>
      <c r="B79" s="84"/>
      <c r="C79" s="84"/>
      <c r="D79" s="84"/>
      <c r="E79" s="52"/>
      <c r="F79" s="90"/>
      <c r="G79" s="91"/>
      <c r="H79" s="92"/>
      <c r="I79" s="46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</row>
    <row r="80" spans="1:23" ht="15.75" thickBot="1" x14ac:dyDescent="0.3">
      <c r="A80" s="11"/>
      <c r="B80" s="93" t="s">
        <v>48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40"/>
    </row>
    <row r="81" spans="1:21" x14ac:dyDescent="0.25">
      <c r="A81" s="11"/>
      <c r="B81" s="94" t="s">
        <v>49</v>
      </c>
      <c r="C81" s="80" t="s">
        <v>44</v>
      </c>
      <c r="D81" s="42" t="s">
        <v>220</v>
      </c>
      <c r="E81" s="80" t="s">
        <v>50</v>
      </c>
      <c r="F81" s="80" t="s">
        <v>51</v>
      </c>
      <c r="G81" s="80" t="s">
        <v>45</v>
      </c>
      <c r="H81" s="42" t="s">
        <v>18</v>
      </c>
      <c r="I81" s="43"/>
      <c r="J81" s="178">
        <v>45658</v>
      </c>
      <c r="K81" s="178">
        <v>45689</v>
      </c>
      <c r="L81" s="178">
        <v>45717</v>
      </c>
      <c r="M81" s="178">
        <v>45748</v>
      </c>
      <c r="N81" s="178">
        <v>45778</v>
      </c>
      <c r="O81" s="178">
        <v>45809</v>
      </c>
      <c r="P81" s="178">
        <v>45839</v>
      </c>
      <c r="Q81" s="178">
        <v>45870</v>
      </c>
      <c r="R81" s="178">
        <v>45901</v>
      </c>
      <c r="S81" s="178">
        <v>45931</v>
      </c>
      <c r="T81" s="178">
        <v>45962</v>
      </c>
      <c r="U81" s="178">
        <v>45992</v>
      </c>
    </row>
    <row r="82" spans="1:21" x14ac:dyDescent="0.25">
      <c r="A82" s="11"/>
      <c r="B82" s="95" t="s">
        <v>52</v>
      </c>
      <c r="C82" s="330" t="s">
        <v>212</v>
      </c>
      <c r="D82" s="97" t="s">
        <v>53</v>
      </c>
      <c r="E82" s="98"/>
      <c r="F82" s="98"/>
      <c r="G82" s="96"/>
      <c r="H82" s="430">
        <f t="shared" ref="H82:H105" si="8">SUM(J82:U82)</f>
        <v>0</v>
      </c>
      <c r="J82" s="100"/>
      <c r="K82" s="100"/>
      <c r="L82" s="100"/>
      <c r="M82" s="100"/>
      <c r="N82" s="100"/>
      <c r="O82" s="100"/>
      <c r="P82" s="100"/>
      <c r="Q82" s="100"/>
      <c r="R82" s="100"/>
      <c r="S82" s="100"/>
      <c r="T82" s="100"/>
      <c r="U82" s="101"/>
    </row>
    <row r="83" spans="1:21" x14ac:dyDescent="0.25">
      <c r="A83" s="11"/>
      <c r="B83" s="102" t="s">
        <v>227</v>
      </c>
      <c r="C83" s="331" t="s">
        <v>213</v>
      </c>
      <c r="D83" s="104" t="s">
        <v>53</v>
      </c>
      <c r="E83" s="103">
        <v>699</v>
      </c>
      <c r="F83" s="103">
        <v>3675</v>
      </c>
      <c r="G83" s="103"/>
      <c r="H83" s="430">
        <f t="shared" si="8"/>
        <v>0</v>
      </c>
      <c r="I83" s="46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1"/>
    </row>
    <row r="84" spans="1:21" x14ac:dyDescent="0.25">
      <c r="A84" s="11"/>
      <c r="B84" s="102" t="s">
        <v>54</v>
      </c>
      <c r="C84" s="331" t="s">
        <v>216</v>
      </c>
      <c r="D84" s="104" t="s">
        <v>53</v>
      </c>
      <c r="E84" s="103">
        <v>699</v>
      </c>
      <c r="F84" s="103">
        <v>3691</v>
      </c>
      <c r="G84" s="103"/>
      <c r="H84" s="430">
        <f t="shared" si="8"/>
        <v>0</v>
      </c>
      <c r="I84" s="46"/>
      <c r="J84" s="100"/>
      <c r="K84" s="100"/>
      <c r="L84" s="100"/>
      <c r="M84" s="100"/>
      <c r="N84" s="100"/>
      <c r="O84" s="100"/>
      <c r="P84" s="100"/>
      <c r="Q84" s="100"/>
      <c r="R84" s="100"/>
      <c r="S84" s="100"/>
      <c r="T84" s="100"/>
      <c r="U84" s="101"/>
    </row>
    <row r="85" spans="1:21" x14ac:dyDescent="0.25">
      <c r="A85" s="11"/>
      <c r="B85" s="102" t="s">
        <v>55</v>
      </c>
      <c r="C85" s="331" t="s">
        <v>217</v>
      </c>
      <c r="D85" s="104" t="s">
        <v>53</v>
      </c>
      <c r="E85" s="103">
        <v>699</v>
      </c>
      <c r="F85" s="103">
        <v>3677</v>
      </c>
      <c r="G85" s="103"/>
      <c r="H85" s="430">
        <f t="shared" si="8"/>
        <v>0</v>
      </c>
      <c r="J85" s="100"/>
      <c r="K85" s="100"/>
      <c r="L85" s="100"/>
      <c r="M85" s="100"/>
      <c r="N85" s="100"/>
      <c r="O85" s="100"/>
      <c r="P85" s="100"/>
      <c r="Q85" s="100"/>
      <c r="R85" s="100"/>
      <c r="S85" s="100"/>
      <c r="T85" s="100"/>
      <c r="U85" s="101"/>
    </row>
    <row r="86" spans="1:21" x14ac:dyDescent="0.25">
      <c r="A86" s="11"/>
      <c r="B86" s="105" t="s">
        <v>228</v>
      </c>
      <c r="C86" s="103">
        <v>721</v>
      </c>
      <c r="D86" s="104" t="s">
        <v>53</v>
      </c>
      <c r="E86" s="103">
        <v>699</v>
      </c>
      <c r="F86" s="103">
        <v>3671</v>
      </c>
      <c r="G86" s="103"/>
      <c r="H86" s="430">
        <f t="shared" si="8"/>
        <v>0</v>
      </c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1"/>
    </row>
    <row r="87" spans="1:21" x14ac:dyDescent="0.25">
      <c r="A87" s="11"/>
      <c r="B87" s="105" t="s">
        <v>56</v>
      </c>
      <c r="C87" s="331" t="s">
        <v>218</v>
      </c>
      <c r="D87" s="104" t="s">
        <v>53</v>
      </c>
      <c r="E87" s="103">
        <v>699</v>
      </c>
      <c r="F87" s="103">
        <v>3669</v>
      </c>
      <c r="G87" s="103"/>
      <c r="H87" s="430">
        <f t="shared" si="8"/>
        <v>0</v>
      </c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1"/>
    </row>
    <row r="88" spans="1:21" x14ac:dyDescent="0.25">
      <c r="A88" s="11"/>
      <c r="B88" s="105" t="s">
        <v>57</v>
      </c>
      <c r="C88" s="331" t="s">
        <v>219</v>
      </c>
      <c r="D88" s="104" t="s">
        <v>53</v>
      </c>
      <c r="E88" s="103">
        <v>699</v>
      </c>
      <c r="F88" s="103">
        <v>3665</v>
      </c>
      <c r="G88" s="103"/>
      <c r="H88" s="430">
        <f t="shared" si="8"/>
        <v>0</v>
      </c>
      <c r="J88" s="100"/>
      <c r="K88" s="100"/>
      <c r="L88" s="100"/>
      <c r="M88" s="100"/>
      <c r="N88" s="100"/>
      <c r="O88" s="100"/>
      <c r="P88" s="100"/>
      <c r="Q88" s="100"/>
      <c r="R88" s="100"/>
      <c r="S88" s="100"/>
      <c r="T88" s="100"/>
      <c r="U88" s="101"/>
    </row>
    <row r="89" spans="1:21" x14ac:dyDescent="0.25">
      <c r="A89" s="11"/>
      <c r="B89" s="105" t="s">
        <v>229</v>
      </c>
      <c r="C89" s="331" t="s">
        <v>215</v>
      </c>
      <c r="D89" s="104" t="s">
        <v>53</v>
      </c>
      <c r="E89" s="103">
        <v>699</v>
      </c>
      <c r="F89" s="103">
        <v>3963</v>
      </c>
      <c r="G89" s="103"/>
      <c r="H89" s="430">
        <f t="shared" si="8"/>
        <v>0</v>
      </c>
      <c r="I89" s="46"/>
      <c r="J89" s="100"/>
      <c r="K89" s="100"/>
      <c r="L89" s="100"/>
      <c r="M89" s="100"/>
      <c r="N89" s="100"/>
      <c r="O89" s="100"/>
      <c r="P89" s="100"/>
      <c r="Q89" s="100"/>
      <c r="R89" s="100"/>
      <c r="S89" s="100"/>
      <c r="T89" s="100"/>
      <c r="U89" s="101"/>
    </row>
    <row r="90" spans="1:21" x14ac:dyDescent="0.25">
      <c r="A90" s="11"/>
      <c r="B90" s="105" t="s">
        <v>238</v>
      </c>
      <c r="C90" s="331" t="s">
        <v>214</v>
      </c>
      <c r="D90" s="104" t="s">
        <v>59</v>
      </c>
      <c r="E90" s="103"/>
      <c r="F90" s="103"/>
      <c r="G90" s="103"/>
      <c r="H90" s="430">
        <f t="shared" si="8"/>
        <v>0</v>
      </c>
      <c r="I90" s="46"/>
      <c r="J90" s="420"/>
      <c r="K90" s="420"/>
      <c r="L90" s="420"/>
      <c r="M90" s="420"/>
      <c r="N90" s="420"/>
      <c r="O90" s="420"/>
      <c r="P90" s="420"/>
      <c r="Q90" s="420"/>
      <c r="R90" s="420"/>
      <c r="S90" s="420"/>
      <c r="T90" s="420"/>
      <c r="U90" s="429"/>
    </row>
    <row r="91" spans="1:21" x14ac:dyDescent="0.25">
      <c r="A91" s="11"/>
      <c r="B91" s="105" t="s">
        <v>225</v>
      </c>
      <c r="C91" s="103">
        <v>720</v>
      </c>
      <c r="D91" s="104" t="s">
        <v>59</v>
      </c>
      <c r="E91" s="103"/>
      <c r="F91" s="103"/>
      <c r="G91" s="103"/>
      <c r="H91" s="430">
        <f t="shared" si="8"/>
        <v>0</v>
      </c>
      <c r="I91" s="46"/>
      <c r="J91" s="420">
        <f t="shared" ref="J91:U91" si="9">J115</f>
        <v>0</v>
      </c>
      <c r="K91" s="420">
        <f t="shared" si="9"/>
        <v>0</v>
      </c>
      <c r="L91" s="420">
        <f t="shared" si="9"/>
        <v>0</v>
      </c>
      <c r="M91" s="420">
        <f t="shared" si="9"/>
        <v>0</v>
      </c>
      <c r="N91" s="420">
        <f t="shared" si="9"/>
        <v>0</v>
      </c>
      <c r="O91" s="420">
        <f t="shared" si="9"/>
        <v>0</v>
      </c>
      <c r="P91" s="420">
        <f t="shared" si="9"/>
        <v>0</v>
      </c>
      <c r="Q91" s="420">
        <f t="shared" si="9"/>
        <v>0</v>
      </c>
      <c r="R91" s="420">
        <f t="shared" si="9"/>
        <v>0</v>
      </c>
      <c r="S91" s="420">
        <f t="shared" si="9"/>
        <v>0</v>
      </c>
      <c r="T91" s="420">
        <f t="shared" si="9"/>
        <v>0</v>
      </c>
      <c r="U91" s="429">
        <f t="shared" si="9"/>
        <v>0</v>
      </c>
    </row>
    <row r="92" spans="1:21" x14ac:dyDescent="0.25">
      <c r="A92" s="11"/>
      <c r="B92" s="105" t="s">
        <v>226</v>
      </c>
      <c r="C92" s="103">
        <v>720</v>
      </c>
      <c r="D92" s="104" t="s">
        <v>59</v>
      </c>
      <c r="E92" s="103"/>
      <c r="F92" s="103"/>
      <c r="G92" s="103"/>
      <c r="H92" s="430">
        <f t="shared" si="8"/>
        <v>0</v>
      </c>
      <c r="J92" s="420"/>
      <c r="K92" s="420"/>
      <c r="L92" s="420"/>
      <c r="M92" s="420"/>
      <c r="N92" s="420"/>
      <c r="O92" s="420"/>
      <c r="P92" s="420"/>
      <c r="Q92" s="420"/>
      <c r="R92" s="420"/>
      <c r="S92" s="420"/>
      <c r="T92" s="420"/>
      <c r="U92" s="429"/>
    </row>
    <row r="93" spans="1:21" x14ac:dyDescent="0.25">
      <c r="A93" s="11"/>
      <c r="B93" s="105" t="s">
        <v>205</v>
      </c>
      <c r="C93" s="103">
        <v>720</v>
      </c>
      <c r="D93" s="104" t="s">
        <v>59</v>
      </c>
      <c r="E93" s="103"/>
      <c r="F93" s="103"/>
      <c r="G93" s="103"/>
      <c r="H93" s="430">
        <f t="shared" si="8"/>
        <v>0</v>
      </c>
      <c r="J93" s="420"/>
      <c r="K93" s="420"/>
      <c r="L93" s="420"/>
      <c r="M93" s="420"/>
      <c r="N93" s="420"/>
      <c r="O93" s="420"/>
      <c r="P93" s="420"/>
      <c r="Q93" s="420"/>
      <c r="R93" s="420"/>
      <c r="S93" s="420"/>
      <c r="T93" s="420"/>
      <c r="U93" s="429"/>
    </row>
    <row r="94" spans="1:21" x14ac:dyDescent="0.25">
      <c r="A94" s="11"/>
      <c r="B94" s="105" t="s">
        <v>60</v>
      </c>
      <c r="C94" s="331" t="s">
        <v>194</v>
      </c>
      <c r="D94" s="104" t="s">
        <v>59</v>
      </c>
      <c r="E94" s="103"/>
      <c r="F94" s="103"/>
      <c r="G94" s="103"/>
      <c r="H94" s="430">
        <f t="shared" si="8"/>
        <v>0</v>
      </c>
      <c r="J94" s="420">
        <f t="shared" ref="J94:U94" si="10">J119</f>
        <v>0</v>
      </c>
      <c r="K94" s="420">
        <f t="shared" si="10"/>
        <v>0</v>
      </c>
      <c r="L94" s="420">
        <f t="shared" si="10"/>
        <v>0</v>
      </c>
      <c r="M94" s="420">
        <f t="shared" si="10"/>
        <v>0</v>
      </c>
      <c r="N94" s="420">
        <f t="shared" si="10"/>
        <v>0</v>
      </c>
      <c r="O94" s="420">
        <f t="shared" si="10"/>
        <v>0</v>
      </c>
      <c r="P94" s="420">
        <f t="shared" si="10"/>
        <v>0</v>
      </c>
      <c r="Q94" s="420">
        <f t="shared" si="10"/>
        <v>0</v>
      </c>
      <c r="R94" s="420">
        <f t="shared" si="10"/>
        <v>0</v>
      </c>
      <c r="S94" s="420">
        <f t="shared" si="10"/>
        <v>0</v>
      </c>
      <c r="T94" s="420">
        <f t="shared" si="10"/>
        <v>0</v>
      </c>
      <c r="U94" s="429">
        <f t="shared" si="10"/>
        <v>0</v>
      </c>
    </row>
    <row r="95" spans="1:21" x14ac:dyDescent="0.25">
      <c r="A95" s="11"/>
      <c r="B95" s="105" t="s">
        <v>80</v>
      </c>
      <c r="C95" s="331" t="s">
        <v>194</v>
      </c>
      <c r="D95" s="104" t="s">
        <v>59</v>
      </c>
      <c r="E95" s="103"/>
      <c r="F95" s="103"/>
      <c r="G95" s="103"/>
      <c r="H95" s="430">
        <f t="shared" si="8"/>
        <v>0</v>
      </c>
      <c r="J95" s="420">
        <f t="shared" ref="J95:U95" si="11">J120</f>
        <v>0</v>
      </c>
      <c r="K95" s="420">
        <f t="shared" si="11"/>
        <v>0</v>
      </c>
      <c r="L95" s="420">
        <f t="shared" si="11"/>
        <v>0</v>
      </c>
      <c r="M95" s="420">
        <f t="shared" si="11"/>
        <v>0</v>
      </c>
      <c r="N95" s="420">
        <f t="shared" si="11"/>
        <v>0</v>
      </c>
      <c r="O95" s="420">
        <f t="shared" si="11"/>
        <v>0</v>
      </c>
      <c r="P95" s="420">
        <f t="shared" si="11"/>
        <v>0</v>
      </c>
      <c r="Q95" s="420">
        <f t="shared" si="11"/>
        <v>0</v>
      </c>
      <c r="R95" s="420">
        <f t="shared" si="11"/>
        <v>0</v>
      </c>
      <c r="S95" s="420">
        <f t="shared" si="11"/>
        <v>0</v>
      </c>
      <c r="T95" s="420">
        <f t="shared" si="11"/>
        <v>0</v>
      </c>
      <c r="U95" s="429">
        <f t="shared" si="11"/>
        <v>0</v>
      </c>
    </row>
    <row r="96" spans="1:21" x14ac:dyDescent="0.25">
      <c r="A96" s="11"/>
      <c r="B96" s="105" t="s">
        <v>230</v>
      </c>
      <c r="C96" s="104">
        <v>305</v>
      </c>
      <c r="D96" s="332" t="s">
        <v>61</v>
      </c>
      <c r="E96" s="103"/>
      <c r="F96" s="103"/>
      <c r="G96" s="103"/>
      <c r="H96" s="430">
        <f t="shared" si="8"/>
        <v>0</v>
      </c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1"/>
    </row>
    <row r="97" spans="1:23" x14ac:dyDescent="0.25">
      <c r="A97" s="11"/>
      <c r="B97" s="105" t="s">
        <v>231</v>
      </c>
      <c r="C97" s="104">
        <v>306</v>
      </c>
      <c r="D97" s="332" t="s">
        <v>61</v>
      </c>
      <c r="E97" s="103"/>
      <c r="F97" s="103"/>
      <c r="G97" s="103"/>
      <c r="H97" s="430">
        <f t="shared" si="8"/>
        <v>0</v>
      </c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1"/>
    </row>
    <row r="98" spans="1:23" x14ac:dyDescent="0.25">
      <c r="A98" s="11"/>
      <c r="B98" s="105" t="s">
        <v>232</v>
      </c>
      <c r="C98" s="334" t="s">
        <v>195</v>
      </c>
      <c r="D98" s="332" t="s">
        <v>62</v>
      </c>
      <c r="E98" s="103"/>
      <c r="F98" s="103"/>
      <c r="G98" s="103"/>
      <c r="H98" s="430">
        <f t="shared" si="8"/>
        <v>0</v>
      </c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1"/>
    </row>
    <row r="99" spans="1:23" x14ac:dyDescent="0.25">
      <c r="A99" s="11"/>
      <c r="B99" s="105" t="s">
        <v>233</v>
      </c>
      <c r="C99" s="334" t="s">
        <v>196</v>
      </c>
      <c r="D99" s="332" t="s">
        <v>62</v>
      </c>
      <c r="E99" s="103"/>
      <c r="F99" s="103"/>
      <c r="G99" s="103"/>
      <c r="H99" s="430">
        <f t="shared" si="8"/>
        <v>0</v>
      </c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1"/>
    </row>
    <row r="100" spans="1:23" x14ac:dyDescent="0.25">
      <c r="A100" s="11"/>
      <c r="B100" s="105" t="s">
        <v>235</v>
      </c>
      <c r="C100" s="334" t="s">
        <v>197</v>
      </c>
      <c r="D100" s="104" t="s">
        <v>63</v>
      </c>
      <c r="E100" s="103"/>
      <c r="F100" s="103"/>
      <c r="G100" s="103"/>
      <c r="H100" s="430">
        <f t="shared" si="8"/>
        <v>0</v>
      </c>
      <c r="J100" s="100"/>
      <c r="K100" s="100"/>
      <c r="L100" s="100"/>
      <c r="M100" s="100"/>
      <c r="N100" s="100"/>
      <c r="O100" s="100"/>
      <c r="P100" s="100"/>
      <c r="Q100" s="100"/>
      <c r="R100" s="100"/>
      <c r="S100" s="100"/>
      <c r="T100" s="100"/>
      <c r="U100" s="101"/>
    </row>
    <row r="101" spans="1:23" x14ac:dyDescent="0.25">
      <c r="A101" s="11"/>
      <c r="B101" s="105" t="s">
        <v>64</v>
      </c>
      <c r="C101" s="334" t="s">
        <v>198</v>
      </c>
      <c r="D101" s="104" t="s">
        <v>63</v>
      </c>
      <c r="E101" s="104"/>
      <c r="F101" s="103"/>
      <c r="G101" s="344">
        <f>IFERROR(H101/$W$16,0)</f>
        <v>0</v>
      </c>
      <c r="H101" s="430">
        <f t="shared" si="8"/>
        <v>0</v>
      </c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1"/>
    </row>
    <row r="102" spans="1:23" x14ac:dyDescent="0.25">
      <c r="A102" s="11"/>
      <c r="B102" s="105" t="s">
        <v>65</v>
      </c>
      <c r="C102" s="334" t="s">
        <v>199</v>
      </c>
      <c r="D102" s="104" t="s">
        <v>63</v>
      </c>
      <c r="E102" s="104">
        <v>365</v>
      </c>
      <c r="F102" s="103"/>
      <c r="G102" s="103"/>
      <c r="H102" s="430">
        <f t="shared" si="8"/>
        <v>0</v>
      </c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1"/>
    </row>
    <row r="103" spans="1:23" x14ac:dyDescent="0.25">
      <c r="A103" s="11"/>
      <c r="B103" s="105" t="s">
        <v>66</v>
      </c>
      <c r="C103" s="334" t="s">
        <v>200</v>
      </c>
      <c r="D103" s="104" t="s">
        <v>67</v>
      </c>
      <c r="E103" s="103">
        <v>338</v>
      </c>
      <c r="F103" s="103"/>
      <c r="G103" s="344">
        <v>0.33</v>
      </c>
      <c r="H103" s="430">
        <f t="shared" si="8"/>
        <v>0</v>
      </c>
      <c r="I103" s="46"/>
      <c r="J103" s="420">
        <f t="shared" ref="J103:U103" si="12">$G$103*J16</f>
        <v>0</v>
      </c>
      <c r="K103" s="420">
        <f t="shared" si="12"/>
        <v>0</v>
      </c>
      <c r="L103" s="420">
        <f t="shared" si="12"/>
        <v>0</v>
      </c>
      <c r="M103" s="420">
        <f t="shared" si="12"/>
        <v>0</v>
      </c>
      <c r="N103" s="420">
        <f t="shared" si="12"/>
        <v>0</v>
      </c>
      <c r="O103" s="420">
        <f t="shared" si="12"/>
        <v>0</v>
      </c>
      <c r="P103" s="420">
        <f t="shared" si="12"/>
        <v>0</v>
      </c>
      <c r="Q103" s="420">
        <f t="shared" si="12"/>
        <v>0</v>
      </c>
      <c r="R103" s="420">
        <f t="shared" si="12"/>
        <v>0</v>
      </c>
      <c r="S103" s="420">
        <f t="shared" si="12"/>
        <v>0</v>
      </c>
      <c r="T103" s="420">
        <f t="shared" si="12"/>
        <v>0</v>
      </c>
      <c r="U103" s="420">
        <f t="shared" si="12"/>
        <v>0</v>
      </c>
    </row>
    <row r="104" spans="1:23" x14ac:dyDescent="0.25">
      <c r="A104" s="11"/>
      <c r="B104" s="105" t="s">
        <v>234</v>
      </c>
      <c r="C104" s="104">
        <v>351</v>
      </c>
      <c r="D104" s="104" t="s">
        <v>67</v>
      </c>
      <c r="E104" s="103">
        <v>324</v>
      </c>
      <c r="F104" s="103"/>
      <c r="G104" s="349">
        <v>1.6000000000000001E-3</v>
      </c>
      <c r="H104" s="430">
        <f t="shared" si="8"/>
        <v>0</v>
      </c>
      <c r="J104" s="420">
        <f t="shared" ref="J104:U104" si="13">$G$104*J46/100</f>
        <v>0</v>
      </c>
      <c r="K104" s="420">
        <f t="shared" si="13"/>
        <v>0</v>
      </c>
      <c r="L104" s="420">
        <f t="shared" si="13"/>
        <v>0</v>
      </c>
      <c r="M104" s="420">
        <f t="shared" si="13"/>
        <v>0</v>
      </c>
      <c r="N104" s="420">
        <f t="shared" si="13"/>
        <v>0</v>
      </c>
      <c r="O104" s="420">
        <f t="shared" si="13"/>
        <v>0</v>
      </c>
      <c r="P104" s="420">
        <f t="shared" si="13"/>
        <v>0</v>
      </c>
      <c r="Q104" s="420">
        <f t="shared" si="13"/>
        <v>0</v>
      </c>
      <c r="R104" s="420">
        <f t="shared" si="13"/>
        <v>0</v>
      </c>
      <c r="S104" s="420">
        <f t="shared" si="13"/>
        <v>0</v>
      </c>
      <c r="T104" s="420">
        <f t="shared" si="13"/>
        <v>0</v>
      </c>
      <c r="U104" s="420">
        <f t="shared" si="13"/>
        <v>0</v>
      </c>
    </row>
    <row r="105" spans="1:23" x14ac:dyDescent="0.25">
      <c r="A105" s="11"/>
      <c r="B105" s="106" t="s">
        <v>68</v>
      </c>
      <c r="C105" s="333" t="s">
        <v>201</v>
      </c>
      <c r="D105" s="107" t="s">
        <v>67</v>
      </c>
      <c r="E105" s="107"/>
      <c r="F105" s="108"/>
      <c r="G105" s="344">
        <v>3.75</v>
      </c>
      <c r="H105" s="430">
        <f t="shared" si="8"/>
        <v>0</v>
      </c>
      <c r="J105" s="420">
        <f t="shared" ref="J105:U105" si="14">$G$105*J16</f>
        <v>0</v>
      </c>
      <c r="K105" s="420">
        <f t="shared" si="14"/>
        <v>0</v>
      </c>
      <c r="L105" s="420">
        <f t="shared" si="14"/>
        <v>0</v>
      </c>
      <c r="M105" s="420">
        <f t="shared" si="14"/>
        <v>0</v>
      </c>
      <c r="N105" s="420">
        <f t="shared" si="14"/>
        <v>0</v>
      </c>
      <c r="O105" s="420">
        <f t="shared" si="14"/>
        <v>0</v>
      </c>
      <c r="P105" s="420">
        <f t="shared" si="14"/>
        <v>0</v>
      </c>
      <c r="Q105" s="420">
        <f t="shared" si="14"/>
        <v>0</v>
      </c>
      <c r="R105" s="420">
        <f t="shared" si="14"/>
        <v>0</v>
      </c>
      <c r="S105" s="420">
        <f t="shared" si="14"/>
        <v>0</v>
      </c>
      <c r="T105" s="420">
        <f t="shared" si="14"/>
        <v>0</v>
      </c>
      <c r="U105" s="420">
        <f t="shared" si="14"/>
        <v>0</v>
      </c>
    </row>
    <row r="106" spans="1:23" x14ac:dyDescent="0.25">
      <c r="B106" s="11"/>
      <c r="U106" s="109"/>
    </row>
    <row r="107" spans="1:23" ht="15.75" thickBot="1" x14ac:dyDescent="0.3">
      <c r="A107" s="11"/>
      <c r="B107" s="110" t="s">
        <v>69</v>
      </c>
      <c r="C107" s="33"/>
      <c r="D107" s="33"/>
      <c r="E107" s="33"/>
      <c r="F107" s="33"/>
      <c r="G107" s="436">
        <f>IFERROR(H107/B127,0)</f>
        <v>0</v>
      </c>
      <c r="H107" s="425">
        <f>SUM(H82:H105)</f>
        <v>0</v>
      </c>
      <c r="I107" s="112"/>
      <c r="J107" s="425">
        <f t="shared" ref="J107:U107" si="15">SUM(J82:J105)</f>
        <v>0</v>
      </c>
      <c r="K107" s="425">
        <f t="shared" si="15"/>
        <v>0</v>
      </c>
      <c r="L107" s="425">
        <f t="shared" si="15"/>
        <v>0</v>
      </c>
      <c r="M107" s="425">
        <f t="shared" si="15"/>
        <v>0</v>
      </c>
      <c r="N107" s="425">
        <f t="shared" si="15"/>
        <v>0</v>
      </c>
      <c r="O107" s="425">
        <f t="shared" si="15"/>
        <v>0</v>
      </c>
      <c r="P107" s="425">
        <f t="shared" si="15"/>
        <v>0</v>
      </c>
      <c r="Q107" s="425">
        <f t="shared" si="15"/>
        <v>0</v>
      </c>
      <c r="R107" s="425">
        <f t="shared" si="15"/>
        <v>0</v>
      </c>
      <c r="S107" s="425">
        <f t="shared" si="15"/>
        <v>0</v>
      </c>
      <c r="T107" s="425">
        <f t="shared" si="15"/>
        <v>0</v>
      </c>
      <c r="U107" s="426">
        <f t="shared" si="15"/>
        <v>0</v>
      </c>
    </row>
    <row r="108" spans="1:23" ht="15.75" thickBot="1" x14ac:dyDescent="0.3"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</row>
    <row r="109" spans="1:23" ht="16.5" thickTop="1" thickBot="1" x14ac:dyDescent="0.3">
      <c r="B109" s="113" t="s">
        <v>70</v>
      </c>
      <c r="C109" s="114"/>
      <c r="D109" s="114"/>
      <c r="E109" s="114"/>
      <c r="F109" s="114"/>
      <c r="G109" s="115"/>
      <c r="H109" s="431">
        <f>H51+H78+H107</f>
        <v>0</v>
      </c>
      <c r="I109" s="115"/>
      <c r="J109" s="431">
        <f t="shared" ref="J109:U109" si="16">J51+J78+J107</f>
        <v>0</v>
      </c>
      <c r="K109" s="431">
        <f t="shared" si="16"/>
        <v>0</v>
      </c>
      <c r="L109" s="431">
        <f t="shared" si="16"/>
        <v>0</v>
      </c>
      <c r="M109" s="431">
        <f t="shared" si="16"/>
        <v>0</v>
      </c>
      <c r="N109" s="431">
        <f t="shared" si="16"/>
        <v>0</v>
      </c>
      <c r="O109" s="431">
        <f t="shared" si="16"/>
        <v>0</v>
      </c>
      <c r="P109" s="431">
        <f t="shared" si="16"/>
        <v>0</v>
      </c>
      <c r="Q109" s="431">
        <f t="shared" si="16"/>
        <v>0</v>
      </c>
      <c r="R109" s="431">
        <f t="shared" si="16"/>
        <v>0</v>
      </c>
      <c r="S109" s="431">
        <f t="shared" si="16"/>
        <v>0</v>
      </c>
      <c r="T109" s="431">
        <f t="shared" si="16"/>
        <v>0</v>
      </c>
      <c r="U109" s="432">
        <f t="shared" si="16"/>
        <v>0</v>
      </c>
      <c r="W109" s="67">
        <f>SUM(J109:U109)</f>
        <v>0</v>
      </c>
    </row>
    <row r="110" spans="1:23" ht="15.75" thickBot="1" x14ac:dyDescent="0.3">
      <c r="J110" s="222"/>
      <c r="K110" s="222"/>
      <c r="L110" s="222"/>
    </row>
    <row r="111" spans="1:23" ht="16.5" thickTop="1" thickBot="1" x14ac:dyDescent="0.3">
      <c r="B111" s="113" t="s">
        <v>71</v>
      </c>
      <c r="C111" s="114"/>
      <c r="D111" s="114"/>
      <c r="E111" s="114"/>
      <c r="F111" s="114"/>
      <c r="G111" s="114"/>
      <c r="H111" s="431">
        <f>H46-H109</f>
        <v>0</v>
      </c>
      <c r="I111" s="115"/>
      <c r="J111" s="431">
        <f t="shared" ref="J111:U111" si="17">J46-J109</f>
        <v>0</v>
      </c>
      <c r="K111" s="431">
        <f t="shared" si="17"/>
        <v>0</v>
      </c>
      <c r="L111" s="431">
        <f t="shared" si="17"/>
        <v>0</v>
      </c>
      <c r="M111" s="431">
        <f t="shared" si="17"/>
        <v>0</v>
      </c>
      <c r="N111" s="431">
        <f t="shared" si="17"/>
        <v>0</v>
      </c>
      <c r="O111" s="431">
        <f t="shared" si="17"/>
        <v>0</v>
      </c>
      <c r="P111" s="431">
        <f t="shared" si="17"/>
        <v>0</v>
      </c>
      <c r="Q111" s="431">
        <f t="shared" si="17"/>
        <v>0</v>
      </c>
      <c r="R111" s="431">
        <f t="shared" si="17"/>
        <v>0</v>
      </c>
      <c r="S111" s="431">
        <f t="shared" si="17"/>
        <v>0</v>
      </c>
      <c r="T111" s="431">
        <f t="shared" si="17"/>
        <v>0</v>
      </c>
      <c r="U111" s="432">
        <f t="shared" si="17"/>
        <v>0</v>
      </c>
      <c r="W111" s="67">
        <f>SUM(J111:U111)</f>
        <v>0</v>
      </c>
    </row>
    <row r="112" spans="1:23" ht="15.75" thickBot="1" x14ac:dyDescent="0.3">
      <c r="K112" s="131"/>
    </row>
    <row r="113" spans="2:21" x14ac:dyDescent="0.25">
      <c r="B113" s="71" t="s">
        <v>72</v>
      </c>
      <c r="C113" s="80" t="s">
        <v>44</v>
      </c>
      <c r="D113" s="42" t="s">
        <v>220</v>
      </c>
      <c r="E113" s="42" t="s">
        <v>203</v>
      </c>
      <c r="F113" s="42" t="s">
        <v>240</v>
      </c>
      <c r="G113" s="42" t="s">
        <v>239</v>
      </c>
      <c r="H113" s="9"/>
      <c r="I113" s="118"/>
      <c r="J113" s="448" t="s">
        <v>73</v>
      </c>
      <c r="K113" s="448"/>
      <c r="L113" s="448"/>
      <c r="M113" s="448"/>
      <c r="N113" s="448"/>
      <c r="O113" s="448"/>
      <c r="P113" s="448"/>
      <c r="Q113" s="448"/>
      <c r="R113" s="448"/>
      <c r="S113" s="448"/>
      <c r="T113" s="448"/>
      <c r="U113" s="449"/>
    </row>
    <row r="114" spans="2:21" x14ac:dyDescent="0.25">
      <c r="B114" s="119" t="s">
        <v>74</v>
      </c>
      <c r="C114" s="340">
        <v>720</v>
      </c>
      <c r="D114" s="120" t="s">
        <v>59</v>
      </c>
      <c r="E114" s="121" t="s">
        <v>75</v>
      </c>
      <c r="F114" s="123"/>
      <c r="G114" s="345"/>
      <c r="H114" s="122"/>
      <c r="J114" s="123"/>
      <c r="K114" s="123"/>
      <c r="L114" s="123"/>
      <c r="M114" s="123"/>
      <c r="N114" s="123"/>
      <c r="O114" s="123"/>
      <c r="P114" s="123"/>
      <c r="Q114" s="123"/>
      <c r="R114" s="123"/>
      <c r="S114" s="123"/>
      <c r="T114" s="123"/>
      <c r="U114" s="124"/>
    </row>
    <row r="115" spans="2:21" x14ac:dyDescent="0.25">
      <c r="B115" s="119" t="s">
        <v>76</v>
      </c>
      <c r="C115" s="340">
        <v>720</v>
      </c>
      <c r="D115" s="120" t="s">
        <v>59</v>
      </c>
      <c r="E115" s="121" t="s">
        <v>75</v>
      </c>
      <c r="F115" s="123"/>
      <c r="G115" s="345">
        <f>IFERROR(H115/F115,0)</f>
        <v>0</v>
      </c>
      <c r="H115" s="122"/>
      <c r="J115" s="123"/>
      <c r="K115" s="123"/>
      <c r="L115" s="123"/>
      <c r="M115" s="123"/>
      <c r="N115" s="123"/>
      <c r="O115" s="123"/>
      <c r="P115" s="123"/>
      <c r="Q115" s="123"/>
      <c r="R115" s="123"/>
      <c r="S115" s="123"/>
      <c r="T115" s="123"/>
      <c r="U115" s="124"/>
    </row>
    <row r="116" spans="2:21" x14ac:dyDescent="0.25">
      <c r="B116" s="119" t="s">
        <v>77</v>
      </c>
      <c r="C116" s="340">
        <v>720</v>
      </c>
      <c r="D116" s="120" t="s">
        <v>59</v>
      </c>
      <c r="E116" s="121" t="s">
        <v>75</v>
      </c>
      <c r="F116" s="123"/>
      <c r="G116" s="345"/>
      <c r="H116" s="122"/>
      <c r="J116" s="123"/>
      <c r="K116" s="123"/>
      <c r="L116" s="123"/>
      <c r="M116" s="123"/>
      <c r="N116" s="123"/>
      <c r="O116" s="123"/>
      <c r="P116" s="123"/>
      <c r="Q116" s="123"/>
      <c r="R116" s="123"/>
      <c r="S116" s="123"/>
      <c r="T116" s="123"/>
      <c r="U116" s="124"/>
    </row>
    <row r="117" spans="2:21" x14ac:dyDescent="0.25">
      <c r="B117" s="119" t="s">
        <v>78</v>
      </c>
      <c r="C117" s="340">
        <v>720</v>
      </c>
      <c r="D117" s="120" t="s">
        <v>59</v>
      </c>
      <c r="E117" s="121" t="s">
        <v>75</v>
      </c>
      <c r="F117" s="123"/>
      <c r="G117" s="345"/>
      <c r="H117" s="122"/>
      <c r="J117" s="123"/>
      <c r="K117" s="123"/>
      <c r="L117" s="123"/>
      <c r="M117" s="123"/>
      <c r="N117" s="123"/>
      <c r="O117" s="123"/>
      <c r="P117" s="123"/>
      <c r="Q117" s="123"/>
      <c r="R117" s="123"/>
      <c r="S117" s="123"/>
      <c r="T117" s="123"/>
      <c r="U117" s="124"/>
    </row>
    <row r="118" spans="2:21" x14ac:dyDescent="0.25">
      <c r="B118" s="119" t="s">
        <v>205</v>
      </c>
      <c r="C118" s="340">
        <v>720</v>
      </c>
      <c r="D118" s="120" t="s">
        <v>59</v>
      </c>
      <c r="E118" s="121" t="s">
        <v>206</v>
      </c>
      <c r="F118" s="123"/>
      <c r="G118" s="345"/>
      <c r="H118" s="122"/>
      <c r="J118" s="123"/>
      <c r="K118" s="123"/>
      <c r="L118" s="123"/>
      <c r="M118" s="123"/>
      <c r="N118" s="123"/>
      <c r="O118" s="123"/>
      <c r="P118" s="123"/>
      <c r="Q118" s="123"/>
      <c r="R118" s="123"/>
      <c r="S118" s="123"/>
      <c r="T118" s="123"/>
      <c r="U118" s="124"/>
    </row>
    <row r="119" spans="2:21" x14ac:dyDescent="0.25">
      <c r="B119" s="119" t="s">
        <v>60</v>
      </c>
      <c r="C119" s="341" t="s">
        <v>194</v>
      </c>
      <c r="D119" s="120" t="s">
        <v>59</v>
      </c>
      <c r="E119" s="121" t="s">
        <v>79</v>
      </c>
      <c r="F119" s="123"/>
      <c r="G119" s="345">
        <f>IFERROR(H119/F119,0)</f>
        <v>0</v>
      </c>
      <c r="H119" s="122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4"/>
    </row>
    <row r="120" spans="2:21" x14ac:dyDescent="0.25">
      <c r="B120" s="119" t="s">
        <v>80</v>
      </c>
      <c r="C120" s="341" t="s">
        <v>194</v>
      </c>
      <c r="D120" s="120" t="s">
        <v>59</v>
      </c>
      <c r="E120" s="121" t="s">
        <v>81</v>
      </c>
      <c r="F120" s="123"/>
      <c r="G120" s="345">
        <f>IFERROR(H120/F120,0)</f>
        <v>0</v>
      </c>
      <c r="H120" s="122"/>
      <c r="J120" s="123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339"/>
    </row>
    <row r="121" spans="2:21" x14ac:dyDescent="0.25">
      <c r="B121" s="336" t="s">
        <v>237</v>
      </c>
      <c r="C121" s="342" t="s">
        <v>195</v>
      </c>
      <c r="D121" s="337" t="s">
        <v>62</v>
      </c>
      <c r="E121" s="338" t="s">
        <v>79</v>
      </c>
      <c r="F121" s="123"/>
      <c r="G121" s="345"/>
      <c r="H121" s="122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339"/>
    </row>
    <row r="122" spans="2:21" ht="15.75" thickBot="1" x14ac:dyDescent="0.3">
      <c r="B122" s="125" t="s">
        <v>236</v>
      </c>
      <c r="C122" s="343" t="s">
        <v>195</v>
      </c>
      <c r="D122" s="126" t="s">
        <v>62</v>
      </c>
      <c r="E122" s="127" t="s">
        <v>81</v>
      </c>
      <c r="F122" s="381"/>
      <c r="G122" s="346"/>
      <c r="H122" s="128">
        <v>0</v>
      </c>
      <c r="I122" s="33"/>
      <c r="J122" s="129"/>
      <c r="K122" s="129"/>
      <c r="L122" s="129"/>
      <c r="M122" s="129"/>
      <c r="N122" s="129"/>
      <c r="O122" s="129"/>
      <c r="P122" s="129"/>
      <c r="Q122" s="129"/>
      <c r="R122" s="129"/>
      <c r="S122" s="129"/>
      <c r="T122" s="129"/>
      <c r="U122" s="130"/>
    </row>
    <row r="123" spans="2:21" x14ac:dyDescent="0.25">
      <c r="J123" s="131"/>
      <c r="K123" s="131"/>
      <c r="L123" s="131"/>
      <c r="M123" s="131"/>
      <c r="N123" s="131"/>
      <c r="O123" s="131"/>
      <c r="P123" s="131"/>
      <c r="Q123" s="131"/>
      <c r="R123" s="131"/>
      <c r="S123" s="131"/>
      <c r="T123" s="131"/>
      <c r="U123" s="131"/>
    </row>
    <row r="124" spans="2:21" ht="15.75" thickBot="1" x14ac:dyDescent="0.3">
      <c r="J124" s="131"/>
      <c r="K124" s="131"/>
      <c r="L124" s="131"/>
      <c r="M124" s="131"/>
      <c r="N124" s="131"/>
      <c r="O124" s="131"/>
      <c r="P124" s="131"/>
      <c r="Q124" s="131"/>
      <c r="R124" s="131"/>
      <c r="S124" s="131"/>
      <c r="T124" s="131"/>
      <c r="U124" s="131"/>
    </row>
    <row r="125" spans="2:21" x14ac:dyDescent="0.25">
      <c r="B125" s="71" t="s">
        <v>82</v>
      </c>
      <c r="C125" s="9"/>
      <c r="D125" s="9"/>
      <c r="E125" s="9"/>
      <c r="F125" s="9"/>
      <c r="G125" s="40"/>
      <c r="J125" s="131"/>
      <c r="K125" s="131"/>
      <c r="L125" s="131"/>
      <c r="M125" s="131"/>
      <c r="N125" s="131"/>
      <c r="O125" s="131"/>
      <c r="P125" s="131"/>
      <c r="Q125" s="131"/>
      <c r="R125" s="131"/>
      <c r="S125" s="131"/>
      <c r="T125" s="131"/>
      <c r="U125" s="131"/>
    </row>
    <row r="126" spans="2:21" x14ac:dyDescent="0.25">
      <c r="B126" s="132" t="s">
        <v>83</v>
      </c>
      <c r="C126" s="43" t="s">
        <v>84</v>
      </c>
      <c r="D126"/>
      <c r="E126"/>
      <c r="F126" s="450" t="s">
        <v>85</v>
      </c>
      <c r="G126" s="451"/>
      <c r="I126" s="131"/>
      <c r="J126" s="131"/>
      <c r="K126" s="131"/>
      <c r="L126" s="131"/>
      <c r="M126" s="131"/>
      <c r="N126" s="131"/>
      <c r="O126" s="131"/>
      <c r="P126" s="131"/>
      <c r="Q126" s="131"/>
      <c r="R126" s="131"/>
      <c r="S126" s="131"/>
      <c r="T126" s="131"/>
    </row>
    <row r="127" spans="2:21" ht="18.75" x14ac:dyDescent="0.3">
      <c r="B127" s="133">
        <f>W16</f>
        <v>0</v>
      </c>
      <c r="C127" s="134"/>
      <c r="D127" s="134"/>
      <c r="E127" s="134"/>
      <c r="F127" s="135"/>
      <c r="G127" s="136"/>
      <c r="I127" s="131"/>
      <c r="J127" s="131"/>
      <c r="K127" s="131"/>
      <c r="L127" s="131"/>
      <c r="M127" s="131"/>
      <c r="N127" s="131"/>
      <c r="O127" s="131"/>
      <c r="P127" s="131"/>
      <c r="Q127" s="131"/>
      <c r="R127" s="131"/>
      <c r="S127" s="131"/>
      <c r="T127" s="131"/>
    </row>
    <row r="128" spans="2:21" x14ac:dyDescent="0.25">
      <c r="B128" s="137" t="s">
        <v>86</v>
      </c>
      <c r="C128" s="134"/>
      <c r="D128" s="134"/>
      <c r="E128" s="138">
        <f>H46</f>
        <v>0</v>
      </c>
      <c r="F128" s="135"/>
      <c r="G128" s="139" t="e">
        <f>E128/$B$127</f>
        <v>#DIV/0!</v>
      </c>
      <c r="I128" s="131"/>
      <c r="J128" s="131"/>
      <c r="K128" s="131"/>
      <c r="L128" s="131"/>
      <c r="M128" s="131"/>
      <c r="N128" s="131"/>
      <c r="O128" s="131"/>
      <c r="P128" s="131"/>
      <c r="Q128" s="131"/>
      <c r="R128" s="131"/>
      <c r="S128" s="131"/>
      <c r="T128" s="131"/>
    </row>
    <row r="129" spans="2:21" ht="9" customHeight="1" x14ac:dyDescent="0.25">
      <c r="B129" s="11"/>
      <c r="C129" s="134"/>
      <c r="D129" s="134"/>
      <c r="E129" s="134"/>
      <c r="F129" s="135"/>
      <c r="G129" s="136"/>
      <c r="I129" s="131"/>
      <c r="J129" s="131"/>
      <c r="K129" s="131"/>
      <c r="L129" s="131"/>
      <c r="M129" s="131"/>
      <c r="N129" s="131"/>
      <c r="O129" s="131"/>
      <c r="P129" s="131"/>
      <c r="Q129" s="131"/>
      <c r="R129" s="131"/>
      <c r="S129" s="131"/>
      <c r="T129" s="131"/>
    </row>
    <row r="130" spans="2:21" x14ac:dyDescent="0.25">
      <c r="B130" s="137" t="s">
        <v>87</v>
      </c>
      <c r="C130" s="134"/>
      <c r="D130" s="134"/>
      <c r="E130" s="134"/>
      <c r="F130" s="135"/>
      <c r="G130" s="136"/>
      <c r="I130" s="131"/>
      <c r="J130" s="131"/>
      <c r="K130" s="131"/>
      <c r="L130" s="131"/>
      <c r="M130" s="131"/>
      <c r="N130" s="131"/>
      <c r="O130" s="131"/>
      <c r="P130" s="131"/>
      <c r="Q130" s="131"/>
      <c r="R130" s="131"/>
      <c r="S130" s="131"/>
      <c r="T130" s="131"/>
    </row>
    <row r="131" spans="2:21" x14ac:dyDescent="0.25">
      <c r="B131" s="24" t="s">
        <v>88</v>
      </c>
      <c r="C131" s="138">
        <f>H51+H82+H83+H84+H89</f>
        <v>0</v>
      </c>
      <c r="D131" s="138"/>
      <c r="E131" s="134"/>
      <c r="F131" s="140" t="e">
        <f t="shared" ref="F131:F138" si="18">C131/$B$127</f>
        <v>#DIV/0!</v>
      </c>
      <c r="G131" s="136"/>
      <c r="I131" s="131"/>
      <c r="J131" s="131"/>
      <c r="K131" s="131"/>
      <c r="L131" s="131"/>
      <c r="M131" s="131"/>
      <c r="N131" s="131"/>
      <c r="O131" s="131"/>
      <c r="P131" s="131"/>
      <c r="Q131" s="131"/>
      <c r="R131" s="131"/>
      <c r="S131" s="131"/>
      <c r="T131" s="131"/>
    </row>
    <row r="132" spans="2:21" x14ac:dyDescent="0.25">
      <c r="B132" s="24" t="s">
        <v>89</v>
      </c>
      <c r="C132" s="138">
        <f>H78</f>
        <v>0</v>
      </c>
      <c r="D132" s="138"/>
      <c r="E132" s="134"/>
      <c r="F132" s="140" t="e">
        <f t="shared" si="18"/>
        <v>#DIV/0!</v>
      </c>
      <c r="G132" s="136"/>
      <c r="I132" s="131"/>
      <c r="J132" s="131"/>
      <c r="K132" s="131"/>
      <c r="L132" s="131"/>
      <c r="M132" s="131"/>
      <c r="N132" s="131"/>
      <c r="O132" s="131"/>
      <c r="P132" s="131"/>
      <c r="Q132" s="131"/>
      <c r="R132" s="131"/>
      <c r="S132" s="131"/>
      <c r="T132" s="131"/>
    </row>
    <row r="133" spans="2:21" x14ac:dyDescent="0.25">
      <c r="B133" s="24" t="s">
        <v>59</v>
      </c>
      <c r="C133" s="138">
        <f>H90+H91+H92</f>
        <v>0</v>
      </c>
      <c r="D133" s="138"/>
      <c r="E133" s="134"/>
      <c r="F133" s="140" t="e">
        <f t="shared" si="18"/>
        <v>#DIV/0!</v>
      </c>
      <c r="G133" s="136"/>
      <c r="I133" s="131"/>
      <c r="J133" s="131"/>
      <c r="K133" s="131"/>
      <c r="L133" s="131"/>
      <c r="M133" s="131"/>
      <c r="N133" s="131"/>
      <c r="O133" s="131"/>
      <c r="P133" s="131"/>
      <c r="Q133" s="131"/>
      <c r="R133" s="131"/>
      <c r="S133" s="131"/>
      <c r="T133" s="131"/>
    </row>
    <row r="134" spans="2:21" x14ac:dyDescent="0.25">
      <c r="B134" s="24" t="s">
        <v>90</v>
      </c>
      <c r="C134" s="138">
        <f>H95+H96</f>
        <v>0</v>
      </c>
      <c r="D134" s="138"/>
      <c r="E134" s="134"/>
      <c r="F134" s="140" t="e">
        <f t="shared" si="18"/>
        <v>#DIV/0!</v>
      </c>
      <c r="G134" s="136"/>
      <c r="I134" s="131"/>
      <c r="J134" s="131"/>
      <c r="K134" s="131"/>
      <c r="L134" s="131"/>
      <c r="M134" s="131"/>
      <c r="N134" s="131"/>
      <c r="O134" s="131"/>
      <c r="P134" s="131"/>
      <c r="Q134" s="131"/>
      <c r="R134" s="131"/>
      <c r="S134" s="131"/>
      <c r="T134" s="131"/>
    </row>
    <row r="135" spans="2:21" x14ac:dyDescent="0.25">
      <c r="B135" s="24" t="s">
        <v>91</v>
      </c>
      <c r="C135" s="138">
        <f>H97+H98</f>
        <v>0</v>
      </c>
      <c r="D135" s="138"/>
      <c r="E135" s="134"/>
      <c r="F135" s="140" t="e">
        <f t="shared" si="18"/>
        <v>#DIV/0!</v>
      </c>
      <c r="G135" s="136"/>
      <c r="I135" s="131"/>
      <c r="J135" s="131"/>
      <c r="K135" s="131"/>
      <c r="L135" s="131"/>
      <c r="M135" s="131"/>
      <c r="N135" s="131"/>
      <c r="O135" s="131"/>
      <c r="P135" s="131"/>
      <c r="Q135" s="131"/>
      <c r="R135" s="131"/>
      <c r="S135" s="131"/>
      <c r="T135" s="131"/>
    </row>
    <row r="136" spans="2:21" x14ac:dyDescent="0.25">
      <c r="B136" s="24" t="s">
        <v>63</v>
      </c>
      <c r="C136" s="138">
        <f>H99+H100+H101+H102</f>
        <v>0</v>
      </c>
      <c r="D136" s="138"/>
      <c r="E136" s="134"/>
      <c r="F136" s="140" t="e">
        <f t="shared" si="18"/>
        <v>#DIV/0!</v>
      </c>
      <c r="G136" s="136"/>
      <c r="I136" s="131"/>
      <c r="J136" s="131"/>
      <c r="K136" s="131"/>
      <c r="L136" s="131"/>
      <c r="M136" s="131"/>
      <c r="N136" s="131"/>
      <c r="O136" s="131"/>
      <c r="P136" s="131"/>
      <c r="Q136" s="131"/>
      <c r="R136" s="131"/>
      <c r="S136" s="131"/>
      <c r="T136" s="131"/>
    </row>
    <row r="137" spans="2:21" x14ac:dyDescent="0.25">
      <c r="B137" s="24" t="s">
        <v>68</v>
      </c>
      <c r="C137" s="138">
        <f>H105</f>
        <v>0</v>
      </c>
      <c r="D137" s="138"/>
      <c r="E137" s="134"/>
      <c r="F137" s="140" t="e">
        <f t="shared" si="18"/>
        <v>#DIV/0!</v>
      </c>
      <c r="G137" s="136"/>
      <c r="I137" s="131"/>
      <c r="J137" s="131"/>
      <c r="K137" s="131"/>
      <c r="L137" s="131"/>
      <c r="M137" s="131"/>
      <c r="N137" s="131"/>
      <c r="O137" s="131"/>
      <c r="P137" s="131"/>
      <c r="Q137" s="131"/>
      <c r="R137" s="131"/>
      <c r="S137" s="131"/>
      <c r="T137" s="131"/>
    </row>
    <row r="138" spans="2:21" x14ac:dyDescent="0.25">
      <c r="B138" s="24" t="s">
        <v>92</v>
      </c>
      <c r="C138" s="141">
        <f>+H103+H104</f>
        <v>0</v>
      </c>
      <c r="D138" s="141"/>
      <c r="E138" s="141">
        <f>SUM(C131:C138)</f>
        <v>0</v>
      </c>
      <c r="F138" s="142" t="e">
        <f t="shared" si="18"/>
        <v>#DIV/0!</v>
      </c>
      <c r="G138" s="143" t="e">
        <f>SUM(F131:F138)</f>
        <v>#DIV/0!</v>
      </c>
      <c r="I138" s="131"/>
      <c r="J138" s="131"/>
      <c r="K138" s="131"/>
      <c r="L138" s="131"/>
      <c r="M138" s="131"/>
      <c r="N138" s="131"/>
      <c r="O138" s="131"/>
      <c r="P138" s="131"/>
      <c r="Q138" s="131"/>
      <c r="R138" s="131"/>
      <c r="S138" s="131"/>
      <c r="T138" s="131"/>
    </row>
    <row r="139" spans="2:21" ht="19.5" thickBot="1" x14ac:dyDescent="0.35">
      <c r="B139" s="32"/>
      <c r="C139" s="144"/>
      <c r="D139" s="144"/>
      <c r="E139" s="145">
        <f>E128-E138</f>
        <v>0</v>
      </c>
      <c r="F139" s="146"/>
      <c r="G139" s="147" t="e">
        <f>G128-G138</f>
        <v>#DIV/0!</v>
      </c>
      <c r="I139" s="131"/>
      <c r="J139" s="131"/>
      <c r="K139" s="131"/>
      <c r="L139" s="131"/>
      <c r="M139" s="131"/>
      <c r="N139" s="131"/>
      <c r="O139" s="131"/>
      <c r="P139" s="131"/>
      <c r="Q139" s="131"/>
      <c r="R139" s="131"/>
      <c r="S139" s="131"/>
      <c r="T139" s="131"/>
    </row>
    <row r="140" spans="2:21" x14ac:dyDescent="0.25">
      <c r="J140" s="131"/>
      <c r="K140" s="131"/>
      <c r="L140" s="131"/>
      <c r="M140" s="131"/>
      <c r="N140" s="131"/>
      <c r="O140" s="131"/>
      <c r="P140" s="131"/>
      <c r="Q140" s="131"/>
      <c r="R140" s="131"/>
      <c r="S140" s="131"/>
      <c r="T140" s="131"/>
      <c r="U140" s="131"/>
    </row>
    <row r="141" spans="2:21" x14ac:dyDescent="0.25">
      <c r="B141" s="150" t="s">
        <v>93</v>
      </c>
      <c r="J141" s="131"/>
      <c r="K141" s="131"/>
      <c r="L141" s="131"/>
      <c r="M141" s="131"/>
      <c r="N141" s="131"/>
      <c r="O141" s="131"/>
      <c r="P141" s="131"/>
      <c r="Q141" s="131"/>
      <c r="R141" s="131"/>
      <c r="S141" s="131"/>
      <c r="T141" s="131"/>
      <c r="U141" s="131"/>
    </row>
    <row r="142" spans="2:21" x14ac:dyDescent="0.25">
      <c r="B142" s="151" t="s">
        <v>94</v>
      </c>
      <c r="H142" s="148">
        <f t="shared" ref="H142:H171" si="19">SUM(J142:U142)</f>
        <v>0</v>
      </c>
      <c r="J142" s="131"/>
      <c r="K142" s="131"/>
      <c r="L142" s="131"/>
      <c r="M142" s="131"/>
      <c r="N142" s="131"/>
      <c r="O142" s="131"/>
      <c r="P142" s="131"/>
      <c r="Q142" s="131"/>
      <c r="R142" s="131"/>
      <c r="S142" s="131"/>
      <c r="T142" s="131"/>
      <c r="U142" s="131"/>
    </row>
    <row r="143" spans="2:21" x14ac:dyDescent="0.25">
      <c r="B143" s="151" t="s">
        <v>95</v>
      </c>
      <c r="H143" s="148">
        <f t="shared" si="19"/>
        <v>0</v>
      </c>
    </row>
    <row r="144" spans="2:21" x14ac:dyDescent="0.25">
      <c r="B144" s="151" t="s">
        <v>96</v>
      </c>
      <c r="H144" s="148">
        <f t="shared" si="19"/>
        <v>0</v>
      </c>
    </row>
    <row r="145" spans="2:8" x14ac:dyDescent="0.25">
      <c r="B145" s="151" t="s">
        <v>97</v>
      </c>
      <c r="H145" s="148">
        <f t="shared" si="19"/>
        <v>0</v>
      </c>
    </row>
    <row r="146" spans="2:8" x14ac:dyDescent="0.25">
      <c r="B146" s="151" t="s">
        <v>98</v>
      </c>
      <c r="H146" s="148">
        <f t="shared" si="19"/>
        <v>0</v>
      </c>
    </row>
    <row r="147" spans="2:8" x14ac:dyDescent="0.25">
      <c r="B147" s="151" t="s">
        <v>99</v>
      </c>
      <c r="H147" s="148">
        <f t="shared" si="19"/>
        <v>0</v>
      </c>
    </row>
    <row r="148" spans="2:8" x14ac:dyDescent="0.25">
      <c r="B148" s="151" t="s">
        <v>100</v>
      </c>
      <c r="H148" s="148">
        <f t="shared" si="19"/>
        <v>0</v>
      </c>
    </row>
    <row r="149" spans="2:8" x14ac:dyDescent="0.25">
      <c r="B149" s="151" t="s">
        <v>101</v>
      </c>
      <c r="H149" s="148">
        <f t="shared" si="19"/>
        <v>0</v>
      </c>
    </row>
    <row r="150" spans="2:8" x14ac:dyDescent="0.25">
      <c r="B150" s="151" t="s">
        <v>102</v>
      </c>
      <c r="H150" s="148">
        <f t="shared" si="19"/>
        <v>0</v>
      </c>
    </row>
    <row r="151" spans="2:8" x14ac:dyDescent="0.25">
      <c r="B151" s="151" t="s">
        <v>103</v>
      </c>
      <c r="H151" s="148">
        <f t="shared" si="19"/>
        <v>0</v>
      </c>
    </row>
    <row r="152" spans="2:8" x14ac:dyDescent="0.25">
      <c r="B152" s="151" t="s">
        <v>104</v>
      </c>
      <c r="H152" s="148">
        <f t="shared" si="19"/>
        <v>0</v>
      </c>
    </row>
    <row r="153" spans="2:8" x14ac:dyDescent="0.25">
      <c r="B153" s="151" t="s">
        <v>105</v>
      </c>
      <c r="H153" s="148">
        <f t="shared" si="19"/>
        <v>0</v>
      </c>
    </row>
    <row r="154" spans="2:8" x14ac:dyDescent="0.25">
      <c r="B154" s="151" t="s">
        <v>106</v>
      </c>
      <c r="H154" s="148">
        <f t="shared" si="19"/>
        <v>0</v>
      </c>
    </row>
    <row r="155" spans="2:8" x14ac:dyDescent="0.25">
      <c r="B155" s="151" t="s">
        <v>107</v>
      </c>
      <c r="H155" s="148">
        <f t="shared" si="19"/>
        <v>0</v>
      </c>
    </row>
    <row r="156" spans="2:8" x14ac:dyDescent="0.25">
      <c r="B156" s="151" t="s">
        <v>108</v>
      </c>
      <c r="H156" s="148">
        <f t="shared" si="19"/>
        <v>0</v>
      </c>
    </row>
    <row r="157" spans="2:8" x14ac:dyDescent="0.25">
      <c r="B157" t="s">
        <v>109</v>
      </c>
      <c r="H157" s="148">
        <f t="shared" si="19"/>
        <v>0</v>
      </c>
    </row>
    <row r="158" spans="2:8" x14ac:dyDescent="0.25">
      <c r="B158" t="s">
        <v>110</v>
      </c>
      <c r="H158" s="148">
        <f t="shared" si="19"/>
        <v>0</v>
      </c>
    </row>
    <row r="159" spans="2:8" x14ac:dyDescent="0.25">
      <c r="B159" t="s">
        <v>111</v>
      </c>
      <c r="H159" s="148">
        <f t="shared" si="19"/>
        <v>0</v>
      </c>
    </row>
    <row r="160" spans="2:8" x14ac:dyDescent="0.25">
      <c r="B160" t="s">
        <v>112</v>
      </c>
      <c r="H160" s="148">
        <f t="shared" si="19"/>
        <v>0</v>
      </c>
    </row>
    <row r="161" spans="2:21" x14ac:dyDescent="0.25">
      <c r="B161" t="s">
        <v>113</v>
      </c>
      <c r="H161" s="148">
        <f t="shared" si="19"/>
        <v>0</v>
      </c>
    </row>
    <row r="162" spans="2:21" x14ac:dyDescent="0.25">
      <c r="B162" s="152" t="s">
        <v>114</v>
      </c>
      <c r="H162" s="148">
        <f t="shared" si="19"/>
        <v>0</v>
      </c>
    </row>
    <row r="163" spans="2:21" x14ac:dyDescent="0.25">
      <c r="B163" s="153" t="s">
        <v>115</v>
      </c>
      <c r="H163" s="148">
        <f t="shared" si="19"/>
        <v>0</v>
      </c>
    </row>
    <row r="164" spans="2:21" x14ac:dyDescent="0.25">
      <c r="B164" s="153" t="s">
        <v>116</v>
      </c>
      <c r="H164" s="148">
        <f t="shared" si="19"/>
        <v>0</v>
      </c>
    </row>
    <row r="165" spans="2:21" x14ac:dyDescent="0.25">
      <c r="B165" s="153" t="s">
        <v>117</v>
      </c>
      <c r="H165" s="148">
        <f t="shared" si="19"/>
        <v>0</v>
      </c>
    </row>
    <row r="166" spans="2:21" x14ac:dyDescent="0.25">
      <c r="B166" s="153" t="s">
        <v>90</v>
      </c>
      <c r="H166" s="148">
        <f t="shared" si="19"/>
        <v>0</v>
      </c>
    </row>
    <row r="167" spans="2:21" x14ac:dyDescent="0.25">
      <c r="B167" s="153" t="s">
        <v>118</v>
      </c>
      <c r="H167" s="148">
        <f t="shared" si="19"/>
        <v>0</v>
      </c>
    </row>
    <row r="168" spans="2:21" x14ac:dyDescent="0.25">
      <c r="B168" s="153" t="s">
        <v>119</v>
      </c>
      <c r="H168" s="148">
        <f t="shared" si="19"/>
        <v>0</v>
      </c>
    </row>
    <row r="169" spans="2:21" x14ac:dyDescent="0.25">
      <c r="B169" s="153" t="s">
        <v>120</v>
      </c>
      <c r="H169" s="148">
        <f t="shared" si="19"/>
        <v>0</v>
      </c>
    </row>
    <row r="170" spans="2:21" x14ac:dyDescent="0.25">
      <c r="B170" s="153" t="s">
        <v>121</v>
      </c>
      <c r="H170" s="148">
        <f t="shared" si="19"/>
        <v>0</v>
      </c>
    </row>
    <row r="171" spans="2:21" x14ac:dyDescent="0.25">
      <c r="B171" s="153" t="s">
        <v>122</v>
      </c>
      <c r="H171" s="1">
        <f t="shared" si="19"/>
        <v>0</v>
      </c>
    </row>
    <row r="173" spans="2:21" x14ac:dyDescent="0.25">
      <c r="B173" s="154" t="s">
        <v>2</v>
      </c>
      <c r="C173" s="155"/>
      <c r="D173" s="155"/>
      <c r="E173" s="155"/>
      <c r="F173" s="155"/>
      <c r="G173" s="155"/>
      <c r="H173" s="155"/>
      <c r="I173" s="155"/>
      <c r="J173" s="156">
        <f t="shared" ref="J173:U173" si="20">SUM(J142:J171)</f>
        <v>0</v>
      </c>
      <c r="K173" s="156">
        <f t="shared" si="20"/>
        <v>0</v>
      </c>
      <c r="L173" s="156">
        <f t="shared" si="20"/>
        <v>0</v>
      </c>
      <c r="M173" s="156">
        <f t="shared" si="20"/>
        <v>0</v>
      </c>
      <c r="N173" s="156">
        <f t="shared" si="20"/>
        <v>0</v>
      </c>
      <c r="O173" s="156">
        <f t="shared" si="20"/>
        <v>0</v>
      </c>
      <c r="P173" s="156">
        <f t="shared" si="20"/>
        <v>0</v>
      </c>
      <c r="Q173" s="156">
        <f t="shared" si="20"/>
        <v>0</v>
      </c>
      <c r="R173" s="156">
        <f t="shared" si="20"/>
        <v>0</v>
      </c>
      <c r="S173" s="156">
        <f t="shared" si="20"/>
        <v>0</v>
      </c>
      <c r="T173" s="156">
        <f t="shared" si="20"/>
        <v>0</v>
      </c>
      <c r="U173" s="156">
        <f t="shared" si="20"/>
        <v>0</v>
      </c>
    </row>
  </sheetData>
  <sheetProtection selectLockedCells="1"/>
  <protectedRanges>
    <protectedRange sqref="J4:U13" name="Production"/>
    <protectedRange sqref="C20:C41" name="Grade mix_1"/>
    <protectedRange sqref="F20:G41" name="JAS converions_1_1"/>
  </protectedRanges>
  <mergeCells count="6">
    <mergeCell ref="I7:I9"/>
    <mergeCell ref="I4:I6"/>
    <mergeCell ref="J113:U113"/>
    <mergeCell ref="F126:G126"/>
    <mergeCell ref="I13:I16"/>
    <mergeCell ref="I10:I12"/>
  </mergeCells>
  <dataValidations count="1">
    <dataValidation type="whole" errorStyle="warning" allowBlank="1" showInputMessage="1" showErrorMessage="1" errorTitle="High number of skids" error="Are you sure you are going to build this many skids?" sqref="J118:U122" xr:uid="{6B40031E-62B8-4DB3-AE17-530926594550}">
      <formula1>0</formula1>
      <formula2>10</formula2>
    </dataValidation>
  </dataValidations>
  <pageMargins left="0.70866141732283472" right="0.70866141732283472" top="0.74803149606299213" bottom="0.74803149606299213" header="0.31496062992125984" footer="0.31496062992125984"/>
  <pageSetup paperSize="8" scale="36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F23E5-7759-452E-B8D1-5C0BEC1091BA}">
  <sheetPr codeName="Sheet14">
    <tabColor theme="5" tint="0.39997558519241921"/>
    <pageSetUpPr fitToPage="1"/>
  </sheetPr>
  <dimension ref="A1:X142"/>
  <sheetViews>
    <sheetView zoomScale="80" zoomScaleNormal="80" workbookViewId="0">
      <selection activeCell="I2" sqref="I2"/>
    </sheetView>
  </sheetViews>
  <sheetFormatPr defaultColWidth="9" defaultRowHeight="15" x14ac:dyDescent="0.25"/>
  <cols>
    <col min="1" max="1" width="2.28515625" style="1" customWidth="1"/>
    <col min="2" max="2" width="44" style="1" customWidth="1"/>
    <col min="3" max="3" width="13.85546875" style="1" customWidth="1"/>
    <col min="4" max="4" width="16.140625" style="1" customWidth="1"/>
    <col min="5" max="5" width="17" style="1" customWidth="1"/>
    <col min="6" max="6" width="12.7109375" style="1" customWidth="1"/>
    <col min="7" max="7" width="13.28515625" style="1" bestFit="1" customWidth="1"/>
    <col min="8" max="8" width="21.28515625" style="1" customWidth="1"/>
    <col min="9" max="9" width="10.140625" style="1" customWidth="1"/>
    <col min="10" max="21" width="15.7109375" style="1" bestFit="1" customWidth="1"/>
    <col min="22" max="22" width="5" style="1" customWidth="1"/>
    <col min="23" max="23" width="15.28515625" style="4" bestFit="1" customWidth="1"/>
    <col min="24" max="24" width="17.5703125" style="1" customWidth="1"/>
    <col min="25" max="16384" width="9" style="1"/>
  </cols>
  <sheetData>
    <row r="1" spans="2:24" ht="15.75" thickBot="1" x14ac:dyDescent="0.3">
      <c r="C1" s="2">
        <v>2025</v>
      </c>
      <c r="D1" s="3" t="s">
        <v>0</v>
      </c>
    </row>
    <row r="2" spans="2:24" ht="27" thickBot="1" x14ac:dyDescent="0.45">
      <c r="B2" s="5" t="s">
        <v>268</v>
      </c>
      <c r="G2" s="305"/>
      <c r="H2" s="43" t="s">
        <v>209</v>
      </c>
      <c r="I2" s="404"/>
      <c r="W2" s="6"/>
      <c r="X2" s="7"/>
    </row>
    <row r="3" spans="2:24" ht="15.75" x14ac:dyDescent="0.25">
      <c r="B3" s="8" t="s">
        <v>1</v>
      </c>
      <c r="C3" s="9"/>
      <c r="D3" s="9"/>
      <c r="E3" s="9"/>
      <c r="F3" s="9"/>
      <c r="G3" s="9" t="s">
        <v>241</v>
      </c>
      <c r="H3" s="10"/>
      <c r="I3" s="372">
        <f>IF(NOT(ISBLANK(J5)), J5, IF(NOT(ISBLANK(J8)), J8, IF(NOT(ISBLANK(J11)), J11, 0)))+IF(NOT(ISBLANK(K5)), K5, IF(NOT(ISBLANK(K8)), K8, IF(NOT(ISBLANK(K11)), K11, 0)))+IF(NOT(ISBLANK(L5)), L5, IF(NOT(ISBLANK(L8)), L8, IF(NOT(ISBLANK(L11)), L11, 0)))+IF(NOT(ISBLANK(M5)), M5, IF(NOT(ISBLANK(M8)), M8, IF(NOT(ISBLANK(M11)), M11, 0)))+IF(NOT(ISBLANK(N5)), N5, IF(NOT(ISBLANK(N8)), N8, IF(NOT(ISBLANK(N11)), N11, 0)))+IF(NOT(ISBLANK(O5)), O5, IF(NOT(ISBLANK(O8)), O8, IF(NOT(ISBLANK(O11)), O11, 0)))+IF(NOT(ISBLANK(P5)), P5, IF(NOT(ISBLANK(P8)), P8, IF(NOT(ISBLANK(P11)), P11, 0)))+IF(NOT(ISBLANK(Q5)), Q5, IF(NOT(ISBLANK(Q8)), Q8, IF(NOT(ISBLANK(Q11)), Q11, 0)))+IF(NOT(ISBLANK(R5)), R5, IF(NOT(ISBLANK(R8)), R8, IF(NOT(ISBLANK(R11)), R11, 0)))+IF(NOT(ISBLANK(S5)), S5, IF(NOT(ISBLANK(S8)), S8, IF(NOT(ISBLANK(S11)), S11, 0)))+IF(NOT(ISBLANK(T5)), T5, IF(NOT(ISBLANK(T8)), T8, IF(NOT(ISBLANK(T11)), T11, 0)))+IF(NOT(ISBLANK(U5)), U5, IF(NOT(ISBLANK(U8)), U8, IF(NOT(ISBLANK(U11)), U11, 0)))</f>
        <v>0</v>
      </c>
      <c r="J3" s="178">
        <v>45658</v>
      </c>
      <c r="K3" s="178">
        <v>45689</v>
      </c>
      <c r="L3" s="178">
        <v>45717</v>
      </c>
      <c r="M3" s="178">
        <v>45748</v>
      </c>
      <c r="N3" s="178">
        <v>45778</v>
      </c>
      <c r="O3" s="178">
        <v>45809</v>
      </c>
      <c r="P3" s="178">
        <v>45839</v>
      </c>
      <c r="Q3" s="178">
        <v>45870</v>
      </c>
      <c r="R3" s="178">
        <v>45901</v>
      </c>
      <c r="S3" s="178">
        <v>45931</v>
      </c>
      <c r="T3" s="178">
        <v>45962</v>
      </c>
      <c r="U3" s="178">
        <v>45992</v>
      </c>
      <c r="W3" s="6" t="s">
        <v>2</v>
      </c>
      <c r="X3" s="7"/>
    </row>
    <row r="4" spans="2:24" x14ac:dyDescent="0.25">
      <c r="B4" s="11"/>
      <c r="G4" s="12" t="s">
        <v>7</v>
      </c>
      <c r="H4" s="301" t="s">
        <v>4</v>
      </c>
      <c r="I4" s="452">
        <f>IFERROR((J4*J5+K4*K5+L4*L5+M4*M5+N4*N5+O4*O5+P4*P5+Q4*Q5+R4*R5+S4*S5+T4*T5+U4*U5)/$W$16,0)</f>
        <v>0</v>
      </c>
      <c r="J4" s="352"/>
      <c r="K4" s="352"/>
      <c r="L4" s="352"/>
      <c r="M4" s="352"/>
      <c r="N4" s="353"/>
      <c r="O4" s="353"/>
      <c r="P4" s="353"/>
      <c r="Q4" s="353"/>
      <c r="R4" s="353"/>
      <c r="S4" s="353"/>
      <c r="T4" s="353"/>
      <c r="U4" s="354"/>
      <c r="W4" s="6"/>
      <c r="X4" s="7"/>
    </row>
    <row r="5" spans="2:24" x14ac:dyDescent="0.25">
      <c r="B5" s="11"/>
      <c r="G5" s="16"/>
      <c r="H5" s="1" t="s">
        <v>5</v>
      </c>
      <c r="I5" s="453"/>
      <c r="J5" s="352"/>
      <c r="K5" s="352"/>
      <c r="L5" s="353"/>
      <c r="M5" s="353"/>
      <c r="N5" s="353"/>
      <c r="O5" s="353"/>
      <c r="P5" s="353"/>
      <c r="Q5" s="353"/>
      <c r="R5" s="353"/>
      <c r="S5" s="353"/>
      <c r="T5" s="353"/>
      <c r="U5" s="354"/>
      <c r="W5" s="6"/>
      <c r="X5" s="7"/>
    </row>
    <row r="6" spans="2:24" ht="15.75" thickBot="1" x14ac:dyDescent="0.3">
      <c r="B6" s="11"/>
      <c r="G6" s="17"/>
      <c r="H6" s="302" t="s">
        <v>6</v>
      </c>
      <c r="I6" s="454"/>
      <c r="J6" s="355"/>
      <c r="K6" s="355"/>
      <c r="L6" s="356"/>
      <c r="M6" s="356"/>
      <c r="N6" s="356"/>
      <c r="O6" s="356"/>
      <c r="P6" s="356"/>
      <c r="Q6" s="356"/>
      <c r="R6" s="356"/>
      <c r="S6" s="356"/>
      <c r="T6" s="356"/>
      <c r="U6" s="357"/>
      <c r="W6" s="6"/>
      <c r="X6" s="7"/>
    </row>
    <row r="7" spans="2:24" x14ac:dyDescent="0.25">
      <c r="B7" s="11"/>
      <c r="G7" s="12" t="s">
        <v>3</v>
      </c>
      <c r="H7" s="301" t="s">
        <v>4</v>
      </c>
      <c r="I7" s="452">
        <f>IFERROR((J7*J8+K7*K8+L7*L8+M7*M8+N7*N8+O7*O8+P7*P8+Q7*Q8+R7*R8+S7*S8+T7*T8+U7*U8)/$W$16,0)</f>
        <v>0</v>
      </c>
      <c r="J7" s="358"/>
      <c r="K7" s="358"/>
      <c r="L7" s="358"/>
      <c r="M7" s="358"/>
      <c r="N7" s="358"/>
      <c r="O7" s="358"/>
      <c r="P7" s="358"/>
      <c r="Q7" s="358"/>
      <c r="R7" s="358"/>
      <c r="S7" s="358"/>
      <c r="T7" s="358"/>
      <c r="U7" s="359"/>
      <c r="W7" s="6"/>
      <c r="X7" s="7"/>
    </row>
    <row r="8" spans="2:24" x14ac:dyDescent="0.25">
      <c r="B8" s="11"/>
      <c r="G8" s="16"/>
      <c r="H8" s="1" t="s">
        <v>5</v>
      </c>
      <c r="I8" s="453"/>
      <c r="J8" s="353"/>
      <c r="K8" s="353"/>
      <c r="L8" s="353"/>
      <c r="M8" s="353"/>
      <c r="N8" s="353"/>
      <c r="O8" s="353"/>
      <c r="P8" s="353"/>
      <c r="Q8" s="353"/>
      <c r="R8" s="353"/>
      <c r="S8" s="353"/>
      <c r="T8" s="353"/>
      <c r="U8" s="354"/>
      <c r="W8" s="6"/>
      <c r="X8" s="7"/>
    </row>
    <row r="9" spans="2:24" ht="15.75" thickBot="1" x14ac:dyDescent="0.3">
      <c r="B9" s="11"/>
      <c r="G9" s="17"/>
      <c r="H9" s="302" t="s">
        <v>6</v>
      </c>
      <c r="I9" s="454"/>
      <c r="J9" s="356"/>
      <c r="K9" s="356"/>
      <c r="L9" s="356"/>
      <c r="M9" s="356"/>
      <c r="N9" s="356"/>
      <c r="O9" s="356"/>
      <c r="P9" s="356"/>
      <c r="Q9" s="356"/>
      <c r="R9" s="356"/>
      <c r="S9" s="356"/>
      <c r="T9" s="356"/>
      <c r="U9" s="357"/>
      <c r="W9" s="6"/>
      <c r="X9" s="7"/>
    </row>
    <row r="10" spans="2:24" x14ac:dyDescent="0.25">
      <c r="B10" s="11"/>
      <c r="G10" s="12" t="s">
        <v>8</v>
      </c>
      <c r="H10" s="301" t="s">
        <v>4</v>
      </c>
      <c r="I10" s="452">
        <f>IFERROR((J10*J11+K10*K11+L10*L11+M10*M11+N10*N11+O10*O11+P10*P11+Q10*Q11+R10*R11+S10*S11+T10*T11+U10*U11)/$W$16,0)</f>
        <v>0</v>
      </c>
      <c r="J10" s="353"/>
      <c r="K10" s="353"/>
      <c r="L10" s="353"/>
      <c r="M10" s="353"/>
      <c r="N10" s="353"/>
      <c r="O10" s="353"/>
      <c r="P10" s="353"/>
      <c r="Q10" s="353"/>
      <c r="R10" s="353"/>
      <c r="S10" s="353"/>
      <c r="T10" s="353"/>
      <c r="U10" s="354"/>
      <c r="W10" s="6"/>
      <c r="X10" s="7"/>
    </row>
    <row r="11" spans="2:24" x14ac:dyDescent="0.25">
      <c r="B11" s="11"/>
      <c r="G11" s="16"/>
      <c r="H11" s="1" t="s">
        <v>5</v>
      </c>
      <c r="I11" s="453"/>
      <c r="J11" s="353"/>
      <c r="K11" s="353"/>
      <c r="L11" s="353"/>
      <c r="M11" s="353"/>
      <c r="N11" s="353"/>
      <c r="O11" s="353"/>
      <c r="P11" s="353"/>
      <c r="Q11" s="353"/>
      <c r="R11" s="353"/>
      <c r="S11" s="353"/>
      <c r="T11" s="353"/>
      <c r="U11" s="354"/>
      <c r="W11" s="6"/>
      <c r="X11" s="7"/>
    </row>
    <row r="12" spans="2:24" ht="15.75" thickBot="1" x14ac:dyDescent="0.3">
      <c r="B12" s="11"/>
      <c r="G12" s="17"/>
      <c r="H12" s="302" t="s">
        <v>6</v>
      </c>
      <c r="I12" s="454"/>
      <c r="J12" s="356"/>
      <c r="K12" s="356"/>
      <c r="L12" s="356"/>
      <c r="M12" s="356"/>
      <c r="N12" s="356"/>
      <c r="O12" s="356"/>
      <c r="P12" s="356"/>
      <c r="Q12" s="356"/>
      <c r="R12" s="356"/>
      <c r="S12" s="356"/>
      <c r="T12" s="356"/>
      <c r="U12" s="357"/>
      <c r="V12" s="7"/>
      <c r="W12" s="6"/>
      <c r="X12" s="7"/>
    </row>
    <row r="13" spans="2:24" x14ac:dyDescent="0.25">
      <c r="B13" s="11"/>
      <c r="G13" s="12" t="s">
        <v>9</v>
      </c>
      <c r="H13" s="1" t="s">
        <v>6</v>
      </c>
      <c r="I13" s="455">
        <f>SUM(I4:I12)</f>
        <v>0</v>
      </c>
      <c r="J13" s="308">
        <f t="shared" ref="J13:U13" si="0">IFERROR((J4*J5*J6+J7*J8*J9+J10*J11*J12)/J16,0)</f>
        <v>0</v>
      </c>
      <c r="K13" s="23">
        <f t="shared" si="0"/>
        <v>0</v>
      </c>
      <c r="L13" s="23">
        <f t="shared" si="0"/>
        <v>0</v>
      </c>
      <c r="M13" s="23">
        <f t="shared" si="0"/>
        <v>0</v>
      </c>
      <c r="N13" s="23">
        <f t="shared" si="0"/>
        <v>0</v>
      </c>
      <c r="O13" s="23">
        <f t="shared" si="0"/>
        <v>0</v>
      </c>
      <c r="P13" s="23">
        <f t="shared" si="0"/>
        <v>0</v>
      </c>
      <c r="Q13" s="23">
        <f t="shared" si="0"/>
        <v>0</v>
      </c>
      <c r="R13" s="23">
        <f t="shared" si="0"/>
        <v>0</v>
      </c>
      <c r="S13" s="23">
        <f t="shared" si="0"/>
        <v>0</v>
      </c>
      <c r="T13" s="23">
        <f t="shared" si="0"/>
        <v>0</v>
      </c>
      <c r="U13" s="200">
        <f t="shared" si="0"/>
        <v>0</v>
      </c>
      <c r="V13" s="7"/>
      <c r="W13" s="6">
        <f>I3</f>
        <v>0</v>
      </c>
      <c r="X13" s="306" t="s">
        <v>208</v>
      </c>
    </row>
    <row r="14" spans="2:24" x14ac:dyDescent="0.25">
      <c r="B14" s="24"/>
      <c r="C14" s="25"/>
      <c r="D14" s="26"/>
      <c r="G14" s="16" t="s">
        <v>9</v>
      </c>
      <c r="H14" t="s">
        <v>4</v>
      </c>
      <c r="I14" s="456"/>
      <c r="J14" s="309">
        <f t="shared" ref="J14:U14" si="1">J4+J7+J10</f>
        <v>0</v>
      </c>
      <c r="K14" s="27">
        <f t="shared" si="1"/>
        <v>0</v>
      </c>
      <c r="L14" s="27">
        <f t="shared" si="1"/>
        <v>0</v>
      </c>
      <c r="M14" s="27">
        <f t="shared" si="1"/>
        <v>0</v>
      </c>
      <c r="N14" s="27">
        <f t="shared" si="1"/>
        <v>0</v>
      </c>
      <c r="O14" s="27">
        <f t="shared" si="1"/>
        <v>0</v>
      </c>
      <c r="P14" s="27">
        <f t="shared" si="1"/>
        <v>0</v>
      </c>
      <c r="Q14" s="27">
        <f t="shared" si="1"/>
        <v>0</v>
      </c>
      <c r="R14" s="27">
        <f t="shared" si="1"/>
        <v>0</v>
      </c>
      <c r="S14" s="27">
        <f t="shared" si="1"/>
        <v>0</v>
      </c>
      <c r="T14" s="27">
        <f t="shared" si="1"/>
        <v>0</v>
      </c>
      <c r="U14" s="303">
        <f t="shared" si="1"/>
        <v>0</v>
      </c>
      <c r="W14" s="28">
        <f>IF(W16=0,0,W16/W15)</f>
        <v>0</v>
      </c>
      <c r="X14" s="306" t="str">
        <f>H2</f>
        <v>Estimated Tonnes (ha)</v>
      </c>
    </row>
    <row r="15" spans="2:24" x14ac:dyDescent="0.25">
      <c r="B15" s="24"/>
      <c r="C15" s="29"/>
      <c r="D15" s="30"/>
      <c r="G15" s="16" t="s">
        <v>2</v>
      </c>
      <c r="H15" s="1" t="s">
        <v>207</v>
      </c>
      <c r="I15" s="456"/>
      <c r="J15" s="23">
        <f t="shared" ref="J15:U15" si="2">IFERROR(J16/$I$2,0)</f>
        <v>0</v>
      </c>
      <c r="K15" s="23">
        <f t="shared" si="2"/>
        <v>0</v>
      </c>
      <c r="L15" s="23">
        <f t="shared" si="2"/>
        <v>0</v>
      </c>
      <c r="M15" s="23">
        <f t="shared" si="2"/>
        <v>0</v>
      </c>
      <c r="N15" s="23">
        <f t="shared" si="2"/>
        <v>0</v>
      </c>
      <c r="O15" s="23">
        <f t="shared" si="2"/>
        <v>0</v>
      </c>
      <c r="P15" s="23">
        <f t="shared" si="2"/>
        <v>0</v>
      </c>
      <c r="Q15" s="23">
        <f t="shared" si="2"/>
        <v>0</v>
      </c>
      <c r="R15" s="23">
        <f t="shared" si="2"/>
        <v>0</v>
      </c>
      <c r="S15" s="23">
        <f t="shared" si="2"/>
        <v>0</v>
      </c>
      <c r="T15" s="23">
        <f t="shared" si="2"/>
        <v>0</v>
      </c>
      <c r="U15" s="201">
        <f t="shared" si="2"/>
        <v>0</v>
      </c>
      <c r="V15" s="31"/>
      <c r="W15" s="28">
        <f>SUM(J15:U15)</f>
        <v>0</v>
      </c>
      <c r="X15" s="306" t="str">
        <f>H15</f>
        <v>Hectare (ha)</v>
      </c>
    </row>
    <row r="16" spans="2:24" ht="15.75" thickBot="1" x14ac:dyDescent="0.3">
      <c r="B16" s="32"/>
      <c r="C16" s="33"/>
      <c r="D16" s="33"/>
      <c r="E16" s="33"/>
      <c r="F16" s="33"/>
      <c r="G16" s="311" t="s">
        <v>2</v>
      </c>
      <c r="H16" s="33" t="s">
        <v>10</v>
      </c>
      <c r="I16" s="457"/>
      <c r="J16" s="310">
        <f t="shared" ref="J16:U16" si="3">IFERROR((J4*J5+J7*J8+J10*J11),0)</f>
        <v>0</v>
      </c>
      <c r="K16" s="34">
        <f t="shared" si="3"/>
        <v>0</v>
      </c>
      <c r="L16" s="34">
        <f t="shared" si="3"/>
        <v>0</v>
      </c>
      <c r="M16" s="34">
        <f t="shared" si="3"/>
        <v>0</v>
      </c>
      <c r="N16" s="34">
        <f t="shared" si="3"/>
        <v>0</v>
      </c>
      <c r="O16" s="34">
        <f t="shared" si="3"/>
        <v>0</v>
      </c>
      <c r="P16" s="34">
        <f t="shared" si="3"/>
        <v>0</v>
      </c>
      <c r="Q16" s="34">
        <f t="shared" si="3"/>
        <v>0</v>
      </c>
      <c r="R16" s="34">
        <f t="shared" si="3"/>
        <v>0</v>
      </c>
      <c r="S16" s="34">
        <f t="shared" si="3"/>
        <v>0</v>
      </c>
      <c r="T16" s="34">
        <f t="shared" si="3"/>
        <v>0</v>
      </c>
      <c r="U16" s="202">
        <f t="shared" si="3"/>
        <v>0</v>
      </c>
      <c r="W16" s="28">
        <f>SUM(J16:U16)</f>
        <v>0</v>
      </c>
      <c r="X16" s="35" t="str">
        <f>H16</f>
        <v>Tonnes Harvested</v>
      </c>
    </row>
    <row r="17" spans="1:24" ht="25.5" customHeight="1" thickBot="1" x14ac:dyDescent="0.3">
      <c r="C17" s="7"/>
      <c r="D17" s="7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7"/>
      <c r="W17" s="38" t="e">
        <f>W16/W15</f>
        <v>#DIV/0!</v>
      </c>
      <c r="X17" s="307" t="s">
        <v>11</v>
      </c>
    </row>
    <row r="18" spans="1:24" ht="16.5" thickBot="1" x14ac:dyDescent="0.3">
      <c r="B18" s="8" t="s">
        <v>12</v>
      </c>
      <c r="C18" s="9"/>
      <c r="D18" s="9"/>
      <c r="E18" s="9"/>
      <c r="F18" s="9"/>
      <c r="G18" s="9"/>
      <c r="H18" s="9"/>
      <c r="I18" s="9"/>
      <c r="J18" s="39"/>
      <c r="K18" s="9"/>
      <c r="L18" s="9"/>
      <c r="M18" s="9"/>
      <c r="N18" s="9"/>
      <c r="O18" s="9"/>
      <c r="P18" s="9"/>
      <c r="Q18" s="9"/>
      <c r="R18" s="9"/>
      <c r="S18" s="9"/>
      <c r="T18" s="9"/>
      <c r="U18" s="40"/>
    </row>
    <row r="19" spans="1:24" x14ac:dyDescent="0.25">
      <c r="B19" s="41" t="s">
        <v>13</v>
      </c>
      <c r="C19" s="42" t="s">
        <v>14</v>
      </c>
      <c r="D19" s="405" t="s">
        <v>210</v>
      </c>
      <c r="E19" s="42" t="s">
        <v>15</v>
      </c>
      <c r="F19" s="42" t="s">
        <v>211</v>
      </c>
      <c r="G19" s="42" t="s">
        <v>17</v>
      </c>
      <c r="H19" s="42" t="s">
        <v>18</v>
      </c>
      <c r="I19" s="43"/>
      <c r="J19" s="178">
        <v>45658</v>
      </c>
      <c r="K19" s="178">
        <v>45689</v>
      </c>
      <c r="L19" s="178">
        <v>45717</v>
      </c>
      <c r="M19" s="178">
        <v>45748</v>
      </c>
      <c r="N19" s="178">
        <v>45778</v>
      </c>
      <c r="O19" s="178">
        <v>45809</v>
      </c>
      <c r="P19" s="178">
        <v>45839</v>
      </c>
      <c r="Q19" s="178">
        <v>45870</v>
      </c>
      <c r="R19" s="178">
        <v>45901</v>
      </c>
      <c r="S19" s="178">
        <v>45931</v>
      </c>
      <c r="T19" s="178">
        <v>45962</v>
      </c>
      <c r="U19" s="317">
        <v>45992</v>
      </c>
    </row>
    <row r="20" spans="1:24" x14ac:dyDescent="0.25">
      <c r="A20" s="11"/>
      <c r="B20" s="239" t="s">
        <v>20</v>
      </c>
      <c r="C20" s="312">
        <v>0.11412433298869637</v>
      </c>
      <c r="D20" s="406">
        <v>1</v>
      </c>
      <c r="E20" s="388" t="s">
        <v>21</v>
      </c>
      <c r="F20" s="389">
        <f t="shared" ref="F20:F27" si="4">IFERROR(H20/G20,0)</f>
        <v>0</v>
      </c>
      <c r="G20" s="315"/>
      <c r="H20" s="45">
        <f t="shared" ref="H20:H41" si="5">SUM(J20:U20)</f>
        <v>0</v>
      </c>
      <c r="I20" s="46"/>
      <c r="J20" s="47">
        <f>J16*$C20*$D20*$G20</f>
        <v>0</v>
      </c>
      <c r="K20" s="47">
        <f t="shared" ref="K20:U20" si="6">K16*$C$20*$D$20*$G$20</f>
        <v>0</v>
      </c>
      <c r="L20" s="47">
        <f t="shared" si="6"/>
        <v>0</v>
      </c>
      <c r="M20" s="47">
        <f t="shared" si="6"/>
        <v>0</v>
      </c>
      <c r="N20" s="47">
        <f t="shared" si="6"/>
        <v>0</v>
      </c>
      <c r="O20" s="47">
        <f t="shared" si="6"/>
        <v>0</v>
      </c>
      <c r="P20" s="47">
        <f t="shared" si="6"/>
        <v>0</v>
      </c>
      <c r="Q20" s="47">
        <f t="shared" si="6"/>
        <v>0</v>
      </c>
      <c r="R20" s="47">
        <f t="shared" si="6"/>
        <v>0</v>
      </c>
      <c r="S20" s="47">
        <f t="shared" si="6"/>
        <v>0</v>
      </c>
      <c r="T20" s="47">
        <f t="shared" si="6"/>
        <v>0</v>
      </c>
      <c r="U20" s="48">
        <f t="shared" si="6"/>
        <v>0</v>
      </c>
      <c r="W20" s="38" t="e">
        <f t="shared" ref="W20:W41" si="7">$W$17*C20</f>
        <v>#DIV/0!</v>
      </c>
      <c r="X20" s="1" t="str">
        <f t="shared" ref="X20:X41" si="8">B20</f>
        <v>P35</v>
      </c>
    </row>
    <row r="21" spans="1:24" x14ac:dyDescent="0.25">
      <c r="A21" s="11"/>
      <c r="B21" s="239" t="s">
        <v>22</v>
      </c>
      <c r="C21" s="312">
        <v>7.0000000000000007E-2</v>
      </c>
      <c r="D21" s="406">
        <v>1</v>
      </c>
      <c r="E21" s="388" t="s">
        <v>21</v>
      </c>
      <c r="F21" s="389">
        <f t="shared" si="4"/>
        <v>0</v>
      </c>
      <c r="G21" s="315"/>
      <c r="H21" s="45">
        <f t="shared" si="5"/>
        <v>0</v>
      </c>
      <c r="I21" s="46"/>
      <c r="J21" s="47">
        <f t="shared" ref="J21:U21" si="9">J16*$C$21*$D$21*$G$21</f>
        <v>0</v>
      </c>
      <c r="K21" s="47">
        <f t="shared" si="9"/>
        <v>0</v>
      </c>
      <c r="L21" s="47">
        <f t="shared" si="9"/>
        <v>0</v>
      </c>
      <c r="M21" s="47">
        <f t="shared" si="9"/>
        <v>0</v>
      </c>
      <c r="N21" s="47">
        <f t="shared" si="9"/>
        <v>0</v>
      </c>
      <c r="O21" s="47">
        <f t="shared" si="9"/>
        <v>0</v>
      </c>
      <c r="P21" s="47">
        <f t="shared" si="9"/>
        <v>0</v>
      </c>
      <c r="Q21" s="47">
        <f t="shared" si="9"/>
        <v>0</v>
      </c>
      <c r="R21" s="47">
        <f t="shared" si="9"/>
        <v>0</v>
      </c>
      <c r="S21" s="47">
        <f t="shared" si="9"/>
        <v>0</v>
      </c>
      <c r="T21" s="47">
        <f t="shared" si="9"/>
        <v>0</v>
      </c>
      <c r="U21" s="48">
        <f t="shared" si="9"/>
        <v>0</v>
      </c>
      <c r="W21" s="38" t="e">
        <f t="shared" si="7"/>
        <v>#DIV/0!</v>
      </c>
      <c r="X21" s="1" t="str">
        <f t="shared" si="8"/>
        <v>S30</v>
      </c>
    </row>
    <row r="22" spans="1:24" x14ac:dyDescent="0.25">
      <c r="A22" s="11"/>
      <c r="B22" s="239" t="s">
        <v>25</v>
      </c>
      <c r="C22" s="312">
        <v>0</v>
      </c>
      <c r="D22" s="406">
        <v>1</v>
      </c>
      <c r="E22" s="388" t="s">
        <v>21</v>
      </c>
      <c r="F22" s="389">
        <f t="shared" si="4"/>
        <v>0</v>
      </c>
      <c r="G22" s="315"/>
      <c r="H22" s="45">
        <f t="shared" si="5"/>
        <v>0</v>
      </c>
      <c r="I22" s="46"/>
      <c r="J22" s="47">
        <f t="shared" ref="J22:U22" si="10">J16*$C$22*$D$22*$G$22</f>
        <v>0</v>
      </c>
      <c r="K22" s="47">
        <f t="shared" si="10"/>
        <v>0</v>
      </c>
      <c r="L22" s="47">
        <f t="shared" si="10"/>
        <v>0</v>
      </c>
      <c r="M22" s="47">
        <f t="shared" si="10"/>
        <v>0</v>
      </c>
      <c r="N22" s="47">
        <f t="shared" si="10"/>
        <v>0</v>
      </c>
      <c r="O22" s="47">
        <f t="shared" si="10"/>
        <v>0</v>
      </c>
      <c r="P22" s="47">
        <f t="shared" si="10"/>
        <v>0</v>
      </c>
      <c r="Q22" s="47">
        <f t="shared" si="10"/>
        <v>0</v>
      </c>
      <c r="R22" s="47">
        <f t="shared" si="10"/>
        <v>0</v>
      </c>
      <c r="S22" s="47">
        <f t="shared" si="10"/>
        <v>0</v>
      </c>
      <c r="T22" s="47">
        <f t="shared" si="10"/>
        <v>0</v>
      </c>
      <c r="U22" s="48">
        <f t="shared" si="10"/>
        <v>0</v>
      </c>
      <c r="W22" s="38" t="e">
        <f t="shared" si="7"/>
        <v>#DIV/0!</v>
      </c>
      <c r="X22" s="1" t="str">
        <f t="shared" si="8"/>
        <v>S20</v>
      </c>
    </row>
    <row r="23" spans="1:24" x14ac:dyDescent="0.25">
      <c r="A23" s="11"/>
      <c r="B23" s="242" t="s">
        <v>30</v>
      </c>
      <c r="C23" s="312">
        <v>0.05</v>
      </c>
      <c r="D23" s="406">
        <v>1</v>
      </c>
      <c r="E23" s="388" t="s">
        <v>21</v>
      </c>
      <c r="F23" s="389">
        <f t="shared" si="4"/>
        <v>0</v>
      </c>
      <c r="G23" s="315"/>
      <c r="H23" s="45">
        <f t="shared" si="5"/>
        <v>0</v>
      </c>
      <c r="I23" s="46"/>
      <c r="J23" s="47">
        <f t="shared" ref="J23:U23" si="11">J16*$C$23*$D$23*$G$23</f>
        <v>0</v>
      </c>
      <c r="K23" s="47">
        <f t="shared" si="11"/>
        <v>0</v>
      </c>
      <c r="L23" s="47">
        <f t="shared" si="11"/>
        <v>0</v>
      </c>
      <c r="M23" s="47">
        <f t="shared" si="11"/>
        <v>0</v>
      </c>
      <c r="N23" s="47">
        <f t="shared" si="11"/>
        <v>0</v>
      </c>
      <c r="O23" s="47">
        <f t="shared" si="11"/>
        <v>0</v>
      </c>
      <c r="P23" s="47">
        <f t="shared" si="11"/>
        <v>0</v>
      </c>
      <c r="Q23" s="47">
        <f t="shared" si="11"/>
        <v>0</v>
      </c>
      <c r="R23" s="47">
        <f t="shared" si="11"/>
        <v>0</v>
      </c>
      <c r="S23" s="47">
        <f t="shared" si="11"/>
        <v>0</v>
      </c>
      <c r="T23" s="47">
        <f t="shared" si="11"/>
        <v>0</v>
      </c>
      <c r="U23" s="48">
        <f t="shared" si="11"/>
        <v>0</v>
      </c>
      <c r="W23" s="38" t="e">
        <f t="shared" si="7"/>
        <v>#DIV/0!</v>
      </c>
      <c r="X23" s="1" t="str">
        <f t="shared" si="8"/>
        <v>Domestic Pulp</v>
      </c>
    </row>
    <row r="24" spans="1:24" x14ac:dyDescent="0.25">
      <c r="A24" s="11"/>
      <c r="B24" s="242" t="s">
        <v>222</v>
      </c>
      <c r="C24" s="312">
        <v>0</v>
      </c>
      <c r="D24" s="406">
        <v>1</v>
      </c>
      <c r="E24" s="388" t="s">
        <v>21</v>
      </c>
      <c r="F24" s="389">
        <f t="shared" si="4"/>
        <v>0</v>
      </c>
      <c r="G24" s="315"/>
      <c r="H24" s="45">
        <f t="shared" si="5"/>
        <v>0</v>
      </c>
      <c r="I24" s="46"/>
      <c r="J24" s="47">
        <f t="shared" ref="J24:U24" si="12">J16*$C$24*$D$24*$G$24</f>
        <v>0</v>
      </c>
      <c r="K24" s="47">
        <f t="shared" si="12"/>
        <v>0</v>
      </c>
      <c r="L24" s="47">
        <f t="shared" si="12"/>
        <v>0</v>
      </c>
      <c r="M24" s="47">
        <f t="shared" si="12"/>
        <v>0</v>
      </c>
      <c r="N24" s="47">
        <f t="shared" si="12"/>
        <v>0</v>
      </c>
      <c r="O24" s="47">
        <f t="shared" si="12"/>
        <v>0</v>
      </c>
      <c r="P24" s="47">
        <f t="shared" si="12"/>
        <v>0</v>
      </c>
      <c r="Q24" s="47">
        <f t="shared" si="12"/>
        <v>0</v>
      </c>
      <c r="R24" s="47">
        <f t="shared" si="12"/>
        <v>0</v>
      </c>
      <c r="S24" s="47">
        <f t="shared" si="12"/>
        <v>0</v>
      </c>
      <c r="T24" s="47">
        <f t="shared" si="12"/>
        <v>0</v>
      </c>
      <c r="U24" s="48">
        <f t="shared" si="12"/>
        <v>0</v>
      </c>
      <c r="W24" s="38" t="e">
        <f t="shared" si="7"/>
        <v>#DIV/0!</v>
      </c>
      <c r="X24" s="1" t="str">
        <f t="shared" si="8"/>
        <v>Eucalyptus</v>
      </c>
    </row>
    <row r="25" spans="1:24" x14ac:dyDescent="0.25">
      <c r="A25" s="11"/>
      <c r="B25" s="242" t="s">
        <v>34</v>
      </c>
      <c r="C25" s="312">
        <v>0</v>
      </c>
      <c r="D25" s="406">
        <v>1</v>
      </c>
      <c r="E25" s="388" t="s">
        <v>21</v>
      </c>
      <c r="F25" s="389">
        <f t="shared" si="4"/>
        <v>0</v>
      </c>
      <c r="G25" s="315"/>
      <c r="H25" s="45">
        <f t="shared" si="5"/>
        <v>0</v>
      </c>
      <c r="I25" s="46"/>
      <c r="J25" s="47">
        <f t="shared" ref="J25:U25" si="13">J16*$C$25*$D$25*$G$25</f>
        <v>0</v>
      </c>
      <c r="K25" s="47">
        <f t="shared" si="13"/>
        <v>0</v>
      </c>
      <c r="L25" s="47">
        <f t="shared" si="13"/>
        <v>0</v>
      </c>
      <c r="M25" s="47">
        <f t="shared" si="13"/>
        <v>0</v>
      </c>
      <c r="N25" s="47">
        <f t="shared" si="13"/>
        <v>0</v>
      </c>
      <c r="O25" s="47">
        <f t="shared" si="13"/>
        <v>0</v>
      </c>
      <c r="P25" s="47">
        <f t="shared" si="13"/>
        <v>0</v>
      </c>
      <c r="Q25" s="47">
        <f t="shared" si="13"/>
        <v>0</v>
      </c>
      <c r="R25" s="47">
        <f t="shared" si="13"/>
        <v>0</v>
      </c>
      <c r="S25" s="47">
        <f t="shared" si="13"/>
        <v>0</v>
      </c>
      <c r="T25" s="47">
        <f t="shared" si="13"/>
        <v>0</v>
      </c>
      <c r="U25" s="48">
        <f t="shared" si="13"/>
        <v>0</v>
      </c>
      <c r="W25" s="38" t="e">
        <f t="shared" si="7"/>
        <v>#DIV/0!</v>
      </c>
      <c r="X25" s="1" t="str">
        <f t="shared" si="8"/>
        <v>FW</v>
      </c>
    </row>
    <row r="26" spans="1:24" x14ac:dyDescent="0.25">
      <c r="A26" s="11"/>
      <c r="B26" s="242" t="s">
        <v>37</v>
      </c>
      <c r="C26" s="312">
        <v>0</v>
      </c>
      <c r="D26" s="406">
        <v>1</v>
      </c>
      <c r="E26" s="388" t="s">
        <v>21</v>
      </c>
      <c r="F26" s="389">
        <f t="shared" si="4"/>
        <v>0</v>
      </c>
      <c r="G26" s="315"/>
      <c r="H26" s="45">
        <f t="shared" si="5"/>
        <v>0</v>
      </c>
      <c r="I26" s="46"/>
      <c r="J26" s="47">
        <f t="shared" ref="J26:U26" si="14">J16*$C$26*$D$26*$G$26</f>
        <v>0</v>
      </c>
      <c r="K26" s="47">
        <f t="shared" si="14"/>
        <v>0</v>
      </c>
      <c r="L26" s="47">
        <f t="shared" si="14"/>
        <v>0</v>
      </c>
      <c r="M26" s="47">
        <f t="shared" si="14"/>
        <v>0</v>
      </c>
      <c r="N26" s="47">
        <f t="shared" si="14"/>
        <v>0</v>
      </c>
      <c r="O26" s="47">
        <f t="shared" si="14"/>
        <v>0</v>
      </c>
      <c r="P26" s="47">
        <f t="shared" si="14"/>
        <v>0</v>
      </c>
      <c r="Q26" s="47">
        <f t="shared" si="14"/>
        <v>0</v>
      </c>
      <c r="R26" s="47">
        <f t="shared" si="14"/>
        <v>0</v>
      </c>
      <c r="S26" s="47">
        <f t="shared" si="14"/>
        <v>0</v>
      </c>
      <c r="T26" s="47">
        <f t="shared" si="14"/>
        <v>0</v>
      </c>
      <c r="U26" s="48">
        <f t="shared" si="14"/>
        <v>0</v>
      </c>
      <c r="W26" s="38" t="e">
        <f t="shared" si="7"/>
        <v>#DIV/0!</v>
      </c>
      <c r="X26" t="str">
        <f t="shared" si="8"/>
        <v>Euc Pulp</v>
      </c>
    </row>
    <row r="27" spans="1:24" x14ac:dyDescent="0.25">
      <c r="A27" s="11"/>
      <c r="B27" s="242" t="s">
        <v>174</v>
      </c>
      <c r="C27" s="312">
        <v>0</v>
      </c>
      <c r="D27" s="406">
        <v>1</v>
      </c>
      <c r="E27" s="388" t="s">
        <v>21</v>
      </c>
      <c r="F27" s="389">
        <f t="shared" si="4"/>
        <v>0</v>
      </c>
      <c r="G27" s="315"/>
      <c r="H27" s="45">
        <f t="shared" si="5"/>
        <v>0</v>
      </c>
      <c r="I27" s="46"/>
      <c r="J27" s="47">
        <f t="shared" ref="J27:U27" si="15">J16*$C$27*$D$27*$G$27</f>
        <v>0</v>
      </c>
      <c r="K27" s="47">
        <f t="shared" si="15"/>
        <v>0</v>
      </c>
      <c r="L27" s="47">
        <f t="shared" si="15"/>
        <v>0</v>
      </c>
      <c r="M27" s="47">
        <f t="shared" si="15"/>
        <v>0</v>
      </c>
      <c r="N27" s="47">
        <f t="shared" si="15"/>
        <v>0</v>
      </c>
      <c r="O27" s="47">
        <f t="shared" si="15"/>
        <v>0</v>
      </c>
      <c r="P27" s="47">
        <f t="shared" si="15"/>
        <v>0</v>
      </c>
      <c r="Q27" s="47">
        <f t="shared" si="15"/>
        <v>0</v>
      </c>
      <c r="R27" s="47">
        <f t="shared" si="15"/>
        <v>0</v>
      </c>
      <c r="S27" s="47">
        <f t="shared" si="15"/>
        <v>0</v>
      </c>
      <c r="T27" s="47">
        <f t="shared" si="15"/>
        <v>0</v>
      </c>
      <c r="U27" s="48">
        <f t="shared" si="15"/>
        <v>0</v>
      </c>
      <c r="W27" s="38" t="e">
        <f t="shared" si="7"/>
        <v>#DIV/0!</v>
      </c>
      <c r="X27" s="1" t="str">
        <f t="shared" si="8"/>
        <v>Binwood</v>
      </c>
    </row>
    <row r="28" spans="1:24" x14ac:dyDescent="0.25">
      <c r="A28" s="11"/>
      <c r="B28" s="376" t="s">
        <v>202</v>
      </c>
      <c r="C28" s="378">
        <v>0</v>
      </c>
      <c r="D28" s="407"/>
      <c r="E28" s="390" t="s">
        <v>21</v>
      </c>
      <c r="F28" s="391">
        <f t="shared" ref="F28:F40" si="16">IFERROR(H28/G28/D28,0)</f>
        <v>0</v>
      </c>
      <c r="G28" s="379"/>
      <c r="H28" s="45">
        <f t="shared" si="5"/>
        <v>0</v>
      </c>
      <c r="I28" s="46"/>
      <c r="J28" s="47">
        <f t="shared" ref="J28:U28" si="17">J16*$C$28*$D$28*$G$28</f>
        <v>0</v>
      </c>
      <c r="K28" s="47">
        <f t="shared" si="17"/>
        <v>0</v>
      </c>
      <c r="L28" s="47">
        <f t="shared" si="17"/>
        <v>0</v>
      </c>
      <c r="M28" s="47">
        <f t="shared" si="17"/>
        <v>0</v>
      </c>
      <c r="N28" s="47">
        <f t="shared" si="17"/>
        <v>0</v>
      </c>
      <c r="O28" s="47">
        <f t="shared" si="17"/>
        <v>0</v>
      </c>
      <c r="P28" s="47">
        <f t="shared" si="17"/>
        <v>0</v>
      </c>
      <c r="Q28" s="47">
        <f t="shared" si="17"/>
        <v>0</v>
      </c>
      <c r="R28" s="47">
        <f t="shared" si="17"/>
        <v>0</v>
      </c>
      <c r="S28" s="47">
        <f t="shared" si="17"/>
        <v>0</v>
      </c>
      <c r="T28" s="47">
        <f t="shared" si="17"/>
        <v>0</v>
      </c>
      <c r="U28" s="48">
        <f t="shared" si="17"/>
        <v>0</v>
      </c>
      <c r="W28" s="38" t="e">
        <f t="shared" si="7"/>
        <v>#DIV/0!</v>
      </c>
      <c r="X28" s="1" t="str">
        <f t="shared" si="8"/>
        <v>Spare Grade</v>
      </c>
    </row>
    <row r="29" spans="1:24" x14ac:dyDescent="0.25">
      <c r="A29" s="11"/>
      <c r="B29" s="243" t="s">
        <v>175</v>
      </c>
      <c r="C29" s="313">
        <v>0</v>
      </c>
      <c r="D29" s="408">
        <v>1</v>
      </c>
      <c r="E29" s="388" t="s">
        <v>19</v>
      </c>
      <c r="F29" s="389">
        <f t="shared" si="16"/>
        <v>0</v>
      </c>
      <c r="G29" s="316"/>
      <c r="H29" s="45">
        <f t="shared" si="5"/>
        <v>0</v>
      </c>
      <c r="I29" s="46"/>
      <c r="J29" s="47">
        <f t="shared" ref="J29:U29" si="18">J16*$C$29*$D$29*$G$29</f>
        <v>0</v>
      </c>
      <c r="K29" s="47">
        <f t="shared" si="18"/>
        <v>0</v>
      </c>
      <c r="L29" s="47">
        <f t="shared" si="18"/>
        <v>0</v>
      </c>
      <c r="M29" s="47">
        <f t="shared" si="18"/>
        <v>0</v>
      </c>
      <c r="N29" s="47">
        <f t="shared" si="18"/>
        <v>0</v>
      </c>
      <c r="O29" s="47">
        <f t="shared" si="18"/>
        <v>0</v>
      </c>
      <c r="P29" s="47">
        <f t="shared" si="18"/>
        <v>0</v>
      </c>
      <c r="Q29" s="47">
        <f t="shared" si="18"/>
        <v>0</v>
      </c>
      <c r="R29" s="47">
        <f t="shared" si="18"/>
        <v>0</v>
      </c>
      <c r="S29" s="47">
        <f t="shared" si="18"/>
        <v>0</v>
      </c>
      <c r="T29" s="47">
        <f t="shared" si="18"/>
        <v>0</v>
      </c>
      <c r="U29" s="48">
        <f t="shared" si="18"/>
        <v>0</v>
      </c>
      <c r="W29" s="38" t="e">
        <f t="shared" si="7"/>
        <v>#DIV/0!</v>
      </c>
      <c r="X29" s="1" t="str">
        <f t="shared" si="8"/>
        <v>P40</v>
      </c>
    </row>
    <row r="30" spans="1:24" x14ac:dyDescent="0.25">
      <c r="A30" s="11"/>
      <c r="B30" s="243" t="s">
        <v>176</v>
      </c>
      <c r="C30" s="313">
        <v>1.933667793097546E-3</v>
      </c>
      <c r="D30" s="408">
        <v>1.0288960591838534</v>
      </c>
      <c r="E30" s="388" t="s">
        <v>19</v>
      </c>
      <c r="F30" s="389">
        <f t="shared" si="16"/>
        <v>0</v>
      </c>
      <c r="G30" s="316"/>
      <c r="H30" s="45">
        <f t="shared" si="5"/>
        <v>0</v>
      </c>
      <c r="I30" s="46"/>
      <c r="J30" s="47">
        <f t="shared" ref="J30:U30" si="19">J16*$C$30*$D$30*$G$30</f>
        <v>0</v>
      </c>
      <c r="K30" s="47">
        <f t="shared" si="19"/>
        <v>0</v>
      </c>
      <c r="L30" s="47">
        <f t="shared" si="19"/>
        <v>0</v>
      </c>
      <c r="M30" s="47">
        <f t="shared" si="19"/>
        <v>0</v>
      </c>
      <c r="N30" s="47">
        <f t="shared" si="19"/>
        <v>0</v>
      </c>
      <c r="O30" s="47">
        <f t="shared" si="19"/>
        <v>0</v>
      </c>
      <c r="P30" s="47">
        <f t="shared" si="19"/>
        <v>0</v>
      </c>
      <c r="Q30" s="47">
        <f t="shared" si="19"/>
        <v>0</v>
      </c>
      <c r="R30" s="47">
        <f t="shared" si="19"/>
        <v>0</v>
      </c>
      <c r="S30" s="47">
        <f t="shared" si="19"/>
        <v>0</v>
      </c>
      <c r="T30" s="47">
        <f t="shared" si="19"/>
        <v>0</v>
      </c>
      <c r="U30" s="48">
        <f t="shared" si="19"/>
        <v>0</v>
      </c>
      <c r="W30" s="38" t="e">
        <f t="shared" si="7"/>
        <v>#DIV/0!</v>
      </c>
      <c r="X30" s="1" t="str">
        <f t="shared" si="8"/>
        <v>P30</v>
      </c>
    </row>
    <row r="31" spans="1:24" x14ac:dyDescent="0.25">
      <c r="A31" s="11"/>
      <c r="B31" s="246" t="s">
        <v>23</v>
      </c>
      <c r="C31" s="313">
        <v>0.15</v>
      </c>
      <c r="D31" s="408">
        <v>1.04</v>
      </c>
      <c r="E31" s="392" t="s">
        <v>19</v>
      </c>
      <c r="F31" s="389">
        <f t="shared" si="16"/>
        <v>0</v>
      </c>
      <c r="G31" s="316"/>
      <c r="H31" s="45">
        <f t="shared" si="5"/>
        <v>0</v>
      </c>
      <c r="I31" s="46"/>
      <c r="J31" s="47">
        <f t="shared" ref="J31:U31" si="20">J16*$C$31*$D$31*$G$31</f>
        <v>0</v>
      </c>
      <c r="K31" s="47">
        <f t="shared" si="20"/>
        <v>0</v>
      </c>
      <c r="L31" s="47">
        <f t="shared" si="20"/>
        <v>0</v>
      </c>
      <c r="M31" s="47">
        <f t="shared" si="20"/>
        <v>0</v>
      </c>
      <c r="N31" s="47">
        <f t="shared" si="20"/>
        <v>0</v>
      </c>
      <c r="O31" s="47">
        <f t="shared" si="20"/>
        <v>0</v>
      </c>
      <c r="P31" s="47">
        <f t="shared" si="20"/>
        <v>0</v>
      </c>
      <c r="Q31" s="47">
        <f t="shared" si="20"/>
        <v>0</v>
      </c>
      <c r="R31" s="47">
        <f t="shared" si="20"/>
        <v>0</v>
      </c>
      <c r="S31" s="47">
        <f t="shared" si="20"/>
        <v>0</v>
      </c>
      <c r="T31" s="47">
        <f t="shared" si="20"/>
        <v>0</v>
      </c>
      <c r="U31" s="48">
        <f t="shared" si="20"/>
        <v>0</v>
      </c>
      <c r="W31" s="38" t="e">
        <f t="shared" si="7"/>
        <v>#DIV/0!</v>
      </c>
      <c r="X31" s="1" t="str">
        <f t="shared" si="8"/>
        <v>AO</v>
      </c>
    </row>
    <row r="32" spans="1:24" x14ac:dyDescent="0.25">
      <c r="A32" s="11"/>
      <c r="B32" s="246" t="s">
        <v>24</v>
      </c>
      <c r="C32" s="313">
        <v>0.28000000000000003</v>
      </c>
      <c r="D32" s="408">
        <v>1.01</v>
      </c>
      <c r="E32" s="392" t="s">
        <v>19</v>
      </c>
      <c r="F32" s="389">
        <f t="shared" si="16"/>
        <v>0</v>
      </c>
      <c r="G32" s="316"/>
      <c r="H32" s="45">
        <f t="shared" si="5"/>
        <v>0</v>
      </c>
      <c r="I32" s="46"/>
      <c r="J32" s="47">
        <f t="shared" ref="J32:U32" si="21">J16*$C$32*$D$32*$G$32</f>
        <v>0</v>
      </c>
      <c r="K32" s="47">
        <f t="shared" si="21"/>
        <v>0</v>
      </c>
      <c r="L32" s="47">
        <f t="shared" si="21"/>
        <v>0</v>
      </c>
      <c r="M32" s="47">
        <f t="shared" si="21"/>
        <v>0</v>
      </c>
      <c r="N32" s="47">
        <f t="shared" si="21"/>
        <v>0</v>
      </c>
      <c r="O32" s="47">
        <f t="shared" si="21"/>
        <v>0</v>
      </c>
      <c r="P32" s="47">
        <f t="shared" si="21"/>
        <v>0</v>
      </c>
      <c r="Q32" s="47">
        <f t="shared" si="21"/>
        <v>0</v>
      </c>
      <c r="R32" s="47">
        <f t="shared" si="21"/>
        <v>0</v>
      </c>
      <c r="S32" s="47">
        <f t="shared" si="21"/>
        <v>0</v>
      </c>
      <c r="T32" s="47">
        <f t="shared" si="21"/>
        <v>0</v>
      </c>
      <c r="U32" s="48">
        <f t="shared" si="21"/>
        <v>0</v>
      </c>
      <c r="W32" s="38" t="e">
        <f t="shared" si="7"/>
        <v>#DIV/0!</v>
      </c>
      <c r="X32" s="1" t="str">
        <f t="shared" si="8"/>
        <v>A</v>
      </c>
    </row>
    <row r="33" spans="1:24" x14ac:dyDescent="0.25">
      <c r="A33" s="11"/>
      <c r="B33" s="246" t="s">
        <v>26</v>
      </c>
      <c r="C33" s="313">
        <v>0.208703355468741</v>
      </c>
      <c r="D33" s="408">
        <v>0.96</v>
      </c>
      <c r="E33" s="392" t="s">
        <v>19</v>
      </c>
      <c r="F33" s="389">
        <f t="shared" si="16"/>
        <v>0</v>
      </c>
      <c r="G33" s="316"/>
      <c r="H33" s="45">
        <f t="shared" si="5"/>
        <v>0</v>
      </c>
      <c r="I33" s="46"/>
      <c r="J33" s="47">
        <f t="shared" ref="J33:U33" si="22">J16*$C$33*$D$33*$G$33</f>
        <v>0</v>
      </c>
      <c r="K33" s="47">
        <f t="shared" si="22"/>
        <v>0</v>
      </c>
      <c r="L33" s="47">
        <f t="shared" si="22"/>
        <v>0</v>
      </c>
      <c r="M33" s="47">
        <f t="shared" si="22"/>
        <v>0</v>
      </c>
      <c r="N33" s="47">
        <f t="shared" si="22"/>
        <v>0</v>
      </c>
      <c r="O33" s="47">
        <f t="shared" si="22"/>
        <v>0</v>
      </c>
      <c r="P33" s="47">
        <f t="shared" si="22"/>
        <v>0</v>
      </c>
      <c r="Q33" s="47">
        <f t="shared" si="22"/>
        <v>0</v>
      </c>
      <c r="R33" s="47">
        <f t="shared" si="22"/>
        <v>0</v>
      </c>
      <c r="S33" s="47">
        <f t="shared" si="22"/>
        <v>0</v>
      </c>
      <c r="T33" s="47">
        <f t="shared" si="22"/>
        <v>0</v>
      </c>
      <c r="U33" s="48">
        <f t="shared" si="22"/>
        <v>0</v>
      </c>
      <c r="W33" s="38" t="e">
        <f t="shared" si="7"/>
        <v>#DIV/0!</v>
      </c>
      <c r="X33" s="1" t="str">
        <f t="shared" si="8"/>
        <v>K</v>
      </c>
    </row>
    <row r="34" spans="1:24" x14ac:dyDescent="0.25">
      <c r="A34" s="11"/>
      <c r="B34" s="243" t="s">
        <v>27</v>
      </c>
      <c r="C34" s="313">
        <v>2.5784396041069621E-2</v>
      </c>
      <c r="D34" s="408">
        <v>0.97</v>
      </c>
      <c r="E34" s="388" t="s">
        <v>19</v>
      </c>
      <c r="F34" s="389">
        <f t="shared" si="16"/>
        <v>0</v>
      </c>
      <c r="G34" s="316"/>
      <c r="H34" s="45">
        <f t="shared" si="5"/>
        <v>0</v>
      </c>
      <c r="I34" s="46"/>
      <c r="J34" s="47">
        <f t="shared" ref="J34:U34" si="23">J16*$C$34*$D$34*$G$34</f>
        <v>0</v>
      </c>
      <c r="K34" s="47">
        <f t="shared" si="23"/>
        <v>0</v>
      </c>
      <c r="L34" s="47">
        <f t="shared" si="23"/>
        <v>0</v>
      </c>
      <c r="M34" s="47">
        <f t="shared" si="23"/>
        <v>0</v>
      </c>
      <c r="N34" s="47">
        <f t="shared" si="23"/>
        <v>0</v>
      </c>
      <c r="O34" s="47">
        <f t="shared" si="23"/>
        <v>0</v>
      </c>
      <c r="P34" s="47">
        <f t="shared" si="23"/>
        <v>0</v>
      </c>
      <c r="Q34" s="47">
        <f t="shared" si="23"/>
        <v>0</v>
      </c>
      <c r="R34" s="47">
        <f t="shared" si="23"/>
        <v>0</v>
      </c>
      <c r="S34" s="47">
        <f t="shared" si="23"/>
        <v>0</v>
      </c>
      <c r="T34" s="47">
        <f t="shared" si="23"/>
        <v>0</v>
      </c>
      <c r="U34" s="48">
        <f t="shared" si="23"/>
        <v>0</v>
      </c>
      <c r="W34" s="38" t="e">
        <f t="shared" si="7"/>
        <v>#DIV/0!</v>
      </c>
      <c r="X34" s="1" t="str">
        <f t="shared" si="8"/>
        <v>KI</v>
      </c>
    </row>
    <row r="35" spans="1:24" x14ac:dyDescent="0.25">
      <c r="A35" s="11"/>
      <c r="B35" s="243" t="s">
        <v>29</v>
      </c>
      <c r="C35" s="313">
        <v>0.10175209731252557</v>
      </c>
      <c r="D35" s="408">
        <v>0.92</v>
      </c>
      <c r="E35" s="392" t="s">
        <v>19</v>
      </c>
      <c r="F35" s="389">
        <f t="shared" si="16"/>
        <v>0</v>
      </c>
      <c r="G35" s="316"/>
      <c r="H35" s="45">
        <f t="shared" si="5"/>
        <v>0</v>
      </c>
      <c r="I35" s="46"/>
      <c r="J35" s="47">
        <f t="shared" ref="J35:U35" si="24">J16*$C$35*$D$35*$G$35</f>
        <v>0</v>
      </c>
      <c r="K35" s="47">
        <f t="shared" si="24"/>
        <v>0</v>
      </c>
      <c r="L35" s="47">
        <f t="shared" si="24"/>
        <v>0</v>
      </c>
      <c r="M35" s="47">
        <f t="shared" si="24"/>
        <v>0</v>
      </c>
      <c r="N35" s="47">
        <f t="shared" si="24"/>
        <v>0</v>
      </c>
      <c r="O35" s="47">
        <f t="shared" si="24"/>
        <v>0</v>
      </c>
      <c r="P35" s="47">
        <f t="shared" si="24"/>
        <v>0</v>
      </c>
      <c r="Q35" s="47">
        <f t="shared" si="24"/>
        <v>0</v>
      </c>
      <c r="R35" s="47">
        <f t="shared" si="24"/>
        <v>0</v>
      </c>
      <c r="S35" s="47">
        <f t="shared" si="24"/>
        <v>0</v>
      </c>
      <c r="T35" s="47">
        <f t="shared" si="24"/>
        <v>0</v>
      </c>
      <c r="U35" s="48">
        <f t="shared" si="24"/>
        <v>0</v>
      </c>
      <c r="W35" s="38" t="e">
        <f t="shared" si="7"/>
        <v>#DIV/0!</v>
      </c>
      <c r="X35" s="1" t="str">
        <f t="shared" si="8"/>
        <v>KIS</v>
      </c>
    </row>
    <row r="36" spans="1:24" x14ac:dyDescent="0.25">
      <c r="A36" s="11"/>
      <c r="B36" s="246" t="s">
        <v>28</v>
      </c>
      <c r="C36" s="313"/>
      <c r="D36" s="408"/>
      <c r="E36" s="392" t="s">
        <v>19</v>
      </c>
      <c r="F36" s="389">
        <f t="shared" si="16"/>
        <v>0</v>
      </c>
      <c r="G36" s="316"/>
      <c r="H36" s="45">
        <f t="shared" si="5"/>
        <v>0</v>
      </c>
      <c r="I36" s="46"/>
      <c r="J36" s="47">
        <f t="shared" ref="J36:U36" si="25">J16*$C$36*$D$36*$G$36</f>
        <v>0</v>
      </c>
      <c r="K36" s="47">
        <f t="shared" si="25"/>
        <v>0</v>
      </c>
      <c r="L36" s="47">
        <f t="shared" si="25"/>
        <v>0</v>
      </c>
      <c r="M36" s="47">
        <f t="shared" si="25"/>
        <v>0</v>
      </c>
      <c r="N36" s="47">
        <f t="shared" si="25"/>
        <v>0</v>
      </c>
      <c r="O36" s="47">
        <f t="shared" si="25"/>
        <v>0</v>
      </c>
      <c r="P36" s="47">
        <f t="shared" si="25"/>
        <v>0</v>
      </c>
      <c r="Q36" s="47">
        <f t="shared" si="25"/>
        <v>0</v>
      </c>
      <c r="R36" s="47">
        <f t="shared" si="25"/>
        <v>0</v>
      </c>
      <c r="S36" s="47">
        <f t="shared" si="25"/>
        <v>0</v>
      </c>
      <c r="T36" s="47">
        <f t="shared" si="25"/>
        <v>0</v>
      </c>
      <c r="U36" s="48">
        <f t="shared" si="25"/>
        <v>0</v>
      </c>
      <c r="W36" s="38" t="e">
        <f t="shared" si="7"/>
        <v>#DIV/0!</v>
      </c>
      <c r="X36" s="1" t="str">
        <f t="shared" si="8"/>
        <v>KI stub</v>
      </c>
    </row>
    <row r="37" spans="1:24" x14ac:dyDescent="0.25">
      <c r="A37" s="11"/>
      <c r="B37" s="246" t="s">
        <v>31</v>
      </c>
      <c r="C37" s="313"/>
      <c r="D37" s="408"/>
      <c r="E37" s="392" t="s">
        <v>19</v>
      </c>
      <c r="F37" s="389">
        <f t="shared" si="16"/>
        <v>0</v>
      </c>
      <c r="G37" s="316"/>
      <c r="H37" s="45">
        <f t="shared" si="5"/>
        <v>0</v>
      </c>
      <c r="I37" s="46"/>
      <c r="J37" s="47">
        <f t="shared" ref="J37:U37" si="26">J16*$C$37*$D$37*$G$37</f>
        <v>0</v>
      </c>
      <c r="K37" s="47">
        <f t="shared" si="26"/>
        <v>0</v>
      </c>
      <c r="L37" s="47">
        <f t="shared" si="26"/>
        <v>0</v>
      </c>
      <c r="M37" s="47">
        <f t="shared" si="26"/>
        <v>0</v>
      </c>
      <c r="N37" s="47">
        <f t="shared" si="26"/>
        <v>0</v>
      </c>
      <c r="O37" s="47">
        <f t="shared" si="26"/>
        <v>0</v>
      </c>
      <c r="P37" s="47">
        <f t="shared" si="26"/>
        <v>0</v>
      </c>
      <c r="Q37" s="47">
        <f t="shared" si="26"/>
        <v>0</v>
      </c>
      <c r="R37" s="47">
        <f t="shared" si="26"/>
        <v>0</v>
      </c>
      <c r="S37" s="47">
        <f t="shared" si="26"/>
        <v>0</v>
      </c>
      <c r="T37" s="47">
        <f t="shared" si="26"/>
        <v>0</v>
      </c>
      <c r="U37" s="48">
        <f t="shared" si="26"/>
        <v>0</v>
      </c>
      <c r="W37" s="38" t="e">
        <f t="shared" si="7"/>
        <v>#DIV/0!</v>
      </c>
      <c r="X37" s="1" t="str">
        <f t="shared" si="8"/>
        <v>CF+</v>
      </c>
    </row>
    <row r="38" spans="1:24" x14ac:dyDescent="0.25">
      <c r="A38" s="11"/>
      <c r="B38" s="246" t="s">
        <v>32</v>
      </c>
      <c r="C38" s="313"/>
      <c r="D38" s="408"/>
      <c r="E38" s="392" t="s">
        <v>19</v>
      </c>
      <c r="F38" s="389">
        <f t="shared" si="16"/>
        <v>0</v>
      </c>
      <c r="G38" s="316"/>
      <c r="H38" s="45">
        <f t="shared" si="5"/>
        <v>0</v>
      </c>
      <c r="I38" s="46"/>
      <c r="J38" s="47">
        <f t="shared" ref="J38:U38" si="27">J16*$C$38*$D$38*$G$38</f>
        <v>0</v>
      </c>
      <c r="K38" s="47">
        <f t="shared" si="27"/>
        <v>0</v>
      </c>
      <c r="L38" s="47">
        <f t="shared" si="27"/>
        <v>0</v>
      </c>
      <c r="M38" s="47">
        <f t="shared" si="27"/>
        <v>0</v>
      </c>
      <c r="N38" s="47">
        <f t="shared" si="27"/>
        <v>0</v>
      </c>
      <c r="O38" s="47">
        <f t="shared" si="27"/>
        <v>0</v>
      </c>
      <c r="P38" s="47">
        <f t="shared" si="27"/>
        <v>0</v>
      </c>
      <c r="Q38" s="47">
        <f t="shared" si="27"/>
        <v>0</v>
      </c>
      <c r="R38" s="47">
        <f t="shared" si="27"/>
        <v>0</v>
      </c>
      <c r="S38" s="47">
        <f t="shared" si="27"/>
        <v>0</v>
      </c>
      <c r="T38" s="47">
        <f t="shared" si="27"/>
        <v>0</v>
      </c>
      <c r="U38" s="48">
        <f t="shared" si="27"/>
        <v>0</v>
      </c>
      <c r="W38" s="38" t="e">
        <f t="shared" si="7"/>
        <v>#DIV/0!</v>
      </c>
      <c r="X38" s="1" t="str">
        <f t="shared" si="8"/>
        <v>CF-</v>
      </c>
    </row>
    <row r="39" spans="1:24" x14ac:dyDescent="0.25">
      <c r="A39" s="11"/>
      <c r="B39" s="246" t="s">
        <v>33</v>
      </c>
      <c r="C39" s="313"/>
      <c r="D39" s="408"/>
      <c r="E39" s="392" t="s">
        <v>19</v>
      </c>
      <c r="F39" s="389">
        <f t="shared" si="16"/>
        <v>0</v>
      </c>
      <c r="G39" s="316"/>
      <c r="H39" s="45">
        <f t="shared" si="5"/>
        <v>0</v>
      </c>
      <c r="I39" s="46"/>
      <c r="J39" s="47">
        <f t="shared" ref="J39:U39" si="28">J16*$C$39*$D$39*$G$39</f>
        <v>0</v>
      </c>
      <c r="K39" s="47">
        <f t="shared" si="28"/>
        <v>0</v>
      </c>
      <c r="L39" s="47">
        <f t="shared" si="28"/>
        <v>0</v>
      </c>
      <c r="M39" s="47">
        <f t="shared" si="28"/>
        <v>0</v>
      </c>
      <c r="N39" s="47">
        <f t="shared" si="28"/>
        <v>0</v>
      </c>
      <c r="O39" s="47">
        <f t="shared" si="28"/>
        <v>0</v>
      </c>
      <c r="P39" s="47">
        <f t="shared" si="28"/>
        <v>0</v>
      </c>
      <c r="Q39" s="47">
        <f t="shared" si="28"/>
        <v>0</v>
      </c>
      <c r="R39" s="47">
        <f t="shared" si="28"/>
        <v>0</v>
      </c>
      <c r="S39" s="47">
        <f t="shared" si="28"/>
        <v>0</v>
      </c>
      <c r="T39" s="47">
        <f t="shared" si="28"/>
        <v>0</v>
      </c>
      <c r="U39" s="48">
        <f t="shared" si="28"/>
        <v>0</v>
      </c>
      <c r="W39" s="38" t="e">
        <f t="shared" si="7"/>
        <v>#DIV/0!</v>
      </c>
      <c r="X39" s="1" t="str">
        <f t="shared" si="8"/>
        <v>CM</v>
      </c>
    </row>
    <row r="40" spans="1:24" x14ac:dyDescent="0.25">
      <c r="A40" s="11"/>
      <c r="B40" s="243" t="s">
        <v>35</v>
      </c>
      <c r="C40" s="313"/>
      <c r="D40" s="408"/>
      <c r="E40" s="392" t="s">
        <v>19</v>
      </c>
      <c r="F40" s="389">
        <f t="shared" si="16"/>
        <v>0</v>
      </c>
      <c r="G40" s="316"/>
      <c r="H40" s="45">
        <f t="shared" si="5"/>
        <v>0</v>
      </c>
      <c r="I40" s="46"/>
      <c r="J40" s="47">
        <f t="shared" ref="J40:U40" si="29">J16*$C$40*$D$40*$G$40</f>
        <v>0</v>
      </c>
      <c r="K40" s="47">
        <f t="shared" si="29"/>
        <v>0</v>
      </c>
      <c r="L40" s="47">
        <f t="shared" si="29"/>
        <v>0</v>
      </c>
      <c r="M40" s="47">
        <f t="shared" si="29"/>
        <v>0</v>
      </c>
      <c r="N40" s="47">
        <f t="shared" si="29"/>
        <v>0</v>
      </c>
      <c r="O40" s="47">
        <f t="shared" si="29"/>
        <v>0</v>
      </c>
      <c r="P40" s="47">
        <f t="shared" si="29"/>
        <v>0</v>
      </c>
      <c r="Q40" s="47">
        <f t="shared" si="29"/>
        <v>0</v>
      </c>
      <c r="R40" s="47">
        <f t="shared" si="29"/>
        <v>0</v>
      </c>
      <c r="S40" s="47">
        <f t="shared" si="29"/>
        <v>0</v>
      </c>
      <c r="T40" s="47">
        <f t="shared" si="29"/>
        <v>0</v>
      </c>
      <c r="U40" s="48">
        <f t="shared" si="29"/>
        <v>0</v>
      </c>
      <c r="W40" s="38" t="e">
        <f t="shared" si="7"/>
        <v>#DIV/0!</v>
      </c>
      <c r="X40" s="1" t="str">
        <f t="shared" si="8"/>
        <v>Euc A</v>
      </c>
    </row>
    <row r="41" spans="1:24" x14ac:dyDescent="0.25">
      <c r="A41" s="11"/>
      <c r="B41" s="243" t="s">
        <v>36</v>
      </c>
      <c r="C41" s="313"/>
      <c r="D41" s="408"/>
      <c r="E41" s="392"/>
      <c r="F41" s="389"/>
      <c r="G41" s="316"/>
      <c r="H41" s="45">
        <f t="shared" si="5"/>
        <v>0</v>
      </c>
      <c r="I41" s="46"/>
      <c r="J41" s="47">
        <f t="shared" ref="J41:U41" si="30">J16*$C$41*$D$41*$G$41</f>
        <v>0</v>
      </c>
      <c r="K41" s="47">
        <f t="shared" si="30"/>
        <v>0</v>
      </c>
      <c r="L41" s="47">
        <f t="shared" si="30"/>
        <v>0</v>
      </c>
      <c r="M41" s="47">
        <f t="shared" si="30"/>
        <v>0</v>
      </c>
      <c r="N41" s="47">
        <f t="shared" si="30"/>
        <v>0</v>
      </c>
      <c r="O41" s="47">
        <f t="shared" si="30"/>
        <v>0</v>
      </c>
      <c r="P41" s="47">
        <f t="shared" si="30"/>
        <v>0</v>
      </c>
      <c r="Q41" s="47">
        <f t="shared" si="30"/>
        <v>0</v>
      </c>
      <c r="R41" s="47">
        <f t="shared" si="30"/>
        <v>0</v>
      </c>
      <c r="S41" s="47">
        <f t="shared" si="30"/>
        <v>0</v>
      </c>
      <c r="T41" s="47">
        <f t="shared" si="30"/>
        <v>0</v>
      </c>
      <c r="U41" s="48">
        <f t="shared" si="30"/>
        <v>0</v>
      </c>
      <c r="W41" s="38" t="e">
        <f t="shared" si="7"/>
        <v>#DIV/0!</v>
      </c>
      <c r="X41" s="1" t="str">
        <f t="shared" si="8"/>
        <v>Euc K</v>
      </c>
    </row>
    <row r="42" spans="1:24" ht="15.75" thickBot="1" x14ac:dyDescent="0.3">
      <c r="A42" s="11"/>
      <c r="B42" s="49"/>
      <c r="C42" s="314">
        <f>SUM(C20:C41)</f>
        <v>1.0022978496041302</v>
      </c>
      <c r="D42" s="51"/>
      <c r="E42" s="52"/>
      <c r="F42" s="53"/>
      <c r="G42" s="54"/>
      <c r="H42" s="54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318"/>
    </row>
    <row r="43" spans="1:24" ht="15.75" thickTop="1" x14ac:dyDescent="0.25">
      <c r="A43" s="11"/>
      <c r="B43" s="55" t="s">
        <v>39</v>
      </c>
      <c r="C43" s="51">
        <f>SUMIF(E20:E41,"JAS",C20:C41)</f>
        <v>0.76817351661543376</v>
      </c>
      <c r="D43" s="51"/>
      <c r="E43" s="52"/>
      <c r="F43" s="53"/>
      <c r="G43" s="54"/>
      <c r="H43" s="45">
        <f>SUM(J43:U43)</f>
        <v>0</v>
      </c>
      <c r="I43" s="46"/>
      <c r="J43" s="56">
        <f t="shared" ref="J43:U43" si="31">SUM(J28:J41)</f>
        <v>0</v>
      </c>
      <c r="K43" s="56">
        <f t="shared" si="31"/>
        <v>0</v>
      </c>
      <c r="L43" s="56">
        <f t="shared" si="31"/>
        <v>0</v>
      </c>
      <c r="M43" s="56">
        <f t="shared" si="31"/>
        <v>0</v>
      </c>
      <c r="N43" s="56">
        <f t="shared" si="31"/>
        <v>0</v>
      </c>
      <c r="O43" s="56">
        <f t="shared" si="31"/>
        <v>0</v>
      </c>
      <c r="P43" s="56">
        <f t="shared" si="31"/>
        <v>0</v>
      </c>
      <c r="Q43" s="56">
        <f t="shared" si="31"/>
        <v>0</v>
      </c>
      <c r="R43" s="56">
        <f t="shared" si="31"/>
        <v>0</v>
      </c>
      <c r="S43" s="56">
        <f t="shared" si="31"/>
        <v>0</v>
      </c>
      <c r="T43" s="56">
        <f t="shared" si="31"/>
        <v>0</v>
      </c>
      <c r="U43" s="57">
        <f t="shared" si="31"/>
        <v>0</v>
      </c>
      <c r="W43" s="38" t="e">
        <f>SUM(W20:W42)</f>
        <v>#DIV/0!</v>
      </c>
    </row>
    <row r="44" spans="1:24" x14ac:dyDescent="0.25">
      <c r="A44" s="11"/>
      <c r="B44" s="55" t="s">
        <v>40</v>
      </c>
      <c r="C44" s="51">
        <f>SUMIF(E20:E41,"Tonnes",C20:C41)</f>
        <v>0.23412433298869639</v>
      </c>
      <c r="D44" s="51"/>
      <c r="E44" s="52"/>
      <c r="F44" s="53"/>
      <c r="G44" s="54"/>
      <c r="H44" s="45">
        <f>SUM(J44:U44)</f>
        <v>0</v>
      </c>
      <c r="I44" s="46"/>
      <c r="J44" s="56">
        <f t="shared" ref="J44:U44" si="32">SUM(J20:J27)</f>
        <v>0</v>
      </c>
      <c r="K44" s="56">
        <f t="shared" si="32"/>
        <v>0</v>
      </c>
      <c r="L44" s="56">
        <f t="shared" si="32"/>
        <v>0</v>
      </c>
      <c r="M44" s="56">
        <f t="shared" si="32"/>
        <v>0</v>
      </c>
      <c r="N44" s="56">
        <f t="shared" si="32"/>
        <v>0</v>
      </c>
      <c r="O44" s="56">
        <f t="shared" si="32"/>
        <v>0</v>
      </c>
      <c r="P44" s="56">
        <f t="shared" si="32"/>
        <v>0</v>
      </c>
      <c r="Q44" s="56">
        <f t="shared" si="32"/>
        <v>0</v>
      </c>
      <c r="R44" s="56">
        <f t="shared" si="32"/>
        <v>0</v>
      </c>
      <c r="S44" s="56">
        <f t="shared" si="32"/>
        <v>0</v>
      </c>
      <c r="T44" s="56">
        <f t="shared" si="32"/>
        <v>0</v>
      </c>
      <c r="U44" s="57">
        <f t="shared" si="32"/>
        <v>0</v>
      </c>
    </row>
    <row r="45" spans="1:24" ht="15.75" thickBot="1" x14ac:dyDescent="0.3">
      <c r="A45" s="11"/>
      <c r="B45" s="49"/>
      <c r="C45" s="51"/>
      <c r="D45" s="51"/>
      <c r="E45" s="52"/>
      <c r="F45" s="53"/>
      <c r="G45" s="54"/>
      <c r="H45" s="54"/>
      <c r="I45" s="46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8"/>
    </row>
    <row r="46" spans="1:24" ht="16.5" thickTop="1" thickBot="1" x14ac:dyDescent="0.3">
      <c r="A46" s="11"/>
      <c r="B46" s="59" t="s">
        <v>18</v>
      </c>
      <c r="C46" s="60"/>
      <c r="D46" s="60"/>
      <c r="E46" s="61"/>
      <c r="F46" s="62"/>
      <c r="G46" s="63">
        <f>IFERROR(H46/W16,0)</f>
        <v>0</v>
      </c>
      <c r="H46" s="64">
        <f>SUM(H20:H41)</f>
        <v>0</v>
      </c>
      <c r="I46" s="65"/>
      <c r="J46" s="64">
        <f t="shared" ref="J46:U46" si="33">SUM(J20:J41)</f>
        <v>0</v>
      </c>
      <c r="K46" s="64">
        <f t="shared" si="33"/>
        <v>0</v>
      </c>
      <c r="L46" s="64">
        <f t="shared" si="33"/>
        <v>0</v>
      </c>
      <c r="M46" s="64">
        <f t="shared" si="33"/>
        <v>0</v>
      </c>
      <c r="N46" s="64">
        <f t="shared" si="33"/>
        <v>0</v>
      </c>
      <c r="O46" s="64">
        <f t="shared" si="33"/>
        <v>0</v>
      </c>
      <c r="P46" s="64">
        <f t="shared" si="33"/>
        <v>0</v>
      </c>
      <c r="Q46" s="64">
        <f t="shared" si="33"/>
        <v>0</v>
      </c>
      <c r="R46" s="64">
        <f t="shared" si="33"/>
        <v>0</v>
      </c>
      <c r="S46" s="64">
        <f t="shared" si="33"/>
        <v>0</v>
      </c>
      <c r="T46" s="64">
        <f t="shared" si="33"/>
        <v>0</v>
      </c>
      <c r="U46" s="66">
        <f t="shared" si="33"/>
        <v>0</v>
      </c>
      <c r="W46" s="67">
        <f>SUM(J46:U46)</f>
        <v>0</v>
      </c>
    </row>
    <row r="47" spans="1:24" x14ac:dyDescent="0.25">
      <c r="A47" s="11"/>
      <c r="B47" s="68"/>
      <c r="G47" s="52"/>
      <c r="H47" s="69"/>
      <c r="I47" s="69"/>
    </row>
    <row r="48" spans="1:24" ht="16.5" thickBot="1" x14ac:dyDescent="0.3">
      <c r="A48" s="11"/>
      <c r="B48" s="70" t="s">
        <v>41</v>
      </c>
      <c r="C48" s="80" t="s">
        <v>44</v>
      </c>
      <c r="D48" s="42" t="s">
        <v>220</v>
      </c>
    </row>
    <row r="49" spans="1:23" ht="15.75" thickBot="1" x14ac:dyDescent="0.3">
      <c r="A49" s="11"/>
      <c r="B49" s="71" t="s">
        <v>42</v>
      </c>
      <c r="C49" s="321" t="s">
        <v>193</v>
      </c>
      <c r="D49" s="324" t="s">
        <v>53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40"/>
    </row>
    <row r="50" spans="1:23" ht="15.75" thickBot="1" x14ac:dyDescent="0.3">
      <c r="A50" s="11"/>
      <c r="B50" s="72"/>
      <c r="C50" s="319"/>
      <c r="D50" s="43"/>
      <c r="E50" s="43"/>
      <c r="F50" s="43"/>
      <c r="G50" s="43"/>
      <c r="H50" s="42" t="s">
        <v>18</v>
      </c>
      <c r="I50" s="43"/>
      <c r="J50" s="178">
        <v>45658</v>
      </c>
      <c r="K50" s="178">
        <v>45689</v>
      </c>
      <c r="L50" s="178">
        <v>45717</v>
      </c>
      <c r="M50" s="178">
        <v>45748</v>
      </c>
      <c r="N50" s="178">
        <v>45778</v>
      </c>
      <c r="O50" s="178">
        <v>45809</v>
      </c>
      <c r="P50" s="178">
        <v>45839</v>
      </c>
      <c r="Q50" s="178">
        <v>45870</v>
      </c>
      <c r="R50" s="178">
        <v>45901</v>
      </c>
      <c r="S50" s="178">
        <v>45931</v>
      </c>
      <c r="T50" s="178">
        <v>45962</v>
      </c>
      <c r="U50" s="178">
        <v>45992</v>
      </c>
    </row>
    <row r="51" spans="1:23" ht="16.5" thickTop="1" thickBot="1" x14ac:dyDescent="0.3">
      <c r="A51" s="11"/>
      <c r="B51" s="73"/>
      <c r="C51" s="320"/>
      <c r="D51" s="74"/>
      <c r="E51" s="74"/>
      <c r="F51" s="74"/>
      <c r="G51" s="74">
        <f>IFERROR(H51/W16,0)</f>
        <v>0</v>
      </c>
      <c r="H51" s="75">
        <f>SUM(J51:U51)</f>
        <v>0</v>
      </c>
      <c r="I51" s="76"/>
      <c r="J51" s="77">
        <f t="shared" ref="J51:U51" si="34">J16*J13</f>
        <v>0</v>
      </c>
      <c r="K51" s="77">
        <f t="shared" si="34"/>
        <v>0</v>
      </c>
      <c r="L51" s="77">
        <f t="shared" si="34"/>
        <v>0</v>
      </c>
      <c r="M51" s="77">
        <f t="shared" si="34"/>
        <v>0</v>
      </c>
      <c r="N51" s="77">
        <f t="shared" si="34"/>
        <v>0</v>
      </c>
      <c r="O51" s="77">
        <f t="shared" si="34"/>
        <v>0</v>
      </c>
      <c r="P51" s="77">
        <f t="shared" si="34"/>
        <v>0</v>
      </c>
      <c r="Q51" s="77">
        <f t="shared" si="34"/>
        <v>0</v>
      </c>
      <c r="R51" s="77">
        <f t="shared" si="34"/>
        <v>0</v>
      </c>
      <c r="S51" s="77">
        <f t="shared" si="34"/>
        <v>0</v>
      </c>
      <c r="T51" s="77">
        <f t="shared" si="34"/>
        <v>0</v>
      </c>
      <c r="U51" s="78">
        <f t="shared" si="34"/>
        <v>0</v>
      </c>
      <c r="W51" s="67">
        <f>SUM(J51:U51)</f>
        <v>0</v>
      </c>
    </row>
    <row r="52" spans="1:23" x14ac:dyDescent="0.25">
      <c r="A52" s="11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</row>
    <row r="53" spans="1:23" ht="15.75" thickBot="1" x14ac:dyDescent="0.3">
      <c r="A53" s="11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</row>
    <row r="54" spans="1:23" ht="15.75" thickBot="1" x14ac:dyDescent="0.3">
      <c r="A54" s="11"/>
      <c r="B54" s="71" t="s">
        <v>43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40"/>
    </row>
    <row r="55" spans="1:23" x14ac:dyDescent="0.25">
      <c r="A55" s="11"/>
      <c r="B55" s="41" t="s">
        <v>13</v>
      </c>
      <c r="C55" s="80" t="s">
        <v>44</v>
      </c>
      <c r="D55" s="42" t="s">
        <v>220</v>
      </c>
      <c r="E55" s="80" t="s">
        <v>45</v>
      </c>
      <c r="F55" s="80" t="s">
        <v>45</v>
      </c>
      <c r="G55" s="80" t="s">
        <v>46</v>
      </c>
      <c r="H55" s="81" t="s">
        <v>18</v>
      </c>
      <c r="I55" s="43"/>
      <c r="J55" s="178">
        <v>45658</v>
      </c>
      <c r="K55" s="178">
        <v>45689</v>
      </c>
      <c r="L55" s="178">
        <v>45717</v>
      </c>
      <c r="M55" s="178">
        <v>45748</v>
      </c>
      <c r="N55" s="178">
        <v>45778</v>
      </c>
      <c r="O55" s="178">
        <v>45809</v>
      </c>
      <c r="P55" s="178">
        <v>45839</v>
      </c>
      <c r="Q55" s="178">
        <v>45870</v>
      </c>
      <c r="R55" s="178">
        <v>45901</v>
      </c>
      <c r="S55" s="178">
        <v>45931</v>
      </c>
      <c r="T55" s="178">
        <v>45962</v>
      </c>
      <c r="U55" s="178">
        <v>45992</v>
      </c>
    </row>
    <row r="56" spans="1:23" x14ac:dyDescent="0.25">
      <c r="A56" s="11"/>
      <c r="B56" s="203" t="s">
        <v>20</v>
      </c>
      <c r="C56" s="321" t="s">
        <v>192</v>
      </c>
      <c r="D56" s="83" t="s">
        <v>47</v>
      </c>
      <c r="E56" s="393" t="s">
        <v>172</v>
      </c>
      <c r="F56" s="394"/>
      <c r="G56" s="360"/>
      <c r="H56" s="82">
        <f t="shared" ref="H56:H77" si="35">SUM(J56:U56)</f>
        <v>0</v>
      </c>
      <c r="I56" s="54"/>
      <c r="J56" s="325">
        <f t="shared" ref="J56:U56" si="36">IF($C20&gt;0,(J$16*$C20)*$G56,0)</f>
        <v>0</v>
      </c>
      <c r="K56" s="325">
        <f t="shared" si="36"/>
        <v>0</v>
      </c>
      <c r="L56" s="325">
        <f t="shared" si="36"/>
        <v>0</v>
      </c>
      <c r="M56" s="325">
        <f t="shared" si="36"/>
        <v>0</v>
      </c>
      <c r="N56" s="325">
        <f t="shared" si="36"/>
        <v>0</v>
      </c>
      <c r="O56" s="325">
        <f t="shared" si="36"/>
        <v>0</v>
      </c>
      <c r="P56" s="325">
        <f t="shared" si="36"/>
        <v>0</v>
      </c>
      <c r="Q56" s="325">
        <f t="shared" si="36"/>
        <v>0</v>
      </c>
      <c r="R56" s="325">
        <f t="shared" si="36"/>
        <v>0</v>
      </c>
      <c r="S56" s="325">
        <f t="shared" si="36"/>
        <v>0</v>
      </c>
      <c r="T56" s="325">
        <f t="shared" si="36"/>
        <v>0</v>
      </c>
      <c r="U56" s="326">
        <f t="shared" si="36"/>
        <v>0</v>
      </c>
    </row>
    <row r="57" spans="1:23" x14ac:dyDescent="0.25">
      <c r="A57" s="11"/>
      <c r="B57" s="102" t="s">
        <v>22</v>
      </c>
      <c r="C57" s="322" t="s">
        <v>192</v>
      </c>
      <c r="D57" s="207" t="s">
        <v>47</v>
      </c>
      <c r="E57" s="395" t="s">
        <v>172</v>
      </c>
      <c r="F57" s="361"/>
      <c r="G57" s="360"/>
      <c r="H57" s="82">
        <f t="shared" si="35"/>
        <v>0</v>
      </c>
      <c r="I57" s="54"/>
      <c r="J57" s="325">
        <f t="shared" ref="J57:U57" si="37">IF($C21&gt;0,(J$16*$C21)*$G57,0)</f>
        <v>0</v>
      </c>
      <c r="K57" s="325">
        <f t="shared" si="37"/>
        <v>0</v>
      </c>
      <c r="L57" s="325">
        <f t="shared" si="37"/>
        <v>0</v>
      </c>
      <c r="M57" s="325">
        <f t="shared" si="37"/>
        <v>0</v>
      </c>
      <c r="N57" s="325">
        <f t="shared" si="37"/>
        <v>0</v>
      </c>
      <c r="O57" s="325">
        <f t="shared" si="37"/>
        <v>0</v>
      </c>
      <c r="P57" s="325">
        <f t="shared" si="37"/>
        <v>0</v>
      </c>
      <c r="Q57" s="325">
        <f t="shared" si="37"/>
        <v>0</v>
      </c>
      <c r="R57" s="325">
        <f t="shared" si="37"/>
        <v>0</v>
      </c>
      <c r="S57" s="325">
        <f t="shared" si="37"/>
        <v>0</v>
      </c>
      <c r="T57" s="325">
        <f t="shared" si="37"/>
        <v>0</v>
      </c>
      <c r="U57" s="326">
        <f t="shared" si="37"/>
        <v>0</v>
      </c>
    </row>
    <row r="58" spans="1:23" x14ac:dyDescent="0.25">
      <c r="A58" s="11"/>
      <c r="B58" s="102" t="s">
        <v>25</v>
      </c>
      <c r="C58" s="322" t="s">
        <v>192</v>
      </c>
      <c r="D58" s="207" t="s">
        <v>47</v>
      </c>
      <c r="E58" s="395" t="s">
        <v>172</v>
      </c>
      <c r="F58" s="396"/>
      <c r="G58" s="360"/>
      <c r="H58" s="82">
        <f t="shared" si="35"/>
        <v>0</v>
      </c>
      <c r="I58" s="54"/>
      <c r="J58" s="325">
        <f t="shared" ref="J58:U58" si="38">IF($C22&gt;0,(J$16*$C22)*$G58,0)</f>
        <v>0</v>
      </c>
      <c r="K58" s="325">
        <f t="shared" si="38"/>
        <v>0</v>
      </c>
      <c r="L58" s="325">
        <f t="shared" si="38"/>
        <v>0</v>
      </c>
      <c r="M58" s="325">
        <f t="shared" si="38"/>
        <v>0</v>
      </c>
      <c r="N58" s="325">
        <f t="shared" si="38"/>
        <v>0</v>
      </c>
      <c r="O58" s="325">
        <f t="shared" si="38"/>
        <v>0</v>
      </c>
      <c r="P58" s="325">
        <f t="shared" si="38"/>
        <v>0</v>
      </c>
      <c r="Q58" s="325">
        <f t="shared" si="38"/>
        <v>0</v>
      </c>
      <c r="R58" s="325">
        <f t="shared" si="38"/>
        <v>0</v>
      </c>
      <c r="S58" s="325">
        <f t="shared" si="38"/>
        <v>0</v>
      </c>
      <c r="T58" s="325">
        <f t="shared" si="38"/>
        <v>0</v>
      </c>
      <c r="U58" s="326">
        <f t="shared" si="38"/>
        <v>0</v>
      </c>
    </row>
    <row r="59" spans="1:23" x14ac:dyDescent="0.25">
      <c r="A59" s="11"/>
      <c r="B59" s="102" t="s">
        <v>30</v>
      </c>
      <c r="C59" s="322" t="s">
        <v>192</v>
      </c>
      <c r="D59" s="207" t="s">
        <v>47</v>
      </c>
      <c r="E59" s="395" t="s">
        <v>172</v>
      </c>
      <c r="F59" s="396"/>
      <c r="G59" s="360"/>
      <c r="H59" s="82">
        <f t="shared" si="35"/>
        <v>0</v>
      </c>
      <c r="I59" s="54"/>
      <c r="J59" s="325">
        <f t="shared" ref="J59:U59" si="39">IF($C23&gt;0,(J$16*$C23)*$G59,0)</f>
        <v>0</v>
      </c>
      <c r="K59" s="325">
        <f t="shared" si="39"/>
        <v>0</v>
      </c>
      <c r="L59" s="325">
        <f t="shared" si="39"/>
        <v>0</v>
      </c>
      <c r="M59" s="325">
        <f t="shared" si="39"/>
        <v>0</v>
      </c>
      <c r="N59" s="325">
        <f t="shared" si="39"/>
        <v>0</v>
      </c>
      <c r="O59" s="325">
        <f t="shared" si="39"/>
        <v>0</v>
      </c>
      <c r="P59" s="325">
        <f t="shared" si="39"/>
        <v>0</v>
      </c>
      <c r="Q59" s="325">
        <f t="shared" si="39"/>
        <v>0</v>
      </c>
      <c r="R59" s="325">
        <f t="shared" si="39"/>
        <v>0</v>
      </c>
      <c r="S59" s="325">
        <f t="shared" si="39"/>
        <v>0</v>
      </c>
      <c r="T59" s="325">
        <f t="shared" si="39"/>
        <v>0</v>
      </c>
      <c r="U59" s="326">
        <f t="shared" si="39"/>
        <v>0</v>
      </c>
    </row>
    <row r="60" spans="1:23" x14ac:dyDescent="0.25">
      <c r="A60" s="11"/>
      <c r="B60" s="102" t="s">
        <v>222</v>
      </c>
      <c r="C60" s="322" t="s">
        <v>192</v>
      </c>
      <c r="D60" s="207" t="s">
        <v>47</v>
      </c>
      <c r="E60" s="395" t="s">
        <v>172</v>
      </c>
      <c r="F60" s="396"/>
      <c r="G60" s="360"/>
      <c r="H60" s="82">
        <f t="shared" si="35"/>
        <v>0</v>
      </c>
      <c r="I60" s="54"/>
      <c r="J60" s="325">
        <f t="shared" ref="J60:U60" si="40">IF($C24&gt;0,(J$16*$C24)*$G60,0)</f>
        <v>0</v>
      </c>
      <c r="K60" s="325">
        <f t="shared" si="40"/>
        <v>0</v>
      </c>
      <c r="L60" s="325">
        <f t="shared" si="40"/>
        <v>0</v>
      </c>
      <c r="M60" s="325">
        <f t="shared" si="40"/>
        <v>0</v>
      </c>
      <c r="N60" s="325">
        <f t="shared" si="40"/>
        <v>0</v>
      </c>
      <c r="O60" s="325">
        <f t="shared" si="40"/>
        <v>0</v>
      </c>
      <c r="P60" s="325">
        <f t="shared" si="40"/>
        <v>0</v>
      </c>
      <c r="Q60" s="325">
        <f t="shared" si="40"/>
        <v>0</v>
      </c>
      <c r="R60" s="325">
        <f t="shared" si="40"/>
        <v>0</v>
      </c>
      <c r="S60" s="325">
        <f t="shared" si="40"/>
        <v>0</v>
      </c>
      <c r="T60" s="325">
        <f t="shared" si="40"/>
        <v>0</v>
      </c>
      <c r="U60" s="326">
        <f t="shared" si="40"/>
        <v>0</v>
      </c>
    </row>
    <row r="61" spans="1:23" x14ac:dyDescent="0.25">
      <c r="A61" s="11"/>
      <c r="B61" s="102" t="s">
        <v>34</v>
      </c>
      <c r="C61" s="322" t="s">
        <v>192</v>
      </c>
      <c r="D61" s="207" t="s">
        <v>47</v>
      </c>
      <c r="E61" s="395" t="s">
        <v>172</v>
      </c>
      <c r="F61" s="396"/>
      <c r="G61" s="360"/>
      <c r="H61" s="82">
        <f t="shared" si="35"/>
        <v>0</v>
      </c>
      <c r="I61" s="54"/>
      <c r="J61" s="325">
        <f t="shared" ref="J61:U61" si="41">IF($C25&gt;0,(J$16*$C25)*$G61,0)</f>
        <v>0</v>
      </c>
      <c r="K61" s="325">
        <f t="shared" si="41"/>
        <v>0</v>
      </c>
      <c r="L61" s="325">
        <f t="shared" si="41"/>
        <v>0</v>
      </c>
      <c r="M61" s="325">
        <f t="shared" si="41"/>
        <v>0</v>
      </c>
      <c r="N61" s="325">
        <f t="shared" si="41"/>
        <v>0</v>
      </c>
      <c r="O61" s="325">
        <f t="shared" si="41"/>
        <v>0</v>
      </c>
      <c r="P61" s="325">
        <f t="shared" si="41"/>
        <v>0</v>
      </c>
      <c r="Q61" s="325">
        <f t="shared" si="41"/>
        <v>0</v>
      </c>
      <c r="R61" s="325">
        <f t="shared" si="41"/>
        <v>0</v>
      </c>
      <c r="S61" s="325">
        <f t="shared" si="41"/>
        <v>0</v>
      </c>
      <c r="T61" s="325">
        <f t="shared" si="41"/>
        <v>0</v>
      </c>
      <c r="U61" s="326">
        <f t="shared" si="41"/>
        <v>0</v>
      </c>
    </row>
    <row r="62" spans="1:23" x14ac:dyDescent="0.25">
      <c r="A62" s="11"/>
      <c r="B62" s="102" t="s">
        <v>37</v>
      </c>
      <c r="C62" s="322" t="s">
        <v>192</v>
      </c>
      <c r="D62" s="207" t="s">
        <v>47</v>
      </c>
      <c r="E62" s="395" t="s">
        <v>172</v>
      </c>
      <c r="F62" s="396"/>
      <c r="G62" s="360"/>
      <c r="H62" s="82">
        <f t="shared" si="35"/>
        <v>0</v>
      </c>
      <c r="I62" s="54"/>
      <c r="J62" s="325">
        <f t="shared" ref="J62:U62" si="42">IF($C26&gt;0,(J$16*$C26)*$G62,0)</f>
        <v>0</v>
      </c>
      <c r="K62" s="325">
        <f t="shared" si="42"/>
        <v>0</v>
      </c>
      <c r="L62" s="325">
        <f t="shared" si="42"/>
        <v>0</v>
      </c>
      <c r="M62" s="325">
        <f t="shared" si="42"/>
        <v>0</v>
      </c>
      <c r="N62" s="325">
        <f t="shared" si="42"/>
        <v>0</v>
      </c>
      <c r="O62" s="325">
        <f t="shared" si="42"/>
        <v>0</v>
      </c>
      <c r="P62" s="325">
        <f t="shared" si="42"/>
        <v>0</v>
      </c>
      <c r="Q62" s="325">
        <f t="shared" si="42"/>
        <v>0</v>
      </c>
      <c r="R62" s="325">
        <f t="shared" si="42"/>
        <v>0</v>
      </c>
      <c r="S62" s="325">
        <f t="shared" si="42"/>
        <v>0</v>
      </c>
      <c r="T62" s="325">
        <f t="shared" si="42"/>
        <v>0</v>
      </c>
      <c r="U62" s="326">
        <f t="shared" si="42"/>
        <v>0</v>
      </c>
    </row>
    <row r="63" spans="1:23" x14ac:dyDescent="0.25">
      <c r="A63" s="11"/>
      <c r="B63" s="102" t="s">
        <v>174</v>
      </c>
      <c r="C63" s="322" t="s">
        <v>192</v>
      </c>
      <c r="D63" s="207" t="s">
        <v>47</v>
      </c>
      <c r="E63" s="395" t="s">
        <v>172</v>
      </c>
      <c r="F63" s="396"/>
      <c r="G63" s="360"/>
      <c r="H63" s="82">
        <f t="shared" si="35"/>
        <v>0</v>
      </c>
      <c r="I63" s="54"/>
      <c r="J63" s="325">
        <f t="shared" ref="J63:U63" si="43">IF($C27&gt;0,(J$16*$C27)*$G63,0)</f>
        <v>0</v>
      </c>
      <c r="K63" s="325">
        <f t="shared" si="43"/>
        <v>0</v>
      </c>
      <c r="L63" s="325">
        <f t="shared" si="43"/>
        <v>0</v>
      </c>
      <c r="M63" s="325">
        <f t="shared" si="43"/>
        <v>0</v>
      </c>
      <c r="N63" s="325">
        <f t="shared" si="43"/>
        <v>0</v>
      </c>
      <c r="O63" s="325">
        <f t="shared" si="43"/>
        <v>0</v>
      </c>
      <c r="P63" s="325">
        <f t="shared" si="43"/>
        <v>0</v>
      </c>
      <c r="Q63" s="325">
        <f t="shared" si="43"/>
        <v>0</v>
      </c>
      <c r="R63" s="325">
        <f t="shared" si="43"/>
        <v>0</v>
      </c>
      <c r="S63" s="325">
        <f t="shared" si="43"/>
        <v>0</v>
      </c>
      <c r="T63" s="325">
        <f t="shared" si="43"/>
        <v>0</v>
      </c>
      <c r="U63" s="326">
        <f t="shared" si="43"/>
        <v>0</v>
      </c>
    </row>
    <row r="64" spans="1:23" x14ac:dyDescent="0.25">
      <c r="A64" s="11"/>
      <c r="B64" s="102" t="s">
        <v>175</v>
      </c>
      <c r="C64" s="322" t="s">
        <v>192</v>
      </c>
      <c r="D64" s="207" t="s">
        <v>47</v>
      </c>
      <c r="E64" s="395" t="s">
        <v>221</v>
      </c>
      <c r="F64" s="396"/>
      <c r="G64" s="360"/>
      <c r="H64" s="82">
        <f t="shared" si="35"/>
        <v>0</v>
      </c>
      <c r="I64" s="54"/>
      <c r="J64" s="325">
        <f t="shared" ref="J64:U64" si="44">IF($C28&gt;0,(J$16*$C28)*$G64,0)</f>
        <v>0</v>
      </c>
      <c r="K64" s="325">
        <f t="shared" si="44"/>
        <v>0</v>
      </c>
      <c r="L64" s="325">
        <f t="shared" si="44"/>
        <v>0</v>
      </c>
      <c r="M64" s="325">
        <f t="shared" si="44"/>
        <v>0</v>
      </c>
      <c r="N64" s="325">
        <f t="shared" si="44"/>
        <v>0</v>
      </c>
      <c r="O64" s="325">
        <f t="shared" si="44"/>
        <v>0</v>
      </c>
      <c r="P64" s="325">
        <f t="shared" si="44"/>
        <v>0</v>
      </c>
      <c r="Q64" s="325">
        <f t="shared" si="44"/>
        <v>0</v>
      </c>
      <c r="R64" s="325">
        <f t="shared" si="44"/>
        <v>0</v>
      </c>
      <c r="S64" s="325">
        <f t="shared" si="44"/>
        <v>0</v>
      </c>
      <c r="T64" s="325">
        <f t="shared" si="44"/>
        <v>0</v>
      </c>
      <c r="U64" s="326">
        <f t="shared" si="44"/>
        <v>0</v>
      </c>
    </row>
    <row r="65" spans="1:23" x14ac:dyDescent="0.25">
      <c r="A65" s="11"/>
      <c r="B65" s="102" t="s">
        <v>176</v>
      </c>
      <c r="C65" s="322" t="s">
        <v>192</v>
      </c>
      <c r="D65" s="207" t="s">
        <v>47</v>
      </c>
      <c r="E65" s="395" t="s">
        <v>221</v>
      </c>
      <c r="F65" s="396"/>
      <c r="G65" s="360"/>
      <c r="H65" s="82">
        <f t="shared" si="35"/>
        <v>0</v>
      </c>
      <c r="I65" s="54"/>
      <c r="J65" s="325">
        <f t="shared" ref="J65:U65" si="45">IF($C29&gt;0,(J$16*$C29)*$G65,0)</f>
        <v>0</v>
      </c>
      <c r="K65" s="325">
        <f t="shared" si="45"/>
        <v>0</v>
      </c>
      <c r="L65" s="325">
        <f t="shared" si="45"/>
        <v>0</v>
      </c>
      <c r="M65" s="325">
        <f t="shared" si="45"/>
        <v>0</v>
      </c>
      <c r="N65" s="325">
        <f t="shared" si="45"/>
        <v>0</v>
      </c>
      <c r="O65" s="325">
        <f t="shared" si="45"/>
        <v>0</v>
      </c>
      <c r="P65" s="325">
        <f t="shared" si="45"/>
        <v>0</v>
      </c>
      <c r="Q65" s="325">
        <f t="shared" si="45"/>
        <v>0</v>
      </c>
      <c r="R65" s="325">
        <f t="shared" si="45"/>
        <v>0</v>
      </c>
      <c r="S65" s="325">
        <f t="shared" si="45"/>
        <v>0</v>
      </c>
      <c r="T65" s="325">
        <f t="shared" si="45"/>
        <v>0</v>
      </c>
      <c r="U65" s="326">
        <f t="shared" si="45"/>
        <v>0</v>
      </c>
    </row>
    <row r="66" spans="1:23" x14ac:dyDescent="0.25">
      <c r="A66" s="11"/>
      <c r="B66" s="102" t="s">
        <v>23</v>
      </c>
      <c r="C66" s="322" t="s">
        <v>192</v>
      </c>
      <c r="D66" s="207" t="s">
        <v>47</v>
      </c>
      <c r="E66" s="395" t="s">
        <v>221</v>
      </c>
      <c r="F66" s="396"/>
      <c r="G66" s="360"/>
      <c r="H66" s="82">
        <f t="shared" si="35"/>
        <v>0</v>
      </c>
      <c r="I66" s="54"/>
      <c r="J66" s="325">
        <f t="shared" ref="J66:U66" si="46">IF($C30&gt;0,(J$16*$C30)*$G66,0)</f>
        <v>0</v>
      </c>
      <c r="K66" s="325">
        <f t="shared" si="46"/>
        <v>0</v>
      </c>
      <c r="L66" s="325">
        <f t="shared" si="46"/>
        <v>0</v>
      </c>
      <c r="M66" s="325">
        <f t="shared" si="46"/>
        <v>0</v>
      </c>
      <c r="N66" s="325">
        <f t="shared" si="46"/>
        <v>0</v>
      </c>
      <c r="O66" s="325">
        <f t="shared" si="46"/>
        <v>0</v>
      </c>
      <c r="P66" s="325">
        <f t="shared" si="46"/>
        <v>0</v>
      </c>
      <c r="Q66" s="325">
        <f t="shared" si="46"/>
        <v>0</v>
      </c>
      <c r="R66" s="325">
        <f t="shared" si="46"/>
        <v>0</v>
      </c>
      <c r="S66" s="325">
        <f t="shared" si="46"/>
        <v>0</v>
      </c>
      <c r="T66" s="325">
        <f t="shared" si="46"/>
        <v>0</v>
      </c>
      <c r="U66" s="326">
        <f t="shared" si="46"/>
        <v>0</v>
      </c>
    </row>
    <row r="67" spans="1:23" x14ac:dyDescent="0.25">
      <c r="A67" s="11"/>
      <c r="B67" s="102" t="s">
        <v>24</v>
      </c>
      <c r="C67" s="322" t="s">
        <v>192</v>
      </c>
      <c r="D67" s="207" t="s">
        <v>47</v>
      </c>
      <c r="E67" s="395" t="s">
        <v>221</v>
      </c>
      <c r="F67" s="396"/>
      <c r="G67" s="360"/>
      <c r="H67" s="82">
        <f t="shared" si="35"/>
        <v>0</v>
      </c>
      <c r="I67" s="54"/>
      <c r="J67" s="325">
        <f t="shared" ref="J67:U67" si="47">IF($C31&gt;0,(J$16*$C31)*$G67,0)</f>
        <v>0</v>
      </c>
      <c r="K67" s="325">
        <f t="shared" si="47"/>
        <v>0</v>
      </c>
      <c r="L67" s="325">
        <f t="shared" si="47"/>
        <v>0</v>
      </c>
      <c r="M67" s="325">
        <f t="shared" si="47"/>
        <v>0</v>
      </c>
      <c r="N67" s="325">
        <f t="shared" si="47"/>
        <v>0</v>
      </c>
      <c r="O67" s="325">
        <f t="shared" si="47"/>
        <v>0</v>
      </c>
      <c r="P67" s="325">
        <f t="shared" si="47"/>
        <v>0</v>
      </c>
      <c r="Q67" s="325">
        <f t="shared" si="47"/>
        <v>0</v>
      </c>
      <c r="R67" s="325">
        <f t="shared" si="47"/>
        <v>0</v>
      </c>
      <c r="S67" s="325">
        <f t="shared" si="47"/>
        <v>0</v>
      </c>
      <c r="T67" s="325">
        <f t="shared" si="47"/>
        <v>0</v>
      </c>
      <c r="U67" s="326">
        <f t="shared" si="47"/>
        <v>0</v>
      </c>
    </row>
    <row r="68" spans="1:23" x14ac:dyDescent="0.25">
      <c r="A68" s="11"/>
      <c r="B68" s="212" t="s">
        <v>26</v>
      </c>
      <c r="C68" s="322" t="s">
        <v>192</v>
      </c>
      <c r="D68" s="207" t="s">
        <v>47</v>
      </c>
      <c r="E68" s="395" t="s">
        <v>221</v>
      </c>
      <c r="F68" s="396"/>
      <c r="G68" s="360"/>
      <c r="H68" s="82">
        <f t="shared" si="35"/>
        <v>0</v>
      </c>
      <c r="I68" s="54"/>
      <c r="J68" s="325">
        <f t="shared" ref="J68:U68" si="48">IF($C32&gt;0,(J$16*$C32)*$G68,0)</f>
        <v>0</v>
      </c>
      <c r="K68" s="325">
        <f t="shared" si="48"/>
        <v>0</v>
      </c>
      <c r="L68" s="325">
        <f t="shared" si="48"/>
        <v>0</v>
      </c>
      <c r="M68" s="325">
        <f t="shared" si="48"/>
        <v>0</v>
      </c>
      <c r="N68" s="325">
        <f t="shared" si="48"/>
        <v>0</v>
      </c>
      <c r="O68" s="325">
        <f t="shared" si="48"/>
        <v>0</v>
      </c>
      <c r="P68" s="325">
        <f t="shared" si="48"/>
        <v>0</v>
      </c>
      <c r="Q68" s="325">
        <f t="shared" si="48"/>
        <v>0</v>
      </c>
      <c r="R68" s="325">
        <f t="shared" si="48"/>
        <v>0</v>
      </c>
      <c r="S68" s="325">
        <f t="shared" si="48"/>
        <v>0</v>
      </c>
      <c r="T68" s="325">
        <f t="shared" si="48"/>
        <v>0</v>
      </c>
      <c r="U68" s="326">
        <f t="shared" si="48"/>
        <v>0</v>
      </c>
    </row>
    <row r="69" spans="1:23" x14ac:dyDescent="0.25">
      <c r="A69" s="11"/>
      <c r="B69" s="102" t="s">
        <v>27</v>
      </c>
      <c r="C69" s="322" t="s">
        <v>192</v>
      </c>
      <c r="D69" s="207" t="s">
        <v>47</v>
      </c>
      <c r="E69" s="395" t="s">
        <v>221</v>
      </c>
      <c r="F69" s="396"/>
      <c r="G69" s="360"/>
      <c r="H69" s="82">
        <f t="shared" si="35"/>
        <v>0</v>
      </c>
      <c r="I69" s="54"/>
      <c r="J69" s="325">
        <f t="shared" ref="J69:U69" si="49">IF($C33&gt;0,(J$16*$C33)*$G69,0)</f>
        <v>0</v>
      </c>
      <c r="K69" s="325">
        <f t="shared" si="49"/>
        <v>0</v>
      </c>
      <c r="L69" s="325">
        <f t="shared" si="49"/>
        <v>0</v>
      </c>
      <c r="M69" s="325">
        <f t="shared" si="49"/>
        <v>0</v>
      </c>
      <c r="N69" s="325">
        <f t="shared" si="49"/>
        <v>0</v>
      </c>
      <c r="O69" s="325">
        <f t="shared" si="49"/>
        <v>0</v>
      </c>
      <c r="P69" s="325">
        <f t="shared" si="49"/>
        <v>0</v>
      </c>
      <c r="Q69" s="325">
        <f t="shared" si="49"/>
        <v>0</v>
      </c>
      <c r="R69" s="325">
        <f t="shared" si="49"/>
        <v>0</v>
      </c>
      <c r="S69" s="325">
        <f t="shared" si="49"/>
        <v>0</v>
      </c>
      <c r="T69" s="325">
        <f t="shared" si="49"/>
        <v>0</v>
      </c>
      <c r="U69" s="326">
        <f t="shared" si="49"/>
        <v>0</v>
      </c>
    </row>
    <row r="70" spans="1:23" x14ac:dyDescent="0.25">
      <c r="A70" s="11"/>
      <c r="B70" s="102" t="s">
        <v>28</v>
      </c>
      <c r="C70" s="322" t="s">
        <v>192</v>
      </c>
      <c r="D70" s="207" t="s">
        <v>47</v>
      </c>
      <c r="E70" s="395" t="s">
        <v>221</v>
      </c>
      <c r="F70" s="396"/>
      <c r="G70" s="360"/>
      <c r="H70" s="82">
        <f t="shared" si="35"/>
        <v>0</v>
      </c>
      <c r="I70" s="54"/>
      <c r="J70" s="325">
        <f t="shared" ref="J70:U70" si="50">IF($C34&gt;0,(J$16*$C34)*$G70,0)</f>
        <v>0</v>
      </c>
      <c r="K70" s="325">
        <f t="shared" si="50"/>
        <v>0</v>
      </c>
      <c r="L70" s="325">
        <f t="shared" si="50"/>
        <v>0</v>
      </c>
      <c r="M70" s="325">
        <f t="shared" si="50"/>
        <v>0</v>
      </c>
      <c r="N70" s="325">
        <f t="shared" si="50"/>
        <v>0</v>
      </c>
      <c r="O70" s="325">
        <f t="shared" si="50"/>
        <v>0</v>
      </c>
      <c r="P70" s="325">
        <f t="shared" si="50"/>
        <v>0</v>
      </c>
      <c r="Q70" s="325">
        <f t="shared" si="50"/>
        <v>0</v>
      </c>
      <c r="R70" s="325">
        <f t="shared" si="50"/>
        <v>0</v>
      </c>
      <c r="S70" s="325">
        <f t="shared" si="50"/>
        <v>0</v>
      </c>
      <c r="T70" s="325">
        <f t="shared" si="50"/>
        <v>0</v>
      </c>
      <c r="U70" s="326">
        <f t="shared" si="50"/>
        <v>0</v>
      </c>
    </row>
    <row r="71" spans="1:23" x14ac:dyDescent="0.25">
      <c r="A71" s="11"/>
      <c r="B71" s="212" t="s">
        <v>29</v>
      </c>
      <c r="C71" s="322" t="s">
        <v>192</v>
      </c>
      <c r="D71" s="207" t="s">
        <v>47</v>
      </c>
      <c r="E71" s="395" t="s">
        <v>221</v>
      </c>
      <c r="F71" s="396"/>
      <c r="G71" s="360"/>
      <c r="H71" s="82">
        <f t="shared" si="35"/>
        <v>0</v>
      </c>
      <c r="I71" s="54"/>
      <c r="J71" s="325">
        <f t="shared" ref="J71:U71" si="51">IF($C35&gt;0,(J$16*$C35)*$G71,0)</f>
        <v>0</v>
      </c>
      <c r="K71" s="325">
        <f t="shared" si="51"/>
        <v>0</v>
      </c>
      <c r="L71" s="325">
        <f t="shared" si="51"/>
        <v>0</v>
      </c>
      <c r="M71" s="325">
        <f t="shared" si="51"/>
        <v>0</v>
      </c>
      <c r="N71" s="325">
        <f t="shared" si="51"/>
        <v>0</v>
      </c>
      <c r="O71" s="325">
        <f t="shared" si="51"/>
        <v>0</v>
      </c>
      <c r="P71" s="325">
        <f t="shared" si="51"/>
        <v>0</v>
      </c>
      <c r="Q71" s="325">
        <f t="shared" si="51"/>
        <v>0</v>
      </c>
      <c r="R71" s="325">
        <f t="shared" si="51"/>
        <v>0</v>
      </c>
      <c r="S71" s="325">
        <f t="shared" si="51"/>
        <v>0</v>
      </c>
      <c r="T71" s="325">
        <f t="shared" si="51"/>
        <v>0</v>
      </c>
      <c r="U71" s="326">
        <f t="shared" si="51"/>
        <v>0</v>
      </c>
    </row>
    <row r="72" spans="1:23" x14ac:dyDescent="0.25">
      <c r="A72" s="11"/>
      <c r="B72" s="212" t="s">
        <v>31</v>
      </c>
      <c r="C72" s="322" t="s">
        <v>192</v>
      </c>
      <c r="D72" s="207" t="s">
        <v>47</v>
      </c>
      <c r="E72" s="395" t="s">
        <v>221</v>
      </c>
      <c r="F72" s="396"/>
      <c r="G72" s="360"/>
      <c r="H72" s="82">
        <f t="shared" si="35"/>
        <v>0</v>
      </c>
      <c r="I72" s="54"/>
      <c r="J72" s="325">
        <f t="shared" ref="J72:U72" si="52">IF($C36&gt;0,(J$16*$C36)*$G72,0)</f>
        <v>0</v>
      </c>
      <c r="K72" s="325">
        <f t="shared" si="52"/>
        <v>0</v>
      </c>
      <c r="L72" s="325">
        <f t="shared" si="52"/>
        <v>0</v>
      </c>
      <c r="M72" s="325">
        <f t="shared" si="52"/>
        <v>0</v>
      </c>
      <c r="N72" s="325">
        <f t="shared" si="52"/>
        <v>0</v>
      </c>
      <c r="O72" s="325">
        <f t="shared" si="52"/>
        <v>0</v>
      </c>
      <c r="P72" s="325">
        <f t="shared" si="52"/>
        <v>0</v>
      </c>
      <c r="Q72" s="325">
        <f t="shared" si="52"/>
        <v>0</v>
      </c>
      <c r="R72" s="325">
        <f t="shared" si="52"/>
        <v>0</v>
      </c>
      <c r="S72" s="325">
        <f t="shared" si="52"/>
        <v>0</v>
      </c>
      <c r="T72" s="325">
        <f t="shared" si="52"/>
        <v>0</v>
      </c>
      <c r="U72" s="326">
        <f t="shared" si="52"/>
        <v>0</v>
      </c>
    </row>
    <row r="73" spans="1:23" x14ac:dyDescent="0.25">
      <c r="A73" s="11"/>
      <c r="B73" s="212" t="s">
        <v>32</v>
      </c>
      <c r="C73" s="322" t="s">
        <v>192</v>
      </c>
      <c r="D73" s="207" t="s">
        <v>47</v>
      </c>
      <c r="E73" s="395" t="s">
        <v>221</v>
      </c>
      <c r="F73" s="396"/>
      <c r="G73" s="360"/>
      <c r="H73" s="82">
        <f t="shared" si="35"/>
        <v>0</v>
      </c>
      <c r="I73" s="54"/>
      <c r="J73" s="325">
        <f t="shared" ref="J73:U73" si="53">IF($C37&gt;0,(J$16*$C37)*$G73,0)</f>
        <v>0</v>
      </c>
      <c r="K73" s="325">
        <f t="shared" si="53"/>
        <v>0</v>
      </c>
      <c r="L73" s="325">
        <f t="shared" si="53"/>
        <v>0</v>
      </c>
      <c r="M73" s="325">
        <f t="shared" si="53"/>
        <v>0</v>
      </c>
      <c r="N73" s="325">
        <f t="shared" si="53"/>
        <v>0</v>
      </c>
      <c r="O73" s="325">
        <f t="shared" si="53"/>
        <v>0</v>
      </c>
      <c r="P73" s="325">
        <f t="shared" si="53"/>
        <v>0</v>
      </c>
      <c r="Q73" s="325">
        <f t="shared" si="53"/>
        <v>0</v>
      </c>
      <c r="R73" s="325">
        <f t="shared" si="53"/>
        <v>0</v>
      </c>
      <c r="S73" s="325">
        <f t="shared" si="53"/>
        <v>0</v>
      </c>
      <c r="T73" s="325">
        <f t="shared" si="53"/>
        <v>0</v>
      </c>
      <c r="U73" s="326">
        <f t="shared" si="53"/>
        <v>0</v>
      </c>
    </row>
    <row r="74" spans="1:23" x14ac:dyDescent="0.25">
      <c r="A74" s="11"/>
      <c r="B74" s="102" t="s">
        <v>33</v>
      </c>
      <c r="C74" s="322" t="s">
        <v>192</v>
      </c>
      <c r="D74" s="207" t="s">
        <v>47</v>
      </c>
      <c r="E74" s="395" t="s">
        <v>221</v>
      </c>
      <c r="F74" s="396"/>
      <c r="G74" s="360"/>
      <c r="H74" s="82">
        <f t="shared" si="35"/>
        <v>0</v>
      </c>
      <c r="I74" s="54"/>
      <c r="J74" s="325">
        <f t="shared" ref="J74:U74" si="54">IF($C38&gt;0,(J$16*$C38)*$G74,0)</f>
        <v>0</v>
      </c>
      <c r="K74" s="325">
        <f t="shared" si="54"/>
        <v>0</v>
      </c>
      <c r="L74" s="325">
        <f t="shared" si="54"/>
        <v>0</v>
      </c>
      <c r="M74" s="325">
        <f t="shared" si="54"/>
        <v>0</v>
      </c>
      <c r="N74" s="325">
        <f t="shared" si="54"/>
        <v>0</v>
      </c>
      <c r="O74" s="325">
        <f t="shared" si="54"/>
        <v>0</v>
      </c>
      <c r="P74" s="325">
        <f t="shared" si="54"/>
        <v>0</v>
      </c>
      <c r="Q74" s="325">
        <f t="shared" si="54"/>
        <v>0</v>
      </c>
      <c r="R74" s="325">
        <f t="shared" si="54"/>
        <v>0</v>
      </c>
      <c r="S74" s="325">
        <f t="shared" si="54"/>
        <v>0</v>
      </c>
      <c r="T74" s="325">
        <f t="shared" si="54"/>
        <v>0</v>
      </c>
      <c r="U74" s="326">
        <f t="shared" si="54"/>
        <v>0</v>
      </c>
    </row>
    <row r="75" spans="1:23" x14ac:dyDescent="0.25">
      <c r="A75" s="11"/>
      <c r="B75" s="212" t="s">
        <v>35</v>
      </c>
      <c r="C75" s="322" t="s">
        <v>192</v>
      </c>
      <c r="D75" s="207" t="s">
        <v>47</v>
      </c>
      <c r="E75" s="395" t="s">
        <v>221</v>
      </c>
      <c r="F75" s="362"/>
      <c r="G75" s="360"/>
      <c r="H75" s="82">
        <f t="shared" si="35"/>
        <v>0</v>
      </c>
      <c r="I75" s="54"/>
      <c r="J75" s="325">
        <f t="shared" ref="J75:U75" si="55">IF($C39&gt;0,(J$16*$C39)*$G75,0)</f>
        <v>0</v>
      </c>
      <c r="K75" s="325">
        <f t="shared" si="55"/>
        <v>0</v>
      </c>
      <c r="L75" s="325">
        <f t="shared" si="55"/>
        <v>0</v>
      </c>
      <c r="M75" s="325">
        <f t="shared" si="55"/>
        <v>0</v>
      </c>
      <c r="N75" s="325">
        <f t="shared" si="55"/>
        <v>0</v>
      </c>
      <c r="O75" s="325">
        <f t="shared" si="55"/>
        <v>0</v>
      </c>
      <c r="P75" s="325">
        <f t="shared" si="55"/>
        <v>0</v>
      </c>
      <c r="Q75" s="325">
        <f t="shared" si="55"/>
        <v>0</v>
      </c>
      <c r="R75" s="325">
        <f t="shared" si="55"/>
        <v>0</v>
      </c>
      <c r="S75" s="325">
        <f t="shared" si="55"/>
        <v>0</v>
      </c>
      <c r="T75" s="325">
        <f t="shared" si="55"/>
        <v>0</v>
      </c>
      <c r="U75" s="326">
        <f t="shared" si="55"/>
        <v>0</v>
      </c>
    </row>
    <row r="76" spans="1:23" x14ac:dyDescent="0.25">
      <c r="A76" s="11"/>
      <c r="B76" s="212" t="s">
        <v>36</v>
      </c>
      <c r="C76" s="322" t="s">
        <v>192</v>
      </c>
      <c r="D76" s="207" t="s">
        <v>47</v>
      </c>
      <c r="E76" s="395" t="s">
        <v>221</v>
      </c>
      <c r="F76" s="361"/>
      <c r="G76" s="360"/>
      <c r="H76" s="82">
        <f t="shared" si="35"/>
        <v>0</v>
      </c>
      <c r="I76" s="54"/>
      <c r="J76" s="325">
        <f t="shared" ref="J76:U76" si="56">IF($C40&gt;0,(J$16*$C40)*$G76,0)</f>
        <v>0</v>
      </c>
      <c r="K76" s="325">
        <f t="shared" si="56"/>
        <v>0</v>
      </c>
      <c r="L76" s="325">
        <f t="shared" si="56"/>
        <v>0</v>
      </c>
      <c r="M76" s="325">
        <f t="shared" si="56"/>
        <v>0</v>
      </c>
      <c r="N76" s="325">
        <f t="shared" si="56"/>
        <v>0</v>
      </c>
      <c r="O76" s="325">
        <f t="shared" si="56"/>
        <v>0</v>
      </c>
      <c r="P76" s="325">
        <f t="shared" si="56"/>
        <v>0</v>
      </c>
      <c r="Q76" s="325">
        <f t="shared" si="56"/>
        <v>0</v>
      </c>
      <c r="R76" s="325">
        <f t="shared" si="56"/>
        <v>0</v>
      </c>
      <c r="S76" s="325">
        <f t="shared" si="56"/>
        <v>0</v>
      </c>
      <c r="T76" s="325">
        <f t="shared" si="56"/>
        <v>0</v>
      </c>
      <c r="U76" s="326">
        <f t="shared" si="56"/>
        <v>0</v>
      </c>
    </row>
    <row r="77" spans="1:23" ht="15.75" thickBot="1" x14ac:dyDescent="0.3">
      <c r="A77" s="84"/>
      <c r="B77" s="214" t="s">
        <v>38</v>
      </c>
      <c r="C77" s="323" t="s">
        <v>192</v>
      </c>
      <c r="D77" s="215" t="s">
        <v>47</v>
      </c>
      <c r="E77" s="397" t="s">
        <v>221</v>
      </c>
      <c r="F77" s="363"/>
      <c r="G77" s="360"/>
      <c r="H77" s="82">
        <f t="shared" si="35"/>
        <v>0</v>
      </c>
      <c r="I77" s="54"/>
      <c r="J77" s="325">
        <f t="shared" ref="J77:U77" si="57">IF($C41&gt;0,(J$16*$C41)*$G77,0)</f>
        <v>0</v>
      </c>
      <c r="K77" s="325">
        <f t="shared" si="57"/>
        <v>0</v>
      </c>
      <c r="L77" s="325">
        <f t="shared" si="57"/>
        <v>0</v>
      </c>
      <c r="M77" s="325">
        <f t="shared" si="57"/>
        <v>0</v>
      </c>
      <c r="N77" s="325">
        <f t="shared" si="57"/>
        <v>0</v>
      </c>
      <c r="O77" s="325">
        <f t="shared" si="57"/>
        <v>0</v>
      </c>
      <c r="P77" s="325">
        <f t="shared" si="57"/>
        <v>0</v>
      </c>
      <c r="Q77" s="325">
        <f t="shared" si="57"/>
        <v>0</v>
      </c>
      <c r="R77" s="325">
        <f t="shared" si="57"/>
        <v>0</v>
      </c>
      <c r="S77" s="325">
        <f t="shared" si="57"/>
        <v>0</v>
      </c>
      <c r="T77" s="325">
        <f t="shared" si="57"/>
        <v>0</v>
      </c>
      <c r="U77" s="326">
        <f t="shared" si="57"/>
        <v>0</v>
      </c>
    </row>
    <row r="78" spans="1:23" ht="16.5" thickTop="1" thickBot="1" x14ac:dyDescent="0.3">
      <c r="A78" s="11"/>
      <c r="B78" s="85"/>
      <c r="C78" s="86"/>
      <c r="D78" s="86"/>
      <c r="E78" s="87"/>
      <c r="F78" s="88"/>
      <c r="G78" s="89">
        <f>IFERROR(H78/W16,0)</f>
        <v>0</v>
      </c>
      <c r="H78" s="75">
        <f>SUM(H56:H77)</f>
        <v>0</v>
      </c>
      <c r="I78" s="76"/>
      <c r="J78" s="327">
        <f t="shared" ref="J78:U78" si="58">SUM(J56:J77)</f>
        <v>0</v>
      </c>
      <c r="K78" s="327">
        <f t="shared" si="58"/>
        <v>0</v>
      </c>
      <c r="L78" s="327">
        <f t="shared" si="58"/>
        <v>0</v>
      </c>
      <c r="M78" s="327">
        <f t="shared" si="58"/>
        <v>0</v>
      </c>
      <c r="N78" s="327">
        <f t="shared" si="58"/>
        <v>0</v>
      </c>
      <c r="O78" s="327">
        <f t="shared" si="58"/>
        <v>0</v>
      </c>
      <c r="P78" s="327">
        <f t="shared" si="58"/>
        <v>0</v>
      </c>
      <c r="Q78" s="327">
        <f t="shared" si="58"/>
        <v>0</v>
      </c>
      <c r="R78" s="327">
        <f t="shared" si="58"/>
        <v>0</v>
      </c>
      <c r="S78" s="327">
        <f t="shared" si="58"/>
        <v>0</v>
      </c>
      <c r="T78" s="327">
        <f t="shared" si="58"/>
        <v>0</v>
      </c>
      <c r="U78" s="328">
        <f t="shared" si="58"/>
        <v>0</v>
      </c>
      <c r="W78" s="67">
        <f>SUM(J78:U78)</f>
        <v>0</v>
      </c>
    </row>
    <row r="79" spans="1:23" ht="15.75" thickBot="1" x14ac:dyDescent="0.3">
      <c r="A79" s="11"/>
      <c r="B79" s="84"/>
      <c r="C79" s="84"/>
      <c r="D79" s="84"/>
      <c r="E79" s="52"/>
      <c r="F79" s="90"/>
      <c r="G79" s="91"/>
      <c r="H79" s="92"/>
      <c r="I79" s="46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</row>
    <row r="80" spans="1:23" ht="15.75" thickBot="1" x14ac:dyDescent="0.3">
      <c r="A80" s="11"/>
      <c r="B80" s="93" t="s">
        <v>48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40"/>
    </row>
    <row r="81" spans="1:21" x14ac:dyDescent="0.25">
      <c r="A81" s="11"/>
      <c r="B81" s="94" t="s">
        <v>49</v>
      </c>
      <c r="C81" s="80" t="s">
        <v>44</v>
      </c>
      <c r="D81" s="42" t="s">
        <v>220</v>
      </c>
      <c r="E81" s="80" t="s">
        <v>50</v>
      </c>
      <c r="F81" s="80" t="s">
        <v>51</v>
      </c>
      <c r="G81" s="42" t="s">
        <v>239</v>
      </c>
      <c r="H81" s="42" t="s">
        <v>18</v>
      </c>
      <c r="I81" s="43"/>
      <c r="J81" s="178">
        <v>45658</v>
      </c>
      <c r="K81" s="178">
        <v>45689</v>
      </c>
      <c r="L81" s="178">
        <v>45717</v>
      </c>
      <c r="M81" s="178">
        <v>45748</v>
      </c>
      <c r="N81" s="178">
        <v>45778</v>
      </c>
      <c r="O81" s="178">
        <v>45809</v>
      </c>
      <c r="P81" s="178">
        <v>45839</v>
      </c>
      <c r="Q81" s="178">
        <v>45870</v>
      </c>
      <c r="R81" s="178">
        <v>45901</v>
      </c>
      <c r="S81" s="178">
        <v>45931</v>
      </c>
      <c r="T81" s="178">
        <v>45962</v>
      </c>
      <c r="U81" s="178">
        <v>45992</v>
      </c>
    </row>
    <row r="82" spans="1:21" x14ac:dyDescent="0.25">
      <c r="A82" s="11"/>
      <c r="B82" s="95" t="s">
        <v>52</v>
      </c>
      <c r="C82" s="330" t="s">
        <v>212</v>
      </c>
      <c r="D82" s="97" t="s">
        <v>53</v>
      </c>
      <c r="E82" s="98"/>
      <c r="F82" s="98"/>
      <c r="G82" s="96"/>
      <c r="H82" s="99">
        <f t="shared" ref="H82:H105" si="59">SUM(J82:U82)</f>
        <v>0</v>
      </c>
      <c r="J82" s="364"/>
      <c r="K82" s="364"/>
      <c r="L82" s="364"/>
      <c r="M82" s="364"/>
      <c r="N82" s="364"/>
      <c r="O82" s="364"/>
      <c r="P82" s="364"/>
      <c r="Q82" s="364"/>
      <c r="R82" s="364"/>
      <c r="S82" s="364"/>
      <c r="T82" s="364"/>
      <c r="U82" s="365"/>
    </row>
    <row r="83" spans="1:21" x14ac:dyDescent="0.25">
      <c r="A83" s="11"/>
      <c r="B83" s="102" t="s">
        <v>227</v>
      </c>
      <c r="C83" s="331" t="s">
        <v>213</v>
      </c>
      <c r="D83" s="104" t="s">
        <v>53</v>
      </c>
      <c r="E83" s="103">
        <v>699</v>
      </c>
      <c r="F83" s="103">
        <v>3675</v>
      </c>
      <c r="G83" s="103"/>
      <c r="H83" s="99">
        <f t="shared" si="59"/>
        <v>0</v>
      </c>
      <c r="I83" s="46"/>
      <c r="J83" s="364"/>
      <c r="K83" s="364"/>
      <c r="L83" s="364"/>
      <c r="M83" s="364"/>
      <c r="N83" s="364"/>
      <c r="O83" s="364"/>
      <c r="P83" s="364"/>
      <c r="Q83" s="364"/>
      <c r="R83" s="364"/>
      <c r="S83" s="364"/>
      <c r="T83" s="364"/>
      <c r="U83" s="365"/>
    </row>
    <row r="84" spans="1:21" x14ac:dyDescent="0.25">
      <c r="A84" s="11"/>
      <c r="B84" s="102" t="s">
        <v>54</v>
      </c>
      <c r="C84" s="331" t="s">
        <v>216</v>
      </c>
      <c r="D84" s="104" t="s">
        <v>53</v>
      </c>
      <c r="E84" s="103">
        <v>699</v>
      </c>
      <c r="F84" s="103">
        <v>3691</v>
      </c>
      <c r="G84" s="103"/>
      <c r="H84" s="99">
        <f t="shared" si="59"/>
        <v>0</v>
      </c>
      <c r="I84" s="46"/>
      <c r="J84" s="364"/>
      <c r="K84" s="364"/>
      <c r="L84" s="364"/>
      <c r="M84" s="364"/>
      <c r="N84" s="364"/>
      <c r="O84" s="364"/>
      <c r="P84" s="364"/>
      <c r="Q84" s="364"/>
      <c r="R84" s="364"/>
      <c r="S84" s="364"/>
      <c r="T84" s="364"/>
      <c r="U84" s="365"/>
    </row>
    <row r="85" spans="1:21" x14ac:dyDescent="0.25">
      <c r="A85" s="11"/>
      <c r="B85" s="102" t="s">
        <v>55</v>
      </c>
      <c r="C85" s="331" t="s">
        <v>217</v>
      </c>
      <c r="D85" s="104" t="s">
        <v>53</v>
      </c>
      <c r="E85" s="103">
        <v>699</v>
      </c>
      <c r="F85" s="103">
        <v>3677</v>
      </c>
      <c r="G85" s="103"/>
      <c r="H85" s="99">
        <f t="shared" si="59"/>
        <v>0</v>
      </c>
      <c r="I85" s="46"/>
      <c r="J85" s="364"/>
      <c r="K85" s="364"/>
      <c r="L85" s="364"/>
      <c r="M85" s="364"/>
      <c r="N85" s="364"/>
      <c r="O85" s="364"/>
      <c r="P85" s="364"/>
      <c r="Q85" s="364"/>
      <c r="R85" s="364"/>
      <c r="S85" s="364"/>
      <c r="T85" s="364"/>
      <c r="U85" s="365"/>
    </row>
    <row r="86" spans="1:21" x14ac:dyDescent="0.25">
      <c r="A86" s="11"/>
      <c r="B86" s="105" t="s">
        <v>228</v>
      </c>
      <c r="C86" s="103">
        <v>721</v>
      </c>
      <c r="D86" s="104" t="s">
        <v>53</v>
      </c>
      <c r="E86" s="103">
        <v>699</v>
      </c>
      <c r="F86" s="103">
        <v>3671</v>
      </c>
      <c r="G86" s="103"/>
      <c r="H86" s="99">
        <f t="shared" si="59"/>
        <v>0</v>
      </c>
      <c r="J86" s="364"/>
      <c r="K86" s="364"/>
      <c r="L86" s="364"/>
      <c r="M86" s="364"/>
      <c r="N86" s="364"/>
      <c r="O86" s="364"/>
      <c r="P86" s="364"/>
      <c r="Q86" s="364"/>
      <c r="R86" s="364"/>
      <c r="S86" s="364"/>
      <c r="T86" s="364"/>
      <c r="U86" s="365"/>
    </row>
    <row r="87" spans="1:21" x14ac:dyDescent="0.25">
      <c r="A87" s="11"/>
      <c r="B87" s="105" t="s">
        <v>56</v>
      </c>
      <c r="C87" s="331" t="s">
        <v>218</v>
      </c>
      <c r="D87" s="104" t="s">
        <v>53</v>
      </c>
      <c r="E87" s="103">
        <v>699</v>
      </c>
      <c r="F87" s="103">
        <v>3669</v>
      </c>
      <c r="G87" s="103"/>
      <c r="H87" s="99">
        <f t="shared" si="59"/>
        <v>0</v>
      </c>
      <c r="J87" s="364"/>
      <c r="K87" s="364"/>
      <c r="L87" s="364"/>
      <c r="M87" s="364"/>
      <c r="N87" s="364"/>
      <c r="O87" s="364"/>
      <c r="P87" s="364"/>
      <c r="Q87" s="364"/>
      <c r="R87" s="364"/>
      <c r="S87" s="364"/>
      <c r="T87" s="364"/>
      <c r="U87" s="365"/>
    </row>
    <row r="88" spans="1:21" x14ac:dyDescent="0.25">
      <c r="A88" s="11"/>
      <c r="B88" s="105" t="s">
        <v>57</v>
      </c>
      <c r="C88" s="331" t="s">
        <v>219</v>
      </c>
      <c r="D88" s="104" t="s">
        <v>53</v>
      </c>
      <c r="E88" s="103">
        <v>699</v>
      </c>
      <c r="F88" s="103">
        <v>3665</v>
      </c>
      <c r="G88" s="103"/>
      <c r="H88" s="99">
        <f t="shared" si="59"/>
        <v>0</v>
      </c>
      <c r="J88" s="364"/>
      <c r="K88" s="364"/>
      <c r="L88" s="364"/>
      <c r="M88" s="364"/>
      <c r="N88" s="364"/>
      <c r="O88" s="364"/>
      <c r="P88" s="364"/>
      <c r="Q88" s="364"/>
      <c r="R88" s="364"/>
      <c r="S88" s="364"/>
      <c r="T88" s="364"/>
      <c r="U88" s="365"/>
    </row>
    <row r="89" spans="1:21" x14ac:dyDescent="0.25">
      <c r="A89" s="11"/>
      <c r="B89" s="105" t="s">
        <v>229</v>
      </c>
      <c r="C89" s="331" t="s">
        <v>215</v>
      </c>
      <c r="D89" s="104" t="s">
        <v>53</v>
      </c>
      <c r="E89" s="103">
        <v>699</v>
      </c>
      <c r="F89" s="103">
        <v>3963</v>
      </c>
      <c r="G89" s="103"/>
      <c r="H89" s="99">
        <f t="shared" si="59"/>
        <v>0</v>
      </c>
      <c r="J89" s="364"/>
      <c r="K89" s="364"/>
      <c r="L89" s="364"/>
      <c r="M89" s="364"/>
      <c r="N89" s="364"/>
      <c r="O89" s="364"/>
      <c r="P89" s="364"/>
      <c r="Q89" s="364"/>
      <c r="R89" s="364"/>
      <c r="S89" s="364"/>
      <c r="T89" s="364"/>
      <c r="U89" s="365"/>
    </row>
    <row r="90" spans="1:21" x14ac:dyDescent="0.25">
      <c r="A90" s="11"/>
      <c r="B90" s="105" t="s">
        <v>238</v>
      </c>
      <c r="C90" s="331" t="s">
        <v>214</v>
      </c>
      <c r="D90" s="332" t="s">
        <v>59</v>
      </c>
      <c r="E90" s="103"/>
      <c r="F90" s="103"/>
      <c r="G90" s="103"/>
      <c r="H90" s="99">
        <f t="shared" si="59"/>
        <v>0</v>
      </c>
      <c r="J90" s="347"/>
      <c r="K90" s="347"/>
      <c r="L90" s="347"/>
      <c r="M90" s="347"/>
      <c r="N90" s="347"/>
      <c r="O90" s="347"/>
      <c r="P90" s="347"/>
      <c r="Q90" s="347"/>
      <c r="R90" s="347"/>
      <c r="S90" s="347"/>
      <c r="T90" s="347"/>
      <c r="U90" s="348"/>
    </row>
    <row r="91" spans="1:21" x14ac:dyDescent="0.25">
      <c r="A91" s="11"/>
      <c r="B91" s="105" t="s">
        <v>225</v>
      </c>
      <c r="C91" s="103">
        <v>720</v>
      </c>
      <c r="D91" s="332" t="s">
        <v>59</v>
      </c>
      <c r="E91" s="103"/>
      <c r="F91" s="103"/>
      <c r="G91" s="103"/>
      <c r="H91" s="99">
        <f t="shared" si="59"/>
        <v>0</v>
      </c>
      <c r="I91" s="46"/>
      <c r="J91" s="47">
        <f t="shared" ref="J91:U91" si="60">J115</f>
        <v>0</v>
      </c>
      <c r="K91" s="47">
        <f t="shared" si="60"/>
        <v>0</v>
      </c>
      <c r="L91" s="47">
        <f t="shared" si="60"/>
        <v>0</v>
      </c>
      <c r="M91" s="47">
        <f t="shared" si="60"/>
        <v>0</v>
      </c>
      <c r="N91" s="47">
        <f t="shared" si="60"/>
        <v>0</v>
      </c>
      <c r="O91" s="47">
        <f t="shared" si="60"/>
        <v>0</v>
      </c>
      <c r="P91" s="47">
        <f t="shared" si="60"/>
        <v>0</v>
      </c>
      <c r="Q91" s="47">
        <f t="shared" si="60"/>
        <v>0</v>
      </c>
      <c r="R91" s="47">
        <f t="shared" si="60"/>
        <v>0</v>
      </c>
      <c r="S91" s="47">
        <f t="shared" si="60"/>
        <v>0</v>
      </c>
      <c r="T91" s="47">
        <f t="shared" si="60"/>
        <v>0</v>
      </c>
      <c r="U91" s="48">
        <f t="shared" si="60"/>
        <v>0</v>
      </c>
    </row>
    <row r="92" spans="1:21" x14ac:dyDescent="0.25">
      <c r="A92" s="11"/>
      <c r="B92" s="105" t="s">
        <v>226</v>
      </c>
      <c r="C92" s="103">
        <v>720</v>
      </c>
      <c r="D92" s="332" t="s">
        <v>59</v>
      </c>
      <c r="E92" s="103"/>
      <c r="F92" s="103"/>
      <c r="G92" s="103"/>
      <c r="H92" s="99">
        <f t="shared" si="59"/>
        <v>0</v>
      </c>
      <c r="I92" s="46"/>
      <c r="J92" s="47">
        <f t="shared" ref="J92:U92" si="61">J114</f>
        <v>0</v>
      </c>
      <c r="K92" s="47">
        <f t="shared" si="61"/>
        <v>0</v>
      </c>
      <c r="L92" s="47">
        <f t="shared" si="61"/>
        <v>0</v>
      </c>
      <c r="M92" s="47">
        <f t="shared" si="61"/>
        <v>0</v>
      </c>
      <c r="N92" s="47">
        <f t="shared" si="61"/>
        <v>0</v>
      </c>
      <c r="O92" s="47">
        <f t="shared" si="61"/>
        <v>0</v>
      </c>
      <c r="P92" s="47">
        <f t="shared" si="61"/>
        <v>0</v>
      </c>
      <c r="Q92" s="47">
        <f t="shared" si="61"/>
        <v>0</v>
      </c>
      <c r="R92" s="47">
        <f t="shared" si="61"/>
        <v>0</v>
      </c>
      <c r="S92" s="47">
        <f t="shared" si="61"/>
        <v>0</v>
      </c>
      <c r="T92" s="47">
        <f t="shared" si="61"/>
        <v>0</v>
      </c>
      <c r="U92" s="48">
        <f t="shared" si="61"/>
        <v>0</v>
      </c>
    </row>
    <row r="93" spans="1:21" x14ac:dyDescent="0.25">
      <c r="A93" s="11"/>
      <c r="B93" s="105" t="s">
        <v>205</v>
      </c>
      <c r="C93" s="103">
        <v>720</v>
      </c>
      <c r="D93" s="332" t="s">
        <v>59</v>
      </c>
      <c r="E93" s="103"/>
      <c r="F93" s="103"/>
      <c r="G93" s="103"/>
      <c r="H93" s="99">
        <f t="shared" si="59"/>
        <v>0</v>
      </c>
      <c r="I93" s="46"/>
      <c r="J93" s="47">
        <f t="shared" ref="J93:U93" si="62">J118</f>
        <v>0</v>
      </c>
      <c r="K93" s="47">
        <f t="shared" si="62"/>
        <v>0</v>
      </c>
      <c r="L93" s="47">
        <f t="shared" si="62"/>
        <v>0</v>
      </c>
      <c r="M93" s="47">
        <f t="shared" si="62"/>
        <v>0</v>
      </c>
      <c r="N93" s="47">
        <f t="shared" si="62"/>
        <v>0</v>
      </c>
      <c r="O93" s="47">
        <f t="shared" si="62"/>
        <v>0</v>
      </c>
      <c r="P93" s="47">
        <f t="shared" si="62"/>
        <v>0</v>
      </c>
      <c r="Q93" s="47">
        <f t="shared" si="62"/>
        <v>0</v>
      </c>
      <c r="R93" s="47">
        <f t="shared" si="62"/>
        <v>0</v>
      </c>
      <c r="S93" s="47">
        <f t="shared" si="62"/>
        <v>0</v>
      </c>
      <c r="T93" s="47">
        <f t="shared" si="62"/>
        <v>0</v>
      </c>
      <c r="U93" s="48">
        <f t="shared" si="62"/>
        <v>0</v>
      </c>
    </row>
    <row r="94" spans="1:21" x14ac:dyDescent="0.25">
      <c r="A94" s="11"/>
      <c r="B94" s="105" t="s">
        <v>60</v>
      </c>
      <c r="C94" s="331" t="s">
        <v>194</v>
      </c>
      <c r="D94" s="332" t="s">
        <v>59</v>
      </c>
      <c r="E94" s="103"/>
      <c r="F94" s="103"/>
      <c r="G94" s="103"/>
      <c r="H94" s="99">
        <f t="shared" si="59"/>
        <v>0</v>
      </c>
      <c r="J94" s="47">
        <f t="shared" ref="J94:U94" si="63">J119</f>
        <v>0</v>
      </c>
      <c r="K94" s="47">
        <f t="shared" si="63"/>
        <v>0</v>
      </c>
      <c r="L94" s="47">
        <f t="shared" si="63"/>
        <v>0</v>
      </c>
      <c r="M94" s="47">
        <f t="shared" si="63"/>
        <v>0</v>
      </c>
      <c r="N94" s="47">
        <f t="shared" si="63"/>
        <v>0</v>
      </c>
      <c r="O94" s="47">
        <f t="shared" si="63"/>
        <v>0</v>
      </c>
      <c r="P94" s="47">
        <f t="shared" si="63"/>
        <v>0</v>
      </c>
      <c r="Q94" s="47">
        <f t="shared" si="63"/>
        <v>0</v>
      </c>
      <c r="R94" s="47">
        <f t="shared" si="63"/>
        <v>0</v>
      </c>
      <c r="S94" s="47">
        <f t="shared" si="63"/>
        <v>0</v>
      </c>
      <c r="T94" s="47">
        <f t="shared" si="63"/>
        <v>0</v>
      </c>
      <c r="U94" s="48">
        <f t="shared" si="63"/>
        <v>0</v>
      </c>
    </row>
    <row r="95" spans="1:21" x14ac:dyDescent="0.25">
      <c r="A95" s="11"/>
      <c r="B95" s="105" t="s">
        <v>80</v>
      </c>
      <c r="C95" s="331" t="s">
        <v>194</v>
      </c>
      <c r="D95" s="332" t="s">
        <v>59</v>
      </c>
      <c r="E95" s="103"/>
      <c r="F95" s="103"/>
      <c r="G95" s="103"/>
      <c r="H95" s="99">
        <f t="shared" si="59"/>
        <v>0</v>
      </c>
      <c r="J95" s="47">
        <f t="shared" ref="J95:U95" si="64">J120</f>
        <v>0</v>
      </c>
      <c r="K95" s="47">
        <f t="shared" si="64"/>
        <v>0</v>
      </c>
      <c r="L95" s="47">
        <f t="shared" si="64"/>
        <v>0</v>
      </c>
      <c r="M95" s="47">
        <f t="shared" si="64"/>
        <v>0</v>
      </c>
      <c r="N95" s="47">
        <f t="shared" si="64"/>
        <v>0</v>
      </c>
      <c r="O95" s="47">
        <f t="shared" si="64"/>
        <v>0</v>
      </c>
      <c r="P95" s="47">
        <f t="shared" si="64"/>
        <v>0</v>
      </c>
      <c r="Q95" s="47">
        <f t="shared" si="64"/>
        <v>0</v>
      </c>
      <c r="R95" s="47">
        <f t="shared" si="64"/>
        <v>0</v>
      </c>
      <c r="S95" s="47">
        <f t="shared" si="64"/>
        <v>0</v>
      </c>
      <c r="T95" s="47">
        <f t="shared" si="64"/>
        <v>0</v>
      </c>
      <c r="U95" s="48">
        <f t="shared" si="64"/>
        <v>0</v>
      </c>
    </row>
    <row r="96" spans="1:21" x14ac:dyDescent="0.25">
      <c r="A96" s="11"/>
      <c r="B96" s="105" t="s">
        <v>230</v>
      </c>
      <c r="C96" s="104">
        <v>305</v>
      </c>
      <c r="D96" s="332" t="s">
        <v>61</v>
      </c>
      <c r="E96" s="103"/>
      <c r="F96" s="103"/>
      <c r="G96" s="103"/>
      <c r="H96" s="99">
        <f t="shared" si="59"/>
        <v>0</v>
      </c>
      <c r="J96" s="364"/>
      <c r="K96" s="364"/>
      <c r="L96" s="364"/>
      <c r="M96" s="364"/>
      <c r="N96" s="364"/>
      <c r="O96" s="364"/>
      <c r="P96" s="364"/>
      <c r="Q96" s="364"/>
      <c r="R96" s="364"/>
      <c r="S96" s="364"/>
      <c r="T96" s="364"/>
      <c r="U96" s="365"/>
    </row>
    <row r="97" spans="1:23" x14ac:dyDescent="0.25">
      <c r="A97" s="11"/>
      <c r="B97" s="105" t="s">
        <v>231</v>
      </c>
      <c r="C97" s="104">
        <v>306</v>
      </c>
      <c r="D97" s="332" t="s">
        <v>61</v>
      </c>
      <c r="E97" s="4"/>
      <c r="F97" s="103"/>
      <c r="G97" s="103"/>
      <c r="H97" s="99">
        <f t="shared" si="59"/>
        <v>0</v>
      </c>
      <c r="J97" s="364"/>
      <c r="K97" s="364"/>
      <c r="L97" s="364"/>
      <c r="M97" s="364"/>
      <c r="N97" s="364"/>
      <c r="O97" s="364"/>
      <c r="P97" s="364"/>
      <c r="Q97" s="364"/>
      <c r="R97" s="364"/>
      <c r="S97" s="364"/>
      <c r="T97" s="364"/>
      <c r="U97" s="365"/>
    </row>
    <row r="98" spans="1:23" x14ac:dyDescent="0.25">
      <c r="A98" s="11"/>
      <c r="B98" s="105" t="s">
        <v>232</v>
      </c>
      <c r="C98" s="334" t="s">
        <v>195</v>
      </c>
      <c r="D98" s="332" t="s">
        <v>62</v>
      </c>
      <c r="E98" s="103"/>
      <c r="F98" s="103"/>
      <c r="G98" s="103"/>
      <c r="H98" s="99">
        <f t="shared" si="59"/>
        <v>0</v>
      </c>
      <c r="J98" s="364"/>
      <c r="K98" s="364"/>
      <c r="L98" s="364"/>
      <c r="M98" s="364"/>
      <c r="N98" s="364"/>
      <c r="O98" s="364"/>
      <c r="P98" s="364"/>
      <c r="Q98" s="364"/>
      <c r="R98" s="364"/>
      <c r="S98" s="364"/>
      <c r="T98" s="364"/>
      <c r="U98" s="365"/>
    </row>
    <row r="99" spans="1:23" x14ac:dyDescent="0.25">
      <c r="A99" s="11"/>
      <c r="B99" s="105" t="s">
        <v>233</v>
      </c>
      <c r="C99" s="334" t="s">
        <v>196</v>
      </c>
      <c r="D99" s="332" t="s">
        <v>62</v>
      </c>
      <c r="E99" s="103"/>
      <c r="F99" s="103"/>
      <c r="G99" s="103"/>
      <c r="H99" s="99">
        <f t="shared" si="59"/>
        <v>0</v>
      </c>
      <c r="J99" s="364"/>
      <c r="K99" s="364"/>
      <c r="L99" s="364"/>
      <c r="M99" s="364"/>
      <c r="N99" s="364"/>
      <c r="O99" s="364"/>
      <c r="P99" s="364"/>
      <c r="Q99" s="364"/>
      <c r="R99" s="364"/>
      <c r="S99" s="364"/>
      <c r="T99" s="364"/>
      <c r="U99" s="365"/>
    </row>
    <row r="100" spans="1:23" x14ac:dyDescent="0.25">
      <c r="A100" s="11"/>
      <c r="B100" s="105" t="s">
        <v>235</v>
      </c>
      <c r="C100" s="334" t="s">
        <v>197</v>
      </c>
      <c r="D100" s="332" t="s">
        <v>63</v>
      </c>
      <c r="E100" s="103"/>
      <c r="F100" s="103"/>
      <c r="G100" s="103"/>
      <c r="H100" s="99">
        <f t="shared" si="59"/>
        <v>0</v>
      </c>
      <c r="J100" s="364"/>
      <c r="K100" s="364"/>
      <c r="L100" s="364"/>
      <c r="M100" s="364"/>
      <c r="N100" s="364"/>
      <c r="O100" s="364"/>
      <c r="P100" s="364"/>
      <c r="Q100" s="364"/>
      <c r="R100" s="364"/>
      <c r="S100" s="364"/>
      <c r="T100" s="364"/>
      <c r="U100" s="365"/>
    </row>
    <row r="101" spans="1:23" x14ac:dyDescent="0.25">
      <c r="A101" s="11"/>
      <c r="B101" s="105" t="s">
        <v>64</v>
      </c>
      <c r="C101" s="334" t="s">
        <v>198</v>
      </c>
      <c r="D101" s="332" t="s">
        <v>63</v>
      </c>
      <c r="E101" s="104"/>
      <c r="F101" s="103"/>
      <c r="G101" s="400">
        <f>IFERROR(H101/$W$16,0)</f>
        <v>0</v>
      </c>
      <c r="H101" s="99">
        <f t="shared" si="59"/>
        <v>0</v>
      </c>
      <c r="J101" s="364"/>
      <c r="K101" s="364"/>
      <c r="L101" s="364"/>
      <c r="M101" s="364"/>
      <c r="N101" s="364"/>
      <c r="O101" s="364"/>
      <c r="P101" s="364"/>
      <c r="Q101" s="364"/>
      <c r="R101" s="364"/>
      <c r="S101" s="364"/>
      <c r="T101" s="364"/>
      <c r="U101" s="365"/>
    </row>
    <row r="102" spans="1:23" x14ac:dyDescent="0.25">
      <c r="A102" s="11"/>
      <c r="B102" s="105" t="s">
        <v>65</v>
      </c>
      <c r="C102" s="334" t="s">
        <v>199</v>
      </c>
      <c r="D102" s="332" t="s">
        <v>63</v>
      </c>
      <c r="E102" s="104">
        <v>365</v>
      </c>
      <c r="F102" s="103"/>
      <c r="G102" s="103"/>
      <c r="H102" s="99">
        <f t="shared" si="59"/>
        <v>0</v>
      </c>
      <c r="J102" s="364"/>
      <c r="K102" s="364"/>
      <c r="L102" s="364"/>
      <c r="M102" s="364"/>
      <c r="N102" s="364"/>
      <c r="O102" s="364"/>
      <c r="P102" s="364"/>
      <c r="Q102" s="364"/>
      <c r="R102" s="364"/>
      <c r="S102" s="364"/>
      <c r="T102" s="364"/>
      <c r="U102" s="365"/>
    </row>
    <row r="103" spans="1:23" x14ac:dyDescent="0.25">
      <c r="A103" s="11"/>
      <c r="B103" s="105" t="s">
        <v>66</v>
      </c>
      <c r="C103" s="334" t="s">
        <v>200</v>
      </c>
      <c r="D103" s="332" t="s">
        <v>67</v>
      </c>
      <c r="E103" s="103">
        <v>338</v>
      </c>
      <c r="F103" s="103"/>
      <c r="G103" s="398">
        <v>0.33</v>
      </c>
      <c r="H103" s="99">
        <f t="shared" si="59"/>
        <v>0</v>
      </c>
      <c r="I103" s="46"/>
      <c r="J103" s="47">
        <f t="shared" ref="J103:U103" si="65">$G$103*J16</f>
        <v>0</v>
      </c>
      <c r="K103" s="47">
        <f t="shared" si="65"/>
        <v>0</v>
      </c>
      <c r="L103" s="47">
        <f t="shared" si="65"/>
        <v>0</v>
      </c>
      <c r="M103" s="47">
        <f t="shared" si="65"/>
        <v>0</v>
      </c>
      <c r="N103" s="47">
        <f t="shared" si="65"/>
        <v>0</v>
      </c>
      <c r="O103" s="47">
        <f t="shared" si="65"/>
        <v>0</v>
      </c>
      <c r="P103" s="47">
        <f t="shared" si="65"/>
        <v>0</v>
      </c>
      <c r="Q103" s="47">
        <f t="shared" si="65"/>
        <v>0</v>
      </c>
      <c r="R103" s="47">
        <f t="shared" si="65"/>
        <v>0</v>
      </c>
      <c r="S103" s="47">
        <f t="shared" si="65"/>
        <v>0</v>
      </c>
      <c r="T103" s="47">
        <f t="shared" si="65"/>
        <v>0</v>
      </c>
      <c r="U103" s="48">
        <f t="shared" si="65"/>
        <v>0</v>
      </c>
    </row>
    <row r="104" spans="1:23" x14ac:dyDescent="0.25">
      <c r="A104" s="11"/>
      <c r="B104" s="105" t="s">
        <v>234</v>
      </c>
      <c r="C104" s="104">
        <v>351</v>
      </c>
      <c r="D104" s="332" t="s">
        <v>67</v>
      </c>
      <c r="E104" s="103">
        <v>324</v>
      </c>
      <c r="F104" s="103"/>
      <c r="G104" s="399">
        <v>1.6000000000000001E-3</v>
      </c>
      <c r="H104" s="99">
        <f t="shared" si="59"/>
        <v>0</v>
      </c>
      <c r="J104" s="47">
        <f t="shared" ref="J104:U104" si="66">$G$104*J46/100</f>
        <v>0</v>
      </c>
      <c r="K104" s="47">
        <f t="shared" si="66"/>
        <v>0</v>
      </c>
      <c r="L104" s="47">
        <f t="shared" si="66"/>
        <v>0</v>
      </c>
      <c r="M104" s="47">
        <f t="shared" si="66"/>
        <v>0</v>
      </c>
      <c r="N104" s="47">
        <f t="shared" si="66"/>
        <v>0</v>
      </c>
      <c r="O104" s="47">
        <f t="shared" si="66"/>
        <v>0</v>
      </c>
      <c r="P104" s="47">
        <f t="shared" si="66"/>
        <v>0</v>
      </c>
      <c r="Q104" s="47">
        <f t="shared" si="66"/>
        <v>0</v>
      </c>
      <c r="R104" s="47">
        <f t="shared" si="66"/>
        <v>0</v>
      </c>
      <c r="S104" s="47">
        <f t="shared" si="66"/>
        <v>0</v>
      </c>
      <c r="T104" s="47">
        <f t="shared" si="66"/>
        <v>0</v>
      </c>
      <c r="U104" s="48">
        <f t="shared" si="66"/>
        <v>0</v>
      </c>
    </row>
    <row r="105" spans="1:23" ht="15.75" thickBot="1" x14ac:dyDescent="0.3">
      <c r="A105" s="11"/>
      <c r="B105" s="106" t="s">
        <v>68</v>
      </c>
      <c r="C105" s="333" t="s">
        <v>201</v>
      </c>
      <c r="D105" s="335" t="s">
        <v>67</v>
      </c>
      <c r="E105" s="108"/>
      <c r="F105" s="108"/>
      <c r="G105" s="398">
        <v>3.75</v>
      </c>
      <c r="H105" s="99">
        <f t="shared" si="59"/>
        <v>0</v>
      </c>
      <c r="J105" s="350">
        <f t="shared" ref="J105:U105" si="67">$G$105*J16</f>
        <v>0</v>
      </c>
      <c r="K105" s="350">
        <f t="shared" si="67"/>
        <v>0</v>
      </c>
      <c r="L105" s="350">
        <f t="shared" si="67"/>
        <v>0</v>
      </c>
      <c r="M105" s="350">
        <f t="shared" si="67"/>
        <v>0</v>
      </c>
      <c r="N105" s="350">
        <f t="shared" si="67"/>
        <v>0</v>
      </c>
      <c r="O105" s="350">
        <f t="shared" si="67"/>
        <v>0</v>
      </c>
      <c r="P105" s="350">
        <f t="shared" si="67"/>
        <v>0</v>
      </c>
      <c r="Q105" s="350">
        <f t="shared" si="67"/>
        <v>0</v>
      </c>
      <c r="R105" s="350">
        <f t="shared" si="67"/>
        <v>0</v>
      </c>
      <c r="S105" s="350">
        <f t="shared" si="67"/>
        <v>0</v>
      </c>
      <c r="T105" s="350">
        <f t="shared" si="67"/>
        <v>0</v>
      </c>
      <c r="U105" s="351">
        <f t="shared" si="67"/>
        <v>0</v>
      </c>
    </row>
    <row r="106" spans="1:23" x14ac:dyDescent="0.25">
      <c r="B106" s="11"/>
      <c r="U106" s="109"/>
    </row>
    <row r="107" spans="1:23" ht="15.75" thickBot="1" x14ac:dyDescent="0.3">
      <c r="A107" s="11"/>
      <c r="B107" s="110" t="s">
        <v>69</v>
      </c>
      <c r="C107" s="33"/>
      <c r="D107" s="33"/>
      <c r="E107" s="33"/>
      <c r="F107" s="33"/>
      <c r="G107" s="111">
        <f>IFERROR(H107/B127,0)</f>
        <v>0</v>
      </c>
      <c r="H107" s="64">
        <f>SUM(H82:H105)</f>
        <v>0</v>
      </c>
      <c r="I107" s="112"/>
      <c r="J107" s="64">
        <f t="shared" ref="J107:U107" si="68">SUM(J82:J105)</f>
        <v>0</v>
      </c>
      <c r="K107" s="64">
        <f t="shared" si="68"/>
        <v>0</v>
      </c>
      <c r="L107" s="64">
        <f t="shared" si="68"/>
        <v>0</v>
      </c>
      <c r="M107" s="64">
        <f t="shared" si="68"/>
        <v>0</v>
      </c>
      <c r="N107" s="64">
        <f t="shared" si="68"/>
        <v>0</v>
      </c>
      <c r="O107" s="64">
        <f t="shared" si="68"/>
        <v>0</v>
      </c>
      <c r="P107" s="64">
        <f t="shared" si="68"/>
        <v>0</v>
      </c>
      <c r="Q107" s="64">
        <f t="shared" si="68"/>
        <v>0</v>
      </c>
      <c r="R107" s="64">
        <f t="shared" si="68"/>
        <v>0</v>
      </c>
      <c r="S107" s="64">
        <f t="shared" si="68"/>
        <v>0</v>
      </c>
      <c r="T107" s="64">
        <f t="shared" si="68"/>
        <v>0</v>
      </c>
      <c r="U107" s="66">
        <f t="shared" si="68"/>
        <v>0</v>
      </c>
    </row>
    <row r="108" spans="1:23" ht="15.75" thickBot="1" x14ac:dyDescent="0.3"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</row>
    <row r="109" spans="1:23" ht="16.5" thickTop="1" thickBot="1" x14ac:dyDescent="0.3">
      <c r="B109" s="113" t="s">
        <v>70</v>
      </c>
      <c r="C109" s="114"/>
      <c r="D109" s="114"/>
      <c r="E109" s="114"/>
      <c r="F109" s="114"/>
      <c r="G109" s="115"/>
      <c r="H109" s="116">
        <f>H51+H78+H107</f>
        <v>0</v>
      </c>
      <c r="I109" s="115"/>
      <c r="J109" s="116">
        <f t="shared" ref="J109:U109" si="69">J51+J78+J107</f>
        <v>0</v>
      </c>
      <c r="K109" s="116">
        <f t="shared" si="69"/>
        <v>0</v>
      </c>
      <c r="L109" s="116">
        <f t="shared" si="69"/>
        <v>0</v>
      </c>
      <c r="M109" s="116">
        <f t="shared" si="69"/>
        <v>0</v>
      </c>
      <c r="N109" s="116">
        <f t="shared" si="69"/>
        <v>0</v>
      </c>
      <c r="O109" s="116">
        <f t="shared" si="69"/>
        <v>0</v>
      </c>
      <c r="P109" s="116">
        <f t="shared" si="69"/>
        <v>0</v>
      </c>
      <c r="Q109" s="116">
        <f t="shared" si="69"/>
        <v>0</v>
      </c>
      <c r="R109" s="116">
        <f t="shared" si="69"/>
        <v>0</v>
      </c>
      <c r="S109" s="116">
        <f t="shared" si="69"/>
        <v>0</v>
      </c>
      <c r="T109" s="116">
        <f t="shared" si="69"/>
        <v>0</v>
      </c>
      <c r="U109" s="117">
        <f t="shared" si="69"/>
        <v>0</v>
      </c>
      <c r="W109" s="67">
        <f>SUM(J109:U109)</f>
        <v>0</v>
      </c>
    </row>
    <row r="110" spans="1:23" ht="15.75" thickBot="1" x14ac:dyDescent="0.3"/>
    <row r="111" spans="1:23" ht="16.5" thickTop="1" thickBot="1" x14ac:dyDescent="0.3">
      <c r="B111" s="113" t="s">
        <v>71</v>
      </c>
      <c r="C111" s="114"/>
      <c r="D111" s="114"/>
      <c r="E111" s="114"/>
      <c r="F111" s="114"/>
      <c r="G111" s="114"/>
      <c r="H111" s="116">
        <f>H46-H109</f>
        <v>0</v>
      </c>
      <c r="I111" s="115"/>
      <c r="J111" s="116">
        <f t="shared" ref="J111:U111" si="70">J46-J109</f>
        <v>0</v>
      </c>
      <c r="K111" s="116">
        <f t="shared" si="70"/>
        <v>0</v>
      </c>
      <c r="L111" s="116">
        <f t="shared" si="70"/>
        <v>0</v>
      </c>
      <c r="M111" s="116">
        <f t="shared" si="70"/>
        <v>0</v>
      </c>
      <c r="N111" s="116">
        <f t="shared" si="70"/>
        <v>0</v>
      </c>
      <c r="O111" s="116">
        <f t="shared" si="70"/>
        <v>0</v>
      </c>
      <c r="P111" s="116">
        <f t="shared" si="70"/>
        <v>0</v>
      </c>
      <c r="Q111" s="116">
        <f t="shared" si="70"/>
        <v>0</v>
      </c>
      <c r="R111" s="116">
        <f t="shared" si="70"/>
        <v>0</v>
      </c>
      <c r="S111" s="116">
        <f t="shared" si="70"/>
        <v>0</v>
      </c>
      <c r="T111" s="116">
        <f t="shared" si="70"/>
        <v>0</v>
      </c>
      <c r="U111" s="117">
        <f t="shared" si="70"/>
        <v>0</v>
      </c>
      <c r="W111" s="67">
        <f>SUM(J111:U111)</f>
        <v>0</v>
      </c>
    </row>
    <row r="112" spans="1:23" ht="15.75" thickBot="1" x14ac:dyDescent="0.3"/>
    <row r="113" spans="2:21" x14ac:dyDescent="0.25">
      <c r="B113" s="71" t="s">
        <v>72</v>
      </c>
      <c r="C113" s="80" t="s">
        <v>44</v>
      </c>
      <c r="D113" s="42" t="s">
        <v>220</v>
      </c>
      <c r="E113" s="42" t="s">
        <v>203</v>
      </c>
      <c r="F113" s="42" t="s">
        <v>240</v>
      </c>
      <c r="G113" s="42" t="s">
        <v>239</v>
      </c>
      <c r="H113" s="9"/>
      <c r="I113" s="118"/>
      <c r="J113" s="448" t="s">
        <v>73</v>
      </c>
      <c r="K113" s="448"/>
      <c r="L113" s="448"/>
      <c r="M113" s="448"/>
      <c r="N113" s="448"/>
      <c r="O113" s="448"/>
      <c r="P113" s="448"/>
      <c r="Q113" s="448"/>
      <c r="R113" s="448"/>
      <c r="S113" s="448"/>
      <c r="T113" s="448"/>
      <c r="U113" s="449"/>
    </row>
    <row r="114" spans="2:21" x14ac:dyDescent="0.25">
      <c r="B114" s="119" t="s">
        <v>74</v>
      </c>
      <c r="C114" s="340">
        <v>720</v>
      </c>
      <c r="D114" s="120" t="s">
        <v>59</v>
      </c>
      <c r="E114" s="121" t="s">
        <v>75</v>
      </c>
      <c r="F114" s="401"/>
      <c r="G114" s="345">
        <f t="shared" ref="G114:G122" si="71">IFERROR(H114/F114,0)</f>
        <v>0</v>
      </c>
      <c r="H114" s="345">
        <f t="shared" ref="H114:H122" si="72">SUM(J114:U114)</f>
        <v>0</v>
      </c>
      <c r="J114" s="366"/>
      <c r="K114" s="366"/>
      <c r="L114" s="366"/>
      <c r="M114" s="366"/>
      <c r="N114" s="366"/>
      <c r="O114" s="366"/>
      <c r="P114" s="366"/>
      <c r="Q114" s="366"/>
      <c r="R114" s="366"/>
      <c r="S114" s="366"/>
      <c r="T114" s="366"/>
      <c r="U114" s="367"/>
    </row>
    <row r="115" spans="2:21" x14ac:dyDescent="0.25">
      <c r="B115" s="119" t="s">
        <v>76</v>
      </c>
      <c r="C115" s="340">
        <v>720</v>
      </c>
      <c r="D115" s="120" t="s">
        <v>59</v>
      </c>
      <c r="E115" s="121" t="s">
        <v>75</v>
      </c>
      <c r="F115" s="401"/>
      <c r="G115" s="345">
        <f t="shared" si="71"/>
        <v>0</v>
      </c>
      <c r="H115" s="345">
        <f t="shared" si="72"/>
        <v>0</v>
      </c>
      <c r="J115" s="366"/>
      <c r="K115" s="366"/>
      <c r="L115" s="366"/>
      <c r="M115" s="366"/>
      <c r="N115" s="366"/>
      <c r="O115" s="366"/>
      <c r="P115" s="366"/>
      <c r="Q115" s="366"/>
      <c r="R115" s="366"/>
      <c r="S115" s="366"/>
      <c r="T115" s="366"/>
      <c r="U115" s="368"/>
    </row>
    <row r="116" spans="2:21" x14ac:dyDescent="0.25">
      <c r="B116" s="119" t="s">
        <v>77</v>
      </c>
      <c r="C116" s="340">
        <v>720</v>
      </c>
      <c r="D116" s="120" t="s">
        <v>59</v>
      </c>
      <c r="E116" s="121" t="s">
        <v>75</v>
      </c>
      <c r="F116" s="401"/>
      <c r="G116" s="345">
        <f t="shared" si="71"/>
        <v>0</v>
      </c>
      <c r="H116" s="345">
        <f t="shared" si="72"/>
        <v>0</v>
      </c>
      <c r="J116" s="366"/>
      <c r="K116" s="366"/>
      <c r="L116" s="366"/>
      <c r="M116" s="366"/>
      <c r="N116" s="366"/>
      <c r="O116" s="366"/>
      <c r="P116" s="366"/>
      <c r="Q116" s="366"/>
      <c r="R116" s="366"/>
      <c r="S116" s="366"/>
      <c r="T116" s="366"/>
      <c r="U116" s="368"/>
    </row>
    <row r="117" spans="2:21" x14ac:dyDescent="0.25">
      <c r="B117" s="119" t="s">
        <v>78</v>
      </c>
      <c r="C117" s="340">
        <v>720</v>
      </c>
      <c r="D117" s="120" t="s">
        <v>59</v>
      </c>
      <c r="E117" s="121" t="s">
        <v>75</v>
      </c>
      <c r="F117" s="401"/>
      <c r="G117" s="345">
        <f t="shared" si="71"/>
        <v>0</v>
      </c>
      <c r="H117" s="345">
        <f t="shared" si="72"/>
        <v>0</v>
      </c>
      <c r="J117" s="366"/>
      <c r="K117" s="366"/>
      <c r="L117" s="366"/>
      <c r="M117" s="366"/>
      <c r="N117" s="366"/>
      <c r="O117" s="366"/>
      <c r="P117" s="366"/>
      <c r="Q117" s="366"/>
      <c r="R117" s="366"/>
      <c r="S117" s="366"/>
      <c r="T117" s="366"/>
      <c r="U117" s="368"/>
    </row>
    <row r="118" spans="2:21" x14ac:dyDescent="0.25">
      <c r="B118" s="119" t="s">
        <v>205</v>
      </c>
      <c r="C118" s="340">
        <v>720</v>
      </c>
      <c r="D118" s="120" t="s">
        <v>59</v>
      </c>
      <c r="E118" s="121" t="s">
        <v>206</v>
      </c>
      <c r="F118" s="401"/>
      <c r="G118" s="345">
        <f t="shared" si="71"/>
        <v>0</v>
      </c>
      <c r="H118" s="345">
        <f t="shared" si="72"/>
        <v>0</v>
      </c>
      <c r="J118" s="366"/>
      <c r="K118" s="366"/>
      <c r="L118" s="366"/>
      <c r="M118" s="366"/>
      <c r="N118" s="366"/>
      <c r="O118" s="366"/>
      <c r="P118" s="366"/>
      <c r="Q118" s="366"/>
      <c r="R118" s="366"/>
      <c r="S118" s="366"/>
      <c r="T118" s="366"/>
      <c r="U118" s="368"/>
    </row>
    <row r="119" spans="2:21" x14ac:dyDescent="0.25">
      <c r="B119" s="119" t="s">
        <v>60</v>
      </c>
      <c r="C119" s="341" t="s">
        <v>194</v>
      </c>
      <c r="D119" s="120" t="s">
        <v>59</v>
      </c>
      <c r="E119" s="121" t="s">
        <v>79</v>
      </c>
      <c r="F119" s="401"/>
      <c r="G119" s="345">
        <f t="shared" si="71"/>
        <v>0</v>
      </c>
      <c r="H119" s="345">
        <f t="shared" si="72"/>
        <v>0</v>
      </c>
      <c r="J119" s="366"/>
      <c r="K119" s="366"/>
      <c r="L119" s="366"/>
      <c r="M119" s="366"/>
      <c r="N119" s="366"/>
      <c r="O119" s="366"/>
      <c r="P119" s="366"/>
      <c r="Q119" s="366"/>
      <c r="R119" s="366"/>
      <c r="S119" s="366"/>
      <c r="T119" s="366"/>
      <c r="U119" s="368"/>
    </row>
    <row r="120" spans="2:21" x14ac:dyDescent="0.25">
      <c r="B120" s="119" t="s">
        <v>80</v>
      </c>
      <c r="C120" s="341" t="s">
        <v>194</v>
      </c>
      <c r="D120" s="120" t="s">
        <v>59</v>
      </c>
      <c r="E120" s="121" t="s">
        <v>81</v>
      </c>
      <c r="F120" s="401"/>
      <c r="G120" s="345">
        <f t="shared" si="71"/>
        <v>0</v>
      </c>
      <c r="H120" s="345">
        <f t="shared" si="72"/>
        <v>0</v>
      </c>
      <c r="J120" s="366"/>
      <c r="K120" s="366"/>
      <c r="L120" s="366"/>
      <c r="M120" s="366"/>
      <c r="N120" s="366"/>
      <c r="O120" s="366"/>
      <c r="P120" s="366"/>
      <c r="Q120" s="366"/>
      <c r="R120" s="366"/>
      <c r="S120" s="366"/>
      <c r="T120" s="366"/>
      <c r="U120" s="368"/>
    </row>
    <row r="121" spans="2:21" x14ac:dyDescent="0.25">
      <c r="B121" s="336" t="s">
        <v>237</v>
      </c>
      <c r="C121" s="342" t="s">
        <v>195</v>
      </c>
      <c r="D121" s="337" t="s">
        <v>62</v>
      </c>
      <c r="E121" s="338" t="s">
        <v>79</v>
      </c>
      <c r="F121" s="402"/>
      <c r="G121" s="345">
        <f t="shared" si="71"/>
        <v>0</v>
      </c>
      <c r="H121" s="345">
        <f t="shared" si="72"/>
        <v>0</v>
      </c>
      <c r="J121" s="366"/>
      <c r="K121" s="366"/>
      <c r="L121" s="366"/>
      <c r="M121" s="366"/>
      <c r="N121" s="366"/>
      <c r="O121" s="366"/>
      <c r="P121" s="366"/>
      <c r="Q121" s="366"/>
      <c r="R121" s="366"/>
      <c r="S121" s="366"/>
      <c r="T121" s="366"/>
      <c r="U121" s="369"/>
    </row>
    <row r="122" spans="2:21" ht="15.75" thickBot="1" x14ac:dyDescent="0.3">
      <c r="B122" s="125" t="s">
        <v>236</v>
      </c>
      <c r="C122" s="343" t="s">
        <v>195</v>
      </c>
      <c r="D122" s="126" t="s">
        <v>62</v>
      </c>
      <c r="E122" s="127" t="s">
        <v>81</v>
      </c>
      <c r="F122" s="403"/>
      <c r="G122" s="437">
        <f t="shared" si="71"/>
        <v>0</v>
      </c>
      <c r="H122" s="346">
        <f t="shared" si="72"/>
        <v>0</v>
      </c>
      <c r="I122" s="33"/>
      <c r="J122" s="370"/>
      <c r="K122" s="370"/>
      <c r="L122" s="370"/>
      <c r="M122" s="370"/>
      <c r="N122" s="370"/>
      <c r="O122" s="370"/>
      <c r="P122" s="370"/>
      <c r="Q122" s="370"/>
      <c r="R122" s="370"/>
      <c r="S122" s="370"/>
      <c r="T122" s="370"/>
      <c r="U122" s="371"/>
    </row>
    <row r="123" spans="2:21" x14ac:dyDescent="0.25">
      <c r="J123" s="131"/>
      <c r="K123" s="131"/>
      <c r="L123" s="131"/>
      <c r="M123" s="131"/>
      <c r="N123" s="131"/>
      <c r="O123" s="131"/>
      <c r="P123" s="131"/>
      <c r="Q123" s="131"/>
      <c r="R123" s="131"/>
      <c r="S123" s="131"/>
      <c r="T123" s="131"/>
      <c r="U123" s="131"/>
    </row>
    <row r="124" spans="2:21" ht="15.75" thickBot="1" x14ac:dyDescent="0.3">
      <c r="J124" s="131"/>
      <c r="K124" s="131"/>
      <c r="L124" s="131"/>
      <c r="M124" s="131"/>
      <c r="N124" s="131"/>
      <c r="O124" s="131"/>
      <c r="P124" s="131"/>
      <c r="Q124" s="131"/>
      <c r="R124" s="131"/>
      <c r="S124" s="131"/>
      <c r="T124" s="131"/>
      <c r="U124" s="131"/>
    </row>
    <row r="125" spans="2:21" x14ac:dyDescent="0.25">
      <c r="B125" s="71" t="s">
        <v>82</v>
      </c>
      <c r="C125" s="9"/>
      <c r="D125" s="9"/>
      <c r="E125" s="9"/>
      <c r="F125" s="9"/>
      <c r="G125" s="40"/>
      <c r="J125" s="131"/>
      <c r="K125" s="131"/>
      <c r="L125" s="131"/>
      <c r="M125" s="131"/>
      <c r="N125" s="131"/>
      <c r="O125" s="131"/>
      <c r="P125" s="131"/>
      <c r="Q125" s="131"/>
      <c r="R125" s="131"/>
      <c r="S125" s="131"/>
      <c r="T125" s="131"/>
      <c r="U125" s="131"/>
    </row>
    <row r="126" spans="2:21" x14ac:dyDescent="0.25">
      <c r="B126" s="132" t="s">
        <v>83</v>
      </c>
      <c r="C126" s="43" t="s">
        <v>84</v>
      </c>
      <c r="D126"/>
      <c r="E126"/>
      <c r="F126" s="450" t="s">
        <v>85</v>
      </c>
      <c r="G126" s="451"/>
      <c r="I126" s="131"/>
      <c r="J126" s="131"/>
      <c r="K126" s="131"/>
      <c r="L126" s="131"/>
      <c r="M126" s="131"/>
      <c r="N126" s="131"/>
      <c r="O126" s="131"/>
      <c r="P126" s="131"/>
      <c r="Q126" s="131"/>
      <c r="R126" s="131"/>
      <c r="S126" s="131"/>
      <c r="T126" s="131"/>
    </row>
    <row r="127" spans="2:21" ht="18.75" x14ac:dyDescent="0.3">
      <c r="B127" s="133">
        <f>W16</f>
        <v>0</v>
      </c>
      <c r="C127" s="134"/>
      <c r="D127" s="134"/>
      <c r="E127" s="134"/>
      <c r="F127" s="135"/>
      <c r="G127" s="136"/>
      <c r="I127" s="131"/>
      <c r="J127" s="131"/>
      <c r="K127" s="131"/>
      <c r="L127" s="131"/>
      <c r="M127" s="131"/>
      <c r="N127" s="131"/>
      <c r="O127" s="131"/>
      <c r="P127" s="131"/>
      <c r="Q127" s="131"/>
      <c r="R127" s="131"/>
      <c r="S127" s="131"/>
      <c r="T127" s="131"/>
    </row>
    <row r="128" spans="2:21" x14ac:dyDescent="0.25">
      <c r="B128" s="137" t="s">
        <v>86</v>
      </c>
      <c r="C128" s="134"/>
      <c r="D128" s="134"/>
      <c r="E128" s="138">
        <f>H46</f>
        <v>0</v>
      </c>
      <c r="F128" s="135"/>
      <c r="G128" s="139" t="e">
        <f>E128/$B$127</f>
        <v>#DIV/0!</v>
      </c>
      <c r="I128" s="131"/>
      <c r="J128" s="131"/>
      <c r="K128" s="131"/>
      <c r="L128" s="131"/>
      <c r="M128" s="131"/>
      <c r="N128" s="131"/>
      <c r="O128" s="131"/>
      <c r="P128" s="131"/>
      <c r="Q128" s="131"/>
      <c r="R128" s="131"/>
      <c r="S128" s="131"/>
      <c r="T128" s="131"/>
    </row>
    <row r="129" spans="2:21" ht="9" customHeight="1" x14ac:dyDescent="0.25">
      <c r="B129" s="11"/>
      <c r="C129" s="134"/>
      <c r="D129" s="134"/>
      <c r="E129" s="134"/>
      <c r="F129" s="135"/>
      <c r="G129" s="136"/>
      <c r="I129" s="131"/>
      <c r="J129" s="131"/>
      <c r="K129" s="131"/>
      <c r="L129" s="131"/>
      <c r="M129" s="131"/>
      <c r="N129" s="131"/>
      <c r="O129" s="131"/>
      <c r="P129" s="131"/>
      <c r="Q129" s="131"/>
      <c r="R129" s="131"/>
      <c r="S129" s="131"/>
      <c r="T129" s="131"/>
    </row>
    <row r="130" spans="2:21" x14ac:dyDescent="0.25">
      <c r="B130" s="137" t="s">
        <v>87</v>
      </c>
      <c r="C130" s="134"/>
      <c r="D130" s="134"/>
      <c r="E130" s="134"/>
      <c r="F130" s="135"/>
      <c r="G130" s="136"/>
      <c r="I130" s="131"/>
      <c r="J130" s="131"/>
      <c r="K130" s="131"/>
      <c r="L130" s="131"/>
      <c r="M130" s="131"/>
      <c r="N130" s="131"/>
      <c r="O130" s="131"/>
      <c r="P130" s="131"/>
      <c r="Q130" s="131"/>
      <c r="R130" s="131"/>
      <c r="S130" s="131"/>
      <c r="T130" s="131"/>
    </row>
    <row r="131" spans="2:21" x14ac:dyDescent="0.25">
      <c r="B131" s="24" t="s">
        <v>88</v>
      </c>
      <c r="C131" s="138">
        <f>H51+SUM(H82:H89)</f>
        <v>0</v>
      </c>
      <c r="D131" s="138"/>
      <c r="E131" s="134"/>
      <c r="F131" s="140" t="e">
        <f t="shared" ref="F131:F138" si="73">C131/$B$127</f>
        <v>#DIV/0!</v>
      </c>
      <c r="G131" s="136"/>
      <c r="I131" s="131"/>
      <c r="J131" s="131"/>
      <c r="K131" s="131"/>
      <c r="L131" s="131"/>
      <c r="M131" s="131"/>
      <c r="N131" s="131"/>
      <c r="O131" s="131"/>
      <c r="P131" s="131"/>
      <c r="Q131" s="131"/>
      <c r="R131" s="131"/>
      <c r="S131" s="131"/>
      <c r="T131" s="131"/>
    </row>
    <row r="132" spans="2:21" x14ac:dyDescent="0.25">
      <c r="B132" s="24" t="s">
        <v>89</v>
      </c>
      <c r="C132" s="138">
        <f>H78</f>
        <v>0</v>
      </c>
      <c r="D132" s="138"/>
      <c r="E132" s="134"/>
      <c r="F132" s="140" t="e">
        <f t="shared" si="73"/>
        <v>#DIV/0!</v>
      </c>
      <c r="G132" s="136"/>
      <c r="I132" s="131"/>
      <c r="J132" s="131"/>
      <c r="K132" s="131"/>
      <c r="L132" s="131"/>
      <c r="M132" s="131"/>
      <c r="N132" s="131"/>
      <c r="O132" s="131"/>
      <c r="P132" s="131"/>
      <c r="Q132" s="131"/>
      <c r="R132" s="131"/>
      <c r="S132" s="131"/>
      <c r="T132" s="131"/>
    </row>
    <row r="133" spans="2:21" x14ac:dyDescent="0.25">
      <c r="B133" s="24" t="s">
        <v>59</v>
      </c>
      <c r="C133" s="138">
        <f>SUM(H90:H95)</f>
        <v>0</v>
      </c>
      <c r="D133" s="138"/>
      <c r="E133" s="134"/>
      <c r="F133" s="140" t="e">
        <f t="shared" si="73"/>
        <v>#DIV/0!</v>
      </c>
      <c r="G133" s="136"/>
      <c r="I133" s="131"/>
      <c r="J133" s="131"/>
      <c r="K133" s="131"/>
      <c r="L133" s="131"/>
      <c r="M133" s="131"/>
      <c r="N133" s="131"/>
      <c r="O133" s="131"/>
      <c r="P133" s="131"/>
      <c r="Q133" s="148"/>
      <c r="R133" s="131"/>
      <c r="S133" s="131"/>
      <c r="T133" s="131"/>
    </row>
    <row r="134" spans="2:21" x14ac:dyDescent="0.25">
      <c r="B134" s="24" t="s">
        <v>90</v>
      </c>
      <c r="C134" s="138">
        <f>SUM(H96:H97)</f>
        <v>0</v>
      </c>
      <c r="D134" s="138"/>
      <c r="E134" s="134"/>
      <c r="F134" s="140" t="e">
        <f t="shared" si="73"/>
        <v>#DIV/0!</v>
      </c>
      <c r="G134" s="136"/>
      <c r="I134" s="131"/>
      <c r="J134" s="131"/>
      <c r="K134" s="131"/>
      <c r="L134" s="131"/>
      <c r="M134" s="131"/>
      <c r="N134" s="131"/>
      <c r="O134" s="131"/>
      <c r="P134" s="131"/>
      <c r="Q134" s="131"/>
      <c r="R134" s="131"/>
      <c r="S134" s="131"/>
      <c r="T134" s="131"/>
    </row>
    <row r="135" spans="2:21" x14ac:dyDescent="0.25">
      <c r="B135" s="24" t="s">
        <v>91</v>
      </c>
      <c r="C135" s="138">
        <f>SUM(H98:H99)</f>
        <v>0</v>
      </c>
      <c r="D135" s="138"/>
      <c r="E135" s="134"/>
      <c r="F135" s="140" t="e">
        <f t="shared" si="73"/>
        <v>#DIV/0!</v>
      </c>
      <c r="G135" s="136"/>
      <c r="I135" s="131"/>
      <c r="J135" s="131"/>
      <c r="K135" s="131"/>
      <c r="L135" s="131"/>
      <c r="M135" s="131"/>
      <c r="N135" s="131"/>
      <c r="O135" s="131"/>
      <c r="P135" s="131"/>
      <c r="Q135" s="131"/>
      <c r="R135" s="131"/>
      <c r="S135" s="131"/>
      <c r="T135" s="131"/>
    </row>
    <row r="136" spans="2:21" x14ac:dyDescent="0.25">
      <c r="B136" s="24" t="s">
        <v>63</v>
      </c>
      <c r="C136" s="138">
        <f>SUM(H100:H102)</f>
        <v>0</v>
      </c>
      <c r="D136" s="138"/>
      <c r="E136" s="134"/>
      <c r="F136" s="140" t="e">
        <f t="shared" si="73"/>
        <v>#DIV/0!</v>
      </c>
      <c r="G136" s="136"/>
      <c r="I136" s="131"/>
      <c r="J136" s="131"/>
      <c r="K136" s="131"/>
      <c r="L136" s="131"/>
      <c r="M136" s="131"/>
      <c r="N136" s="131"/>
      <c r="O136" s="131"/>
      <c r="P136" s="131"/>
      <c r="Q136" s="131"/>
      <c r="R136" s="131"/>
      <c r="S136" s="131"/>
      <c r="T136" s="131"/>
    </row>
    <row r="137" spans="2:21" x14ac:dyDescent="0.25">
      <c r="B137" s="24" t="s">
        <v>68</v>
      </c>
      <c r="C137" s="138">
        <f>H105</f>
        <v>0</v>
      </c>
      <c r="D137" s="138"/>
      <c r="E137" s="134"/>
      <c r="F137" s="140" t="e">
        <f t="shared" si="73"/>
        <v>#DIV/0!</v>
      </c>
      <c r="G137" s="136"/>
      <c r="I137" s="131"/>
      <c r="J137" s="131"/>
      <c r="K137" s="131"/>
      <c r="L137" s="131"/>
      <c r="M137" s="131"/>
      <c r="N137" s="131"/>
      <c r="O137" s="131"/>
      <c r="P137" s="131"/>
      <c r="Q137" s="131"/>
      <c r="R137" s="131"/>
      <c r="S137" s="131"/>
      <c r="T137" s="131"/>
    </row>
    <row r="138" spans="2:21" x14ac:dyDescent="0.25">
      <c r="B138" s="24" t="s">
        <v>92</v>
      </c>
      <c r="C138" s="141">
        <f>SUM(H103:H104)</f>
        <v>0</v>
      </c>
      <c r="D138" s="141"/>
      <c r="E138" s="141">
        <f>SUM(C131:C138)</f>
        <v>0</v>
      </c>
      <c r="F138" s="142" t="e">
        <f t="shared" si="73"/>
        <v>#DIV/0!</v>
      </c>
      <c r="G138" s="143" t="e">
        <f>SUM(F131:F138)</f>
        <v>#DIV/0!</v>
      </c>
      <c r="I138" s="131"/>
      <c r="J138" s="131"/>
      <c r="K138" s="131"/>
      <c r="L138" s="131"/>
      <c r="M138" s="131"/>
      <c r="N138" s="131"/>
      <c r="O138" s="131"/>
      <c r="P138" s="131"/>
      <c r="Q138" s="131"/>
      <c r="R138" s="131"/>
      <c r="S138" s="131"/>
      <c r="T138" s="131"/>
    </row>
    <row r="139" spans="2:21" ht="19.5" thickBot="1" x14ac:dyDescent="0.35">
      <c r="B139" s="32"/>
      <c r="C139" s="144"/>
      <c r="D139" s="144"/>
      <c r="E139" s="145">
        <f>E128-E138</f>
        <v>0</v>
      </c>
      <c r="F139" s="146"/>
      <c r="G139" s="147" t="e">
        <f>G128-G138</f>
        <v>#DIV/0!</v>
      </c>
      <c r="I139" s="131"/>
      <c r="J139" s="131"/>
      <c r="K139" s="131"/>
      <c r="L139" s="131"/>
      <c r="M139" s="131"/>
      <c r="N139" s="131"/>
      <c r="O139" s="131"/>
      <c r="P139" s="131"/>
      <c r="Q139" s="131"/>
      <c r="R139" s="131"/>
      <c r="S139" s="131"/>
      <c r="T139" s="131"/>
    </row>
    <row r="140" spans="2:21" x14ac:dyDescent="0.25">
      <c r="J140" s="131"/>
      <c r="K140" s="131"/>
      <c r="L140" s="131"/>
      <c r="M140" s="131"/>
      <c r="N140" s="131"/>
      <c r="O140" s="131"/>
      <c r="P140" s="131"/>
      <c r="Q140" s="131"/>
      <c r="R140" s="131"/>
      <c r="S140" s="131"/>
      <c r="T140" s="131"/>
      <c r="U140" s="131"/>
    </row>
    <row r="141" spans="2:21" x14ac:dyDescent="0.25">
      <c r="J141" s="131"/>
      <c r="K141" s="131"/>
      <c r="L141" s="131"/>
      <c r="M141" s="131"/>
      <c r="N141" s="131"/>
      <c r="O141" s="131"/>
      <c r="P141" s="131"/>
      <c r="Q141" s="131"/>
      <c r="R141" s="131"/>
      <c r="S141" s="131"/>
      <c r="T141" s="131"/>
      <c r="U141" s="131"/>
    </row>
    <row r="142" spans="2:21" x14ac:dyDescent="0.25">
      <c r="J142" s="131"/>
      <c r="K142" s="131"/>
      <c r="L142" s="131"/>
      <c r="M142" s="148"/>
      <c r="N142" s="131"/>
      <c r="O142" s="131"/>
      <c r="P142" s="131"/>
      <c r="Q142" s="131"/>
      <c r="R142" s="131"/>
      <c r="S142" s="131"/>
      <c r="T142" s="131"/>
      <c r="U142" s="131"/>
    </row>
  </sheetData>
  <sheetProtection algorithmName="SHA-512" hashValue="r//DuPLUf3Q+a8Rovm/jgwNKIiaoWoqpVjgtOq7RkqV8WCe0ZZrxG66K9nGDqMAQac/nnFxcwlHl+xNQ5+MTpQ==" saltValue="smyVeTEHdxna544LuY95OA==" spinCount="100000" sheet="1" selectLockedCells="1"/>
  <protectedRanges>
    <protectedRange sqref="J7:U13" name="Production_1"/>
    <protectedRange sqref="J4:U6" name="Production_1_1"/>
    <protectedRange sqref="F41:G41" name="JAS converions_1"/>
    <protectedRange sqref="G56:G77" name="Log transport costs_1"/>
    <protectedRange sqref="C20:C40" name="Grade mix_1"/>
    <protectedRange sqref="F20:G40" name="JAS converions_1_1"/>
  </protectedRanges>
  <mergeCells count="6">
    <mergeCell ref="J113:U113"/>
    <mergeCell ref="F126:G126"/>
    <mergeCell ref="I10:I12"/>
    <mergeCell ref="I13:I16"/>
    <mergeCell ref="I4:I6"/>
    <mergeCell ref="I7:I9"/>
  </mergeCells>
  <conditionalFormatting sqref="C42">
    <cfRule type="cellIs" dxfId="8" priority="1" operator="greaterThan">
      <formula>0.99</formula>
    </cfRule>
  </conditionalFormatting>
  <dataValidations count="1">
    <dataValidation type="whole" errorStyle="warning" allowBlank="1" showInputMessage="1" showErrorMessage="1" errorTitle="High number of skids" error="Are you sure you are going to build this many skids?" sqref="J119:U122" xr:uid="{760956B9-831B-487B-BA2A-87A522EC74DC}">
      <formula1>0</formula1>
      <formula2>10</formula2>
    </dataValidation>
  </dataValidations>
  <pageMargins left="0.70866141732283472" right="0.70866141732283472" top="0.74803149606299213" bottom="0.74803149606299213" header="0.31496062992125984" footer="0.31496062992125984"/>
  <pageSetup paperSize="8" scale="36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180CC-81E9-4BD1-8C37-C50BC7EE5CD5}">
  <sheetPr codeName="Sheet15">
    <tabColor theme="5" tint="0.39997558519241921"/>
    <pageSetUpPr fitToPage="1"/>
  </sheetPr>
  <dimension ref="A1:X173"/>
  <sheetViews>
    <sheetView zoomScale="80" zoomScaleNormal="80" workbookViewId="0">
      <pane xSplit="8" ySplit="19" topLeftCell="I20" activePane="bottomRight" state="frozen"/>
      <selection activeCell="I2" sqref="I2"/>
      <selection pane="topRight" activeCell="I2" sqref="I2"/>
      <selection pane="bottomLeft" activeCell="I2" sqref="I2"/>
      <selection pane="bottomRight" activeCell="I2" sqref="I2"/>
    </sheetView>
  </sheetViews>
  <sheetFormatPr defaultColWidth="9" defaultRowHeight="15" x14ac:dyDescent="0.25"/>
  <cols>
    <col min="1" max="1" width="2.28515625" style="1" customWidth="1"/>
    <col min="2" max="2" width="39.7109375" style="1" customWidth="1"/>
    <col min="3" max="3" width="13.85546875" style="1" customWidth="1"/>
    <col min="4" max="4" width="14.7109375" style="1" customWidth="1"/>
    <col min="5" max="5" width="19.7109375" style="1" customWidth="1"/>
    <col min="6" max="6" width="12.42578125" style="1" customWidth="1"/>
    <col min="7" max="7" width="13.28515625" style="1" bestFit="1" customWidth="1"/>
    <col min="8" max="8" width="20.42578125" style="1" customWidth="1"/>
    <col min="9" max="9" width="8.7109375" style="1" customWidth="1"/>
    <col min="10" max="21" width="15.7109375" style="1" bestFit="1" customWidth="1"/>
    <col min="22" max="22" width="5" style="1" customWidth="1"/>
    <col min="23" max="23" width="15.28515625" style="4" bestFit="1" customWidth="1"/>
    <col min="24" max="24" width="17.5703125" style="1" customWidth="1"/>
    <col min="25" max="16384" width="9" style="1"/>
  </cols>
  <sheetData>
    <row r="1" spans="2:24" ht="15.75" thickBot="1" x14ac:dyDescent="0.3">
      <c r="C1" s="2">
        <f>'Kanuka (T&amp;M) Budget'!C1</f>
        <v>2025</v>
      </c>
      <c r="D1" s="3" t="s">
        <v>0</v>
      </c>
    </row>
    <row r="2" spans="2:24" ht="27" thickBot="1" x14ac:dyDescent="0.45">
      <c r="B2" s="5" t="str">
        <f>'Kanuka (T&amp;M) Budget'!B2</f>
        <v>Kanuka</v>
      </c>
      <c r="H2" s="43" t="s">
        <v>209</v>
      </c>
      <c r="I2" s="404"/>
      <c r="W2" s="6"/>
      <c r="X2" s="7"/>
    </row>
    <row r="3" spans="2:24" ht="15.75" x14ac:dyDescent="0.25">
      <c r="B3" s="8" t="s">
        <v>1</v>
      </c>
      <c r="C3" s="9"/>
      <c r="D3" s="9"/>
      <c r="E3" s="9"/>
      <c r="F3" s="9"/>
      <c r="G3" s="9" t="s">
        <v>241</v>
      </c>
      <c r="H3" s="10"/>
      <c r="I3" s="304">
        <f>IF(NOT(ISBLANK(J5)), J5, IF(NOT(ISBLANK(J8)), J8, IF(NOT(ISBLANK(J11)), J11, 0)))+IF(NOT(ISBLANK(K5)), K5, IF(NOT(ISBLANK(K8)), K8, IF(NOT(ISBLANK(K11)), K11, 0)))+IF(NOT(ISBLANK(L5)), L5, IF(NOT(ISBLANK(L8)), L8, IF(NOT(ISBLANK(L11)), L11, 0)))+IF(NOT(ISBLANK(M5)), M5, IF(NOT(ISBLANK(M8)), M8, IF(NOT(ISBLANK(M11)), M11, 0)))+IF(NOT(ISBLANK(N5)), N5, IF(NOT(ISBLANK(N8)), N8, IF(NOT(ISBLANK(N11)), N11, 0)))+IF(NOT(ISBLANK(O5)), O5, IF(NOT(ISBLANK(O8)), O8, IF(NOT(ISBLANK(O11)), O11, 0)))+IF(NOT(ISBLANK(P5)), P5, IF(NOT(ISBLANK(P8)), P8, IF(NOT(ISBLANK(P11)), P11, 0)))+IF(NOT(ISBLANK(Q5)), Q5, IF(NOT(ISBLANK(Q8)), Q8, IF(NOT(ISBLANK(Q11)), Q11, 0)))+IF(NOT(ISBLANK(R5)), R5, IF(NOT(ISBLANK(R8)), R8, IF(NOT(ISBLANK(R11)), R11, 0)))+IF(NOT(ISBLANK(S5)), S5, IF(NOT(ISBLANK(S8)), S8, IF(NOT(ISBLANK(S11)), S11, 0)))+IF(NOT(ISBLANK(T5)), T5, IF(NOT(ISBLANK(T8)), T8, IF(NOT(ISBLANK(T11)), T11, 0)))+IF(NOT(ISBLANK(U5)), U5, IF(NOT(ISBLANK(U8)), U8, IF(NOT(ISBLANK(U11)), U11, 0)))</f>
        <v>0</v>
      </c>
      <c r="J3" s="178">
        <v>45658</v>
      </c>
      <c r="K3" s="178">
        <v>45689</v>
      </c>
      <c r="L3" s="178">
        <v>45717</v>
      </c>
      <c r="M3" s="178">
        <v>45748</v>
      </c>
      <c r="N3" s="178">
        <v>45778</v>
      </c>
      <c r="O3" s="178">
        <v>45809</v>
      </c>
      <c r="P3" s="178">
        <v>45839</v>
      </c>
      <c r="Q3" s="178">
        <v>45870</v>
      </c>
      <c r="R3" s="178">
        <v>45901</v>
      </c>
      <c r="S3" s="178">
        <v>45931</v>
      </c>
      <c r="T3" s="178">
        <v>45962</v>
      </c>
      <c r="U3" s="178">
        <v>45992</v>
      </c>
      <c r="W3" s="6"/>
      <c r="X3" s="7"/>
    </row>
    <row r="4" spans="2:24" x14ac:dyDescent="0.25">
      <c r="B4" s="11"/>
      <c r="G4" s="12" t="s">
        <v>3</v>
      </c>
      <c r="H4" s="301" t="s">
        <v>242</v>
      </c>
      <c r="I4" s="458">
        <f>IFERROR(SUM(J4:U4)/$W$16,0)</f>
        <v>0</v>
      </c>
      <c r="J4" s="13"/>
      <c r="K4" s="13"/>
      <c r="L4" s="13"/>
      <c r="M4" s="14"/>
      <c r="N4" s="14"/>
      <c r="O4" s="14"/>
      <c r="P4" s="14"/>
      <c r="Q4" s="14"/>
      <c r="R4" s="14"/>
      <c r="S4" s="14"/>
      <c r="T4" s="14"/>
      <c r="U4" s="15"/>
      <c r="W4" s="6"/>
      <c r="X4" s="7"/>
    </row>
    <row r="5" spans="2:24" x14ac:dyDescent="0.25">
      <c r="B5" s="11"/>
      <c r="G5" s="16"/>
      <c r="H5" s="1" t="s">
        <v>5</v>
      </c>
      <c r="I5" s="459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5"/>
      <c r="W5" s="6"/>
      <c r="X5" s="7"/>
    </row>
    <row r="6" spans="2:24" ht="15.75" thickBot="1" x14ac:dyDescent="0.3">
      <c r="B6" s="11"/>
      <c r="G6" s="17"/>
      <c r="H6" s="302" t="s">
        <v>6</v>
      </c>
      <c r="I6" s="460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380"/>
      <c r="W6" s="6"/>
      <c r="X6" s="7"/>
    </row>
    <row r="7" spans="2:24" x14ac:dyDescent="0.25">
      <c r="B7" s="11"/>
      <c r="G7" s="12" t="s">
        <v>7</v>
      </c>
      <c r="H7" s="301" t="s">
        <v>242</v>
      </c>
      <c r="I7" s="458">
        <f>IFERROR(SUM(J7:U7)/$W$16,0)</f>
        <v>0</v>
      </c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20"/>
      <c r="W7" s="6"/>
      <c r="X7" s="7"/>
    </row>
    <row r="8" spans="2:24" x14ac:dyDescent="0.25">
      <c r="B8" s="11"/>
      <c r="G8" s="16"/>
      <c r="H8" s="1" t="s">
        <v>5</v>
      </c>
      <c r="I8" s="459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5"/>
      <c r="W8" s="6"/>
      <c r="X8" s="7"/>
    </row>
    <row r="9" spans="2:24" ht="15.75" thickBot="1" x14ac:dyDescent="0.3">
      <c r="B9" s="11"/>
      <c r="G9" s="17"/>
      <c r="H9" s="302" t="s">
        <v>6</v>
      </c>
      <c r="I9" s="460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2"/>
      <c r="W9" s="6"/>
      <c r="X9" s="7"/>
    </row>
    <row r="10" spans="2:24" x14ac:dyDescent="0.25">
      <c r="B10" s="11"/>
      <c r="G10" s="12" t="s">
        <v>8</v>
      </c>
      <c r="H10" s="301" t="s">
        <v>242</v>
      </c>
      <c r="I10" s="458">
        <f>IFERROR(SUM(J10:U10)/$W$16,0)</f>
        <v>0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5"/>
      <c r="W10" s="6"/>
      <c r="X10" s="7"/>
    </row>
    <row r="11" spans="2:24" x14ac:dyDescent="0.25">
      <c r="B11" s="11"/>
      <c r="G11" s="16"/>
      <c r="H11" s="1" t="s">
        <v>5</v>
      </c>
      <c r="I11" s="459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5"/>
      <c r="W11" s="6"/>
      <c r="X11" s="7"/>
    </row>
    <row r="12" spans="2:24" ht="15.75" thickBot="1" x14ac:dyDescent="0.3">
      <c r="B12" s="11"/>
      <c r="G12" s="17"/>
      <c r="H12" s="302" t="s">
        <v>6</v>
      </c>
      <c r="I12" s="460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2"/>
      <c r="V12" s="7"/>
      <c r="W12" s="6"/>
      <c r="X12" s="7"/>
    </row>
    <row r="13" spans="2:24" x14ac:dyDescent="0.25">
      <c r="B13" s="11"/>
      <c r="G13" s="1" t="s">
        <v>2</v>
      </c>
      <c r="H13" s="1" t="s">
        <v>244</v>
      </c>
      <c r="I13" s="461">
        <f>SUM(I4:I12)</f>
        <v>0</v>
      </c>
      <c r="J13" s="412">
        <f t="shared" ref="J13:U13" si="0">J4+J7+J10</f>
        <v>0</v>
      </c>
      <c r="K13" s="412">
        <f t="shared" si="0"/>
        <v>0</v>
      </c>
      <c r="L13" s="412">
        <f t="shared" si="0"/>
        <v>0</v>
      </c>
      <c r="M13" s="412">
        <f t="shared" si="0"/>
        <v>0</v>
      </c>
      <c r="N13" s="412">
        <f t="shared" si="0"/>
        <v>0</v>
      </c>
      <c r="O13" s="412">
        <f t="shared" si="0"/>
        <v>0</v>
      </c>
      <c r="P13" s="412">
        <f t="shared" si="0"/>
        <v>0</v>
      </c>
      <c r="Q13" s="412">
        <f t="shared" si="0"/>
        <v>0</v>
      </c>
      <c r="R13" s="412">
        <f t="shared" si="0"/>
        <v>0</v>
      </c>
      <c r="S13" s="412">
        <f t="shared" si="0"/>
        <v>0</v>
      </c>
      <c r="T13" s="412">
        <f t="shared" si="0"/>
        <v>0</v>
      </c>
      <c r="U13" s="413">
        <f t="shared" si="0"/>
        <v>0</v>
      </c>
      <c r="V13" s="7"/>
      <c r="W13" s="28">
        <f>I3</f>
        <v>0</v>
      </c>
      <c r="X13" s="306" t="s">
        <v>208</v>
      </c>
    </row>
    <row r="14" spans="2:24" x14ac:dyDescent="0.25">
      <c r="B14" s="24"/>
      <c r="C14" s="25"/>
      <c r="D14" s="26"/>
      <c r="H14" t="s">
        <v>245</v>
      </c>
      <c r="I14" s="462"/>
      <c r="J14" s="414">
        <f t="shared" ref="J14:U14" si="1">J13-J16</f>
        <v>0</v>
      </c>
      <c r="K14" s="414">
        <f t="shared" si="1"/>
        <v>0</v>
      </c>
      <c r="L14" s="414">
        <f t="shared" si="1"/>
        <v>0</v>
      </c>
      <c r="M14" s="414">
        <f t="shared" si="1"/>
        <v>0</v>
      </c>
      <c r="N14" s="414">
        <f t="shared" si="1"/>
        <v>0</v>
      </c>
      <c r="O14" s="414">
        <f t="shared" si="1"/>
        <v>0</v>
      </c>
      <c r="P14" s="414">
        <f t="shared" si="1"/>
        <v>0</v>
      </c>
      <c r="Q14" s="414">
        <f t="shared" si="1"/>
        <v>0</v>
      </c>
      <c r="R14" s="414">
        <f t="shared" si="1"/>
        <v>0</v>
      </c>
      <c r="S14" s="414">
        <f t="shared" si="1"/>
        <v>0</v>
      </c>
      <c r="T14" s="414">
        <f t="shared" si="1"/>
        <v>0</v>
      </c>
      <c r="U14" s="415">
        <f t="shared" si="1"/>
        <v>0</v>
      </c>
      <c r="W14" s="28">
        <f>SUM(J14:U14)</f>
        <v>0</v>
      </c>
      <c r="X14" s="306" t="str">
        <f>H14</f>
        <v>Variance Tones</v>
      </c>
    </row>
    <row r="15" spans="2:24" x14ac:dyDescent="0.25">
      <c r="B15" s="24"/>
      <c r="C15" s="29"/>
      <c r="D15" s="30"/>
      <c r="G15" s="1" t="s">
        <v>2</v>
      </c>
      <c r="H15" s="1" t="s">
        <v>207</v>
      </c>
      <c r="I15" s="462"/>
      <c r="J15" s="412">
        <f t="shared" ref="J15:U15" si="2">IFERROR(J13/$I$2,0)</f>
        <v>0</v>
      </c>
      <c r="K15" s="412">
        <f t="shared" si="2"/>
        <v>0</v>
      </c>
      <c r="L15" s="412">
        <f t="shared" si="2"/>
        <v>0</v>
      </c>
      <c r="M15" s="412">
        <f t="shared" si="2"/>
        <v>0</v>
      </c>
      <c r="N15" s="412">
        <f t="shared" si="2"/>
        <v>0</v>
      </c>
      <c r="O15" s="412">
        <f t="shared" si="2"/>
        <v>0</v>
      </c>
      <c r="P15" s="412">
        <f t="shared" si="2"/>
        <v>0</v>
      </c>
      <c r="Q15" s="412">
        <f t="shared" si="2"/>
        <v>0</v>
      </c>
      <c r="R15" s="412">
        <f t="shared" si="2"/>
        <v>0</v>
      </c>
      <c r="S15" s="412">
        <f t="shared" si="2"/>
        <v>0</v>
      </c>
      <c r="T15" s="412">
        <f t="shared" si="2"/>
        <v>0</v>
      </c>
      <c r="U15" s="413">
        <f t="shared" si="2"/>
        <v>0</v>
      </c>
      <c r="V15" s="31"/>
      <c r="W15" s="28">
        <f>SUM(J15:U15)</f>
        <v>0</v>
      </c>
      <c r="X15" s="306" t="str">
        <f>H15</f>
        <v>Hectare (ha)</v>
      </c>
    </row>
    <row r="16" spans="2:24" ht="15.75" thickBot="1" x14ac:dyDescent="0.3">
      <c r="B16" s="32"/>
      <c r="C16" s="33"/>
      <c r="D16" s="33"/>
      <c r="E16" s="33"/>
      <c r="F16" s="33"/>
      <c r="G16" s="33" t="s">
        <v>2</v>
      </c>
      <c r="H16" s="33" t="s">
        <v>243</v>
      </c>
      <c r="I16" s="463"/>
      <c r="J16" s="416">
        <f>Volume_6!D27</f>
        <v>0</v>
      </c>
      <c r="K16" s="416">
        <f>Volume_6!H27</f>
        <v>0</v>
      </c>
      <c r="L16" s="416">
        <f>Volume_6!L27</f>
        <v>0</v>
      </c>
      <c r="M16" s="416">
        <f>Volume_6!P27</f>
        <v>0</v>
      </c>
      <c r="N16" s="416">
        <f>Volume_6!T27</f>
        <v>0</v>
      </c>
      <c r="O16" s="416">
        <f>Volume_6!X27</f>
        <v>0</v>
      </c>
      <c r="P16" s="416">
        <f>Volume_6!AB27</f>
        <v>0</v>
      </c>
      <c r="Q16" s="416">
        <f>Volume_6!AF27</f>
        <v>0</v>
      </c>
      <c r="R16" s="416">
        <f>Volume_6!AJ27</f>
        <v>0</v>
      </c>
      <c r="S16" s="416">
        <f>Volume_6!AN27</f>
        <v>0</v>
      </c>
      <c r="T16" s="416">
        <f>Volume_6!AR27</f>
        <v>0</v>
      </c>
      <c r="U16" s="417">
        <f>Volume_6!AV27</f>
        <v>0</v>
      </c>
      <c r="W16" s="28">
        <f>SUM(J16:U16)</f>
        <v>0</v>
      </c>
      <c r="X16" s="35" t="str">
        <f>H16</f>
        <v>Invoice Tonnes</v>
      </c>
    </row>
    <row r="17" spans="1:24" ht="25.5" customHeight="1" thickBot="1" x14ac:dyDescent="0.3">
      <c r="C17" s="7"/>
      <c r="D17" s="7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7"/>
      <c r="W17" s="38"/>
    </row>
    <row r="18" spans="1:24" ht="16.5" thickBot="1" x14ac:dyDescent="0.3">
      <c r="B18" s="8" t="s">
        <v>12</v>
      </c>
      <c r="C18" s="9"/>
      <c r="D18" s="9"/>
      <c r="E18" s="9"/>
      <c r="F18" s="9"/>
      <c r="G18" s="9"/>
      <c r="H18" s="9"/>
      <c r="I18" s="9"/>
      <c r="J18" s="39"/>
      <c r="K18" s="9"/>
      <c r="L18" s="9"/>
      <c r="M18" s="9"/>
      <c r="N18" s="9"/>
      <c r="O18" s="9"/>
      <c r="P18" s="9"/>
      <c r="Q18" s="9"/>
      <c r="R18" s="9"/>
      <c r="S18" s="9"/>
      <c r="T18" s="9"/>
      <c r="U18" s="40"/>
    </row>
    <row r="19" spans="1:24" x14ac:dyDescent="0.25">
      <c r="B19" s="41" t="s">
        <v>13</v>
      </c>
      <c r="C19" s="42" t="s">
        <v>14</v>
      </c>
      <c r="D19" s="42" t="s">
        <v>210</v>
      </c>
      <c r="E19" s="42" t="s">
        <v>15</v>
      </c>
      <c r="F19" s="42" t="s">
        <v>16</v>
      </c>
      <c r="G19" s="42" t="s">
        <v>17</v>
      </c>
      <c r="H19" s="42" t="s">
        <v>18</v>
      </c>
      <c r="I19" s="43"/>
      <c r="J19" s="178">
        <v>45658</v>
      </c>
      <c r="K19" s="178">
        <v>45689</v>
      </c>
      <c r="L19" s="178">
        <v>45717</v>
      </c>
      <c r="M19" s="178">
        <v>45748</v>
      </c>
      <c r="N19" s="178">
        <v>45778</v>
      </c>
      <c r="O19" s="178">
        <v>45809</v>
      </c>
      <c r="P19" s="178">
        <v>45839</v>
      </c>
      <c r="Q19" s="178">
        <v>45870</v>
      </c>
      <c r="R19" s="178">
        <v>45901</v>
      </c>
      <c r="S19" s="178">
        <v>45931</v>
      </c>
      <c r="T19" s="178">
        <v>45962</v>
      </c>
      <c r="U19" s="178">
        <v>45992</v>
      </c>
    </row>
    <row r="20" spans="1:24" x14ac:dyDescent="0.25">
      <c r="A20" s="11"/>
      <c r="B20" s="239" t="s">
        <v>20</v>
      </c>
      <c r="C20" s="240"/>
      <c r="D20" s="240"/>
      <c r="E20" s="409" t="s">
        <v>21</v>
      </c>
      <c r="F20" s="241"/>
      <c r="G20" s="241"/>
      <c r="H20" s="418">
        <f t="shared" ref="H20:H41" si="3">SUM(J20:U20)</f>
        <v>0</v>
      </c>
      <c r="I20" s="419"/>
      <c r="J20" s="420">
        <f>Volume_6!G4</f>
        <v>0</v>
      </c>
      <c r="K20" s="420">
        <f>Volume_6!K4</f>
        <v>0</v>
      </c>
      <c r="L20" s="420">
        <f>Volume_6!O4</f>
        <v>0</v>
      </c>
      <c r="M20" s="420">
        <f>Volume_6!S4</f>
        <v>0</v>
      </c>
      <c r="N20" s="420">
        <f>Volume_6!W4</f>
        <v>0</v>
      </c>
      <c r="O20" s="420">
        <f>Volume_6!AA4</f>
        <v>0</v>
      </c>
      <c r="P20" s="420">
        <f>Volume_6!AE4</f>
        <v>0</v>
      </c>
      <c r="Q20" s="420">
        <f>Volume_6!AI4</f>
        <v>0</v>
      </c>
      <c r="R20" s="420">
        <f>Volume_6!AM4</f>
        <v>0</v>
      </c>
      <c r="S20" s="420">
        <f>Volume_6!AQ4</f>
        <v>0</v>
      </c>
      <c r="T20" s="420">
        <f>Volume_6!AU4</f>
        <v>0</v>
      </c>
      <c r="U20" s="420">
        <f>Volume_6!AY4</f>
        <v>0</v>
      </c>
      <c r="W20" s="38"/>
    </row>
    <row r="21" spans="1:24" x14ac:dyDescent="0.25">
      <c r="A21" s="11"/>
      <c r="B21" s="239" t="s">
        <v>22</v>
      </c>
      <c r="C21" s="240"/>
      <c r="D21" s="240"/>
      <c r="E21" s="409" t="s">
        <v>21</v>
      </c>
      <c r="F21" s="241"/>
      <c r="G21" s="241"/>
      <c r="H21" s="418">
        <f t="shared" si="3"/>
        <v>0</v>
      </c>
      <c r="I21" s="419"/>
      <c r="J21" s="420">
        <f>Volume_6!G5</f>
        <v>0</v>
      </c>
      <c r="K21" s="420">
        <f>Volume_6!K5</f>
        <v>0</v>
      </c>
      <c r="L21" s="420">
        <f>Volume_6!O5</f>
        <v>0</v>
      </c>
      <c r="M21" s="420">
        <f>Volume_6!S5</f>
        <v>0</v>
      </c>
      <c r="N21" s="420">
        <f>Volume_6!W5</f>
        <v>0</v>
      </c>
      <c r="O21" s="420">
        <f>Volume_6!AA5</f>
        <v>0</v>
      </c>
      <c r="P21" s="420">
        <f>Volume_6!AE5</f>
        <v>0</v>
      </c>
      <c r="Q21" s="420">
        <f>Volume_6!AI5</f>
        <v>0</v>
      </c>
      <c r="R21" s="420">
        <f>Volume_6!AM5</f>
        <v>0</v>
      </c>
      <c r="S21" s="420">
        <f>Volume_6!AQ5</f>
        <v>0</v>
      </c>
      <c r="T21" s="420">
        <f>Volume_6!AU5</f>
        <v>0</v>
      </c>
      <c r="U21" s="420">
        <f>Volume_6!AY5</f>
        <v>0</v>
      </c>
      <c r="W21" s="38"/>
    </row>
    <row r="22" spans="1:24" x14ac:dyDescent="0.25">
      <c r="A22" s="11"/>
      <c r="B22" s="239" t="s">
        <v>25</v>
      </c>
      <c r="C22" s="240"/>
      <c r="D22" s="240"/>
      <c r="E22" s="409" t="s">
        <v>21</v>
      </c>
      <c r="F22" s="241"/>
      <c r="G22" s="241"/>
      <c r="H22" s="418">
        <f t="shared" si="3"/>
        <v>0</v>
      </c>
      <c r="I22" s="419"/>
      <c r="J22" s="420">
        <f>Volume_6!G6</f>
        <v>0</v>
      </c>
      <c r="K22" s="420">
        <f>Volume_6!K6</f>
        <v>0</v>
      </c>
      <c r="L22" s="420">
        <f>Volume_6!O6</f>
        <v>0</v>
      </c>
      <c r="M22" s="420">
        <f>Volume_6!S6</f>
        <v>0</v>
      </c>
      <c r="N22" s="420">
        <f>Volume_6!W6</f>
        <v>0</v>
      </c>
      <c r="O22" s="420">
        <f>Volume_6!AA6</f>
        <v>0</v>
      </c>
      <c r="P22" s="420">
        <f>Volume_6!AE6</f>
        <v>0</v>
      </c>
      <c r="Q22" s="420">
        <f>Volume_6!AI6</f>
        <v>0</v>
      </c>
      <c r="R22" s="420">
        <f>Volume_6!AM6</f>
        <v>0</v>
      </c>
      <c r="S22" s="420">
        <f>Volume_6!AQ6</f>
        <v>0</v>
      </c>
      <c r="T22" s="420">
        <f>Volume_6!AU6</f>
        <v>0</v>
      </c>
      <c r="U22" s="420">
        <f>Volume_6!AY6</f>
        <v>0</v>
      </c>
      <c r="W22" s="38"/>
      <c r="X22"/>
    </row>
    <row r="23" spans="1:24" x14ac:dyDescent="0.25">
      <c r="A23" s="11"/>
      <c r="B23" s="242" t="s">
        <v>30</v>
      </c>
      <c r="C23" s="240"/>
      <c r="D23" s="240"/>
      <c r="E23" s="409" t="s">
        <v>21</v>
      </c>
      <c r="F23" s="241"/>
      <c r="G23" s="241"/>
      <c r="H23" s="418">
        <f t="shared" si="3"/>
        <v>0</v>
      </c>
      <c r="I23" s="419"/>
      <c r="J23" s="420">
        <f>Volume_6!G7</f>
        <v>0</v>
      </c>
      <c r="K23" s="420">
        <f>Volume_6!K7</f>
        <v>0</v>
      </c>
      <c r="L23" s="420">
        <f>Volume_6!O7</f>
        <v>0</v>
      </c>
      <c r="M23" s="420">
        <f>Volume_6!S7</f>
        <v>0</v>
      </c>
      <c r="N23" s="420">
        <f>Volume_6!W7</f>
        <v>0</v>
      </c>
      <c r="O23" s="420">
        <f>Volume_6!AA7</f>
        <v>0</v>
      </c>
      <c r="P23" s="420">
        <f>Volume_6!AE7</f>
        <v>0</v>
      </c>
      <c r="Q23" s="420">
        <f>Volume_6!AI7</f>
        <v>0</v>
      </c>
      <c r="R23" s="420">
        <f>Volume_6!AM7</f>
        <v>0</v>
      </c>
      <c r="S23" s="420">
        <f>Volume_6!AQ7</f>
        <v>0</v>
      </c>
      <c r="T23" s="420">
        <f>Volume_6!AU7</f>
        <v>0</v>
      </c>
      <c r="U23" s="420">
        <f>Volume_6!AY7</f>
        <v>0</v>
      </c>
      <c r="W23" s="38"/>
    </row>
    <row r="24" spans="1:24" x14ac:dyDescent="0.25">
      <c r="A24" s="11"/>
      <c r="B24" s="242" t="s">
        <v>222</v>
      </c>
      <c r="C24" s="240"/>
      <c r="D24" s="240"/>
      <c r="E24" s="409" t="s">
        <v>21</v>
      </c>
      <c r="F24" s="241"/>
      <c r="G24" s="241"/>
      <c r="H24" s="418">
        <f t="shared" si="3"/>
        <v>0</v>
      </c>
      <c r="I24" s="419"/>
      <c r="J24" s="420">
        <f>Volume_6!G8</f>
        <v>0</v>
      </c>
      <c r="K24" s="420">
        <f>Volume_6!K8</f>
        <v>0</v>
      </c>
      <c r="L24" s="420">
        <f>Volume_6!O8</f>
        <v>0</v>
      </c>
      <c r="M24" s="420">
        <f>Volume_6!S8</f>
        <v>0</v>
      </c>
      <c r="N24" s="420">
        <f>Volume_6!W8</f>
        <v>0</v>
      </c>
      <c r="O24" s="420">
        <f>Volume_6!AA8</f>
        <v>0</v>
      </c>
      <c r="P24" s="420">
        <f>Volume_6!AE8</f>
        <v>0</v>
      </c>
      <c r="Q24" s="420">
        <f>Volume_6!AI8</f>
        <v>0</v>
      </c>
      <c r="R24" s="420">
        <f>Volume_6!AM8</f>
        <v>0</v>
      </c>
      <c r="S24" s="420">
        <f>Volume_6!AQ8</f>
        <v>0</v>
      </c>
      <c r="T24" s="420">
        <f>Volume_6!AU8</f>
        <v>0</v>
      </c>
      <c r="U24" s="420">
        <f>Volume_6!AY8</f>
        <v>0</v>
      </c>
      <c r="W24" s="38"/>
    </row>
    <row r="25" spans="1:24" x14ac:dyDescent="0.25">
      <c r="A25" s="11"/>
      <c r="B25" s="242" t="s">
        <v>34</v>
      </c>
      <c r="C25" s="240"/>
      <c r="D25" s="240"/>
      <c r="E25" s="409" t="s">
        <v>21</v>
      </c>
      <c r="F25" s="241"/>
      <c r="G25" s="241"/>
      <c r="H25" s="418">
        <f t="shared" si="3"/>
        <v>0</v>
      </c>
      <c r="I25" s="419"/>
      <c r="J25" s="420">
        <f>Volume_6!G9</f>
        <v>0</v>
      </c>
      <c r="K25" s="420">
        <f>Volume_6!K9</f>
        <v>0</v>
      </c>
      <c r="L25" s="420">
        <f>Volume_6!O9</f>
        <v>0</v>
      </c>
      <c r="M25" s="420">
        <f>Volume_6!S9</f>
        <v>0</v>
      </c>
      <c r="N25" s="420">
        <f>Volume_6!W9</f>
        <v>0</v>
      </c>
      <c r="O25" s="420">
        <f>Volume_6!AA9</f>
        <v>0</v>
      </c>
      <c r="P25" s="420">
        <f>Volume_6!AE9</f>
        <v>0</v>
      </c>
      <c r="Q25" s="420">
        <f>Volume_6!AI9</f>
        <v>0</v>
      </c>
      <c r="R25" s="420">
        <f>Volume_6!AM9</f>
        <v>0</v>
      </c>
      <c r="S25" s="420">
        <f>Volume_6!AQ9</f>
        <v>0</v>
      </c>
      <c r="T25" s="420">
        <f>Volume_6!AU9</f>
        <v>0</v>
      </c>
      <c r="U25" s="420">
        <f>Volume_6!AY9</f>
        <v>0</v>
      </c>
      <c r="W25" s="38"/>
    </row>
    <row r="26" spans="1:24" x14ac:dyDescent="0.25">
      <c r="A26" s="11"/>
      <c r="B26" s="242" t="s">
        <v>37</v>
      </c>
      <c r="C26" s="240"/>
      <c r="D26" s="240"/>
      <c r="E26" s="409" t="s">
        <v>21</v>
      </c>
      <c r="F26" s="241"/>
      <c r="G26" s="241"/>
      <c r="H26" s="418">
        <f t="shared" si="3"/>
        <v>0</v>
      </c>
      <c r="I26" s="419"/>
      <c r="J26" s="420">
        <f>Volume_6!G10</f>
        <v>0</v>
      </c>
      <c r="K26" s="420">
        <f>Volume_6!K10</f>
        <v>0</v>
      </c>
      <c r="L26" s="420">
        <f>Volume_6!O10</f>
        <v>0</v>
      </c>
      <c r="M26" s="420">
        <f>Volume_6!S10</f>
        <v>0</v>
      </c>
      <c r="N26" s="420">
        <f>Volume_6!W10</f>
        <v>0</v>
      </c>
      <c r="O26" s="420">
        <f>Volume_6!AA10</f>
        <v>0</v>
      </c>
      <c r="P26" s="420">
        <f>Volume_6!AE10</f>
        <v>0</v>
      </c>
      <c r="Q26" s="420">
        <f>Volume_6!AI10</f>
        <v>0</v>
      </c>
      <c r="R26" s="420">
        <f>Volume_6!AM10</f>
        <v>0</v>
      </c>
      <c r="S26" s="420">
        <f>Volume_6!AQ10</f>
        <v>0</v>
      </c>
      <c r="T26" s="420">
        <f>Volume_6!AU10</f>
        <v>0</v>
      </c>
      <c r="U26" s="420">
        <f>Volume_6!AY10</f>
        <v>0</v>
      </c>
      <c r="W26" s="38"/>
    </row>
    <row r="27" spans="1:24" x14ac:dyDescent="0.25">
      <c r="A27" s="11"/>
      <c r="B27" s="242" t="s">
        <v>174</v>
      </c>
      <c r="C27" s="240"/>
      <c r="D27" s="240"/>
      <c r="E27" s="409" t="s">
        <v>21</v>
      </c>
      <c r="F27" s="241"/>
      <c r="G27" s="241"/>
      <c r="H27" s="418">
        <f t="shared" si="3"/>
        <v>0</v>
      </c>
      <c r="I27" s="419"/>
      <c r="J27" s="420">
        <f>Volume_6!G11</f>
        <v>0</v>
      </c>
      <c r="K27" s="420">
        <f>Volume_6!K11</f>
        <v>0</v>
      </c>
      <c r="L27" s="420">
        <f>Volume_6!O11</f>
        <v>0</v>
      </c>
      <c r="M27" s="420">
        <f>Volume_6!S11</f>
        <v>0</v>
      </c>
      <c r="N27" s="420">
        <f>Volume_6!W11</f>
        <v>0</v>
      </c>
      <c r="O27" s="420">
        <f>Volume_6!AA11</f>
        <v>0</v>
      </c>
      <c r="P27" s="420">
        <f>Volume_6!AE11</f>
        <v>0</v>
      </c>
      <c r="Q27" s="420">
        <f>Volume_6!AI11</f>
        <v>0</v>
      </c>
      <c r="R27" s="420">
        <f>Volume_6!AM11</f>
        <v>0</v>
      </c>
      <c r="S27" s="420">
        <f>Volume_6!AQ11</f>
        <v>0</v>
      </c>
      <c r="T27" s="420">
        <f>Volume_6!AU11</f>
        <v>0</v>
      </c>
      <c r="U27" s="420">
        <f>Volume_6!AY11</f>
        <v>0</v>
      </c>
      <c r="W27" s="38"/>
    </row>
    <row r="28" spans="1:24" x14ac:dyDescent="0.25">
      <c r="A28" s="11"/>
      <c r="B28" s="376" t="s">
        <v>202</v>
      </c>
      <c r="C28" s="377"/>
      <c r="D28" s="377"/>
      <c r="E28" s="390" t="s">
        <v>21</v>
      </c>
      <c r="F28" s="44"/>
      <c r="G28" s="44"/>
      <c r="H28" s="418">
        <f t="shared" si="3"/>
        <v>0</v>
      </c>
      <c r="I28" s="419"/>
      <c r="J28" s="420">
        <f>Volume_6!G12</f>
        <v>0</v>
      </c>
      <c r="K28" s="420">
        <f>Volume_6!K12</f>
        <v>0</v>
      </c>
      <c r="L28" s="420">
        <f>Volume_6!O12</f>
        <v>0</v>
      </c>
      <c r="M28" s="420">
        <f>Volume_6!S12</f>
        <v>0</v>
      </c>
      <c r="N28" s="420">
        <f>Volume_6!W12</f>
        <v>0</v>
      </c>
      <c r="O28" s="420">
        <f>Volume_6!AA12</f>
        <v>0</v>
      </c>
      <c r="P28" s="420">
        <f>Volume_6!AE12</f>
        <v>0</v>
      </c>
      <c r="Q28" s="420">
        <f>Volume_6!AI12</f>
        <v>0</v>
      </c>
      <c r="R28" s="420">
        <f>Volume_6!AM12</f>
        <v>0</v>
      </c>
      <c r="S28" s="420">
        <f>Volume_6!AQ12</f>
        <v>0</v>
      </c>
      <c r="T28" s="420">
        <f>Volume_6!AU12</f>
        <v>0</v>
      </c>
      <c r="U28" s="420">
        <f>Volume_6!AY12</f>
        <v>0</v>
      </c>
      <c r="W28" s="38"/>
    </row>
    <row r="29" spans="1:24" x14ac:dyDescent="0.25">
      <c r="A29" s="11"/>
      <c r="B29" s="243" t="s">
        <v>175</v>
      </c>
      <c r="C29" s="244"/>
      <c r="D29" s="244"/>
      <c r="E29" s="410" t="s">
        <v>19</v>
      </c>
      <c r="F29" s="245"/>
      <c r="G29" s="245"/>
      <c r="H29" s="418">
        <f t="shared" si="3"/>
        <v>0</v>
      </c>
      <c r="I29" s="419"/>
      <c r="J29" s="420">
        <f>Volume_6!G13</f>
        <v>0</v>
      </c>
      <c r="K29" s="420">
        <f>Volume_6!K13</f>
        <v>0</v>
      </c>
      <c r="L29" s="420">
        <f>Volume_6!O13</f>
        <v>0</v>
      </c>
      <c r="M29" s="420">
        <f>Volume_6!S13</f>
        <v>0</v>
      </c>
      <c r="N29" s="420">
        <f>Volume_6!W13</f>
        <v>0</v>
      </c>
      <c r="O29" s="420">
        <f>Volume_6!AA13</f>
        <v>0</v>
      </c>
      <c r="P29" s="420">
        <f>Volume_6!AE13</f>
        <v>0</v>
      </c>
      <c r="Q29" s="420">
        <f>Volume_6!AI13</f>
        <v>0</v>
      </c>
      <c r="R29" s="420">
        <f>Volume_6!AM13</f>
        <v>0</v>
      </c>
      <c r="S29" s="420">
        <f>Volume_6!AQ13</f>
        <v>0</v>
      </c>
      <c r="T29" s="420">
        <f>Volume_6!AU13</f>
        <v>0</v>
      </c>
      <c r="U29" s="420">
        <f>Volume_6!AY13</f>
        <v>0</v>
      </c>
      <c r="W29" s="38"/>
    </row>
    <row r="30" spans="1:24" x14ac:dyDescent="0.25">
      <c r="A30" s="11"/>
      <c r="B30" s="243" t="s">
        <v>176</v>
      </c>
      <c r="C30" s="244"/>
      <c r="D30" s="244"/>
      <c r="E30" s="410" t="s">
        <v>19</v>
      </c>
      <c r="F30" s="245"/>
      <c r="G30" s="245"/>
      <c r="H30" s="418">
        <f t="shared" si="3"/>
        <v>0</v>
      </c>
      <c r="I30" s="419"/>
      <c r="J30" s="420">
        <f>Volume_6!G14</f>
        <v>0</v>
      </c>
      <c r="K30" s="420">
        <f>Volume_6!K14</f>
        <v>0</v>
      </c>
      <c r="L30" s="420">
        <f>Volume_6!O14</f>
        <v>0</v>
      </c>
      <c r="M30" s="420">
        <f>Volume_6!S14</f>
        <v>0</v>
      </c>
      <c r="N30" s="420">
        <f>Volume_6!W14</f>
        <v>0</v>
      </c>
      <c r="O30" s="420">
        <f>Volume_6!AA14</f>
        <v>0</v>
      </c>
      <c r="P30" s="420">
        <f>Volume_6!AE14</f>
        <v>0</v>
      </c>
      <c r="Q30" s="420">
        <f>Volume_6!AI14</f>
        <v>0</v>
      </c>
      <c r="R30" s="420">
        <f>Volume_6!AM14</f>
        <v>0</v>
      </c>
      <c r="S30" s="420">
        <f>Volume_6!AQ14</f>
        <v>0</v>
      </c>
      <c r="T30" s="420">
        <f>Volume_6!AU14</f>
        <v>0</v>
      </c>
      <c r="U30" s="420">
        <f>Volume_6!AY14</f>
        <v>0</v>
      </c>
      <c r="W30" s="38"/>
    </row>
    <row r="31" spans="1:24" x14ac:dyDescent="0.25">
      <c r="A31" s="11"/>
      <c r="B31" s="243" t="s">
        <v>23</v>
      </c>
      <c r="C31" s="244"/>
      <c r="D31" s="244"/>
      <c r="E31" s="411" t="s">
        <v>19</v>
      </c>
      <c r="F31" s="245"/>
      <c r="G31" s="245"/>
      <c r="H31" s="418">
        <f t="shared" si="3"/>
        <v>0</v>
      </c>
      <c r="I31" s="419"/>
      <c r="J31" s="420">
        <f>Volume_6!G15</f>
        <v>0</v>
      </c>
      <c r="K31" s="420">
        <f>Volume_6!K15</f>
        <v>0</v>
      </c>
      <c r="L31" s="420">
        <f>Volume_6!O15</f>
        <v>0</v>
      </c>
      <c r="M31" s="420">
        <f>Volume_6!S15</f>
        <v>0</v>
      </c>
      <c r="N31" s="420">
        <f>Volume_6!W15</f>
        <v>0</v>
      </c>
      <c r="O31" s="420">
        <f>Volume_6!AA15</f>
        <v>0</v>
      </c>
      <c r="P31" s="420">
        <f>Volume_6!AE15</f>
        <v>0</v>
      </c>
      <c r="Q31" s="420">
        <f>Volume_6!AI15</f>
        <v>0</v>
      </c>
      <c r="R31" s="420">
        <f>Volume_6!AM15</f>
        <v>0</v>
      </c>
      <c r="S31" s="420">
        <f>Volume_6!AQ15</f>
        <v>0</v>
      </c>
      <c r="T31" s="420">
        <f>Volume_6!AU15</f>
        <v>0</v>
      </c>
      <c r="U31" s="420">
        <f>Volume_6!AY15</f>
        <v>0</v>
      </c>
      <c r="W31" s="38"/>
    </row>
    <row r="32" spans="1:24" x14ac:dyDescent="0.25">
      <c r="A32" s="11"/>
      <c r="B32" s="246" t="s">
        <v>24</v>
      </c>
      <c r="C32" s="244"/>
      <c r="D32" s="244"/>
      <c r="E32" s="411" t="s">
        <v>19</v>
      </c>
      <c r="F32" s="245"/>
      <c r="G32" s="245"/>
      <c r="H32" s="418">
        <f t="shared" si="3"/>
        <v>0</v>
      </c>
      <c r="I32" s="419"/>
      <c r="J32" s="420">
        <f>Volume_6!G16</f>
        <v>0</v>
      </c>
      <c r="K32" s="420">
        <f>Volume_6!K16</f>
        <v>0</v>
      </c>
      <c r="L32" s="420">
        <f>Volume_6!O16</f>
        <v>0</v>
      </c>
      <c r="M32" s="420">
        <f>Volume_6!S16</f>
        <v>0</v>
      </c>
      <c r="N32" s="420">
        <f>Volume_6!W16</f>
        <v>0</v>
      </c>
      <c r="O32" s="420">
        <f>Volume_6!AA16</f>
        <v>0</v>
      </c>
      <c r="P32" s="420">
        <f>Volume_6!AE16</f>
        <v>0</v>
      </c>
      <c r="Q32" s="420">
        <f>Volume_6!AI16</f>
        <v>0</v>
      </c>
      <c r="R32" s="420">
        <f>Volume_6!AM16</f>
        <v>0</v>
      </c>
      <c r="S32" s="420">
        <f>Volume_6!AQ16</f>
        <v>0</v>
      </c>
      <c r="T32" s="420">
        <f>Volume_6!AU16</f>
        <v>0</v>
      </c>
      <c r="U32" s="420">
        <f>Volume_6!AY16</f>
        <v>0</v>
      </c>
      <c r="W32" s="38"/>
    </row>
    <row r="33" spans="1:23" x14ac:dyDescent="0.25">
      <c r="A33" s="11"/>
      <c r="B33" s="246" t="s">
        <v>26</v>
      </c>
      <c r="C33" s="244"/>
      <c r="D33" s="244"/>
      <c r="E33" s="411" t="s">
        <v>19</v>
      </c>
      <c r="F33" s="245"/>
      <c r="G33" s="245"/>
      <c r="H33" s="418">
        <f t="shared" si="3"/>
        <v>0</v>
      </c>
      <c r="I33" s="419"/>
      <c r="J33" s="420">
        <f>Volume_6!G17</f>
        <v>0</v>
      </c>
      <c r="K33" s="420">
        <f>Volume_6!K17</f>
        <v>0</v>
      </c>
      <c r="L33" s="420">
        <f>Volume_6!O17</f>
        <v>0</v>
      </c>
      <c r="M33" s="420">
        <f>Volume_6!S17</f>
        <v>0</v>
      </c>
      <c r="N33" s="420">
        <f>Volume_6!W17</f>
        <v>0</v>
      </c>
      <c r="O33" s="420">
        <f>Volume_6!AA17</f>
        <v>0</v>
      </c>
      <c r="P33" s="420">
        <f>Volume_6!AE17</f>
        <v>0</v>
      </c>
      <c r="Q33" s="420">
        <f>Volume_6!AI17</f>
        <v>0</v>
      </c>
      <c r="R33" s="420">
        <f>Volume_6!AM17</f>
        <v>0</v>
      </c>
      <c r="S33" s="420">
        <f>Volume_6!AQ17</f>
        <v>0</v>
      </c>
      <c r="T33" s="420">
        <f>Volume_6!AU17</f>
        <v>0</v>
      </c>
      <c r="U33" s="420">
        <f>Volume_6!AY17</f>
        <v>0</v>
      </c>
      <c r="W33" s="38"/>
    </row>
    <row r="34" spans="1:23" x14ac:dyDescent="0.25">
      <c r="A34" s="11"/>
      <c r="B34" s="246" t="s">
        <v>27</v>
      </c>
      <c r="C34" s="244"/>
      <c r="D34" s="244"/>
      <c r="E34" s="410" t="s">
        <v>19</v>
      </c>
      <c r="F34" s="245"/>
      <c r="G34" s="245"/>
      <c r="H34" s="418">
        <f t="shared" si="3"/>
        <v>0</v>
      </c>
      <c r="I34" s="419"/>
      <c r="J34" s="420">
        <f>Volume_6!G18</f>
        <v>0</v>
      </c>
      <c r="K34" s="420">
        <f>Volume_6!K18</f>
        <v>0</v>
      </c>
      <c r="L34" s="420">
        <f>Volume_6!O18</f>
        <v>0</v>
      </c>
      <c r="M34" s="420">
        <f>Volume_6!S18</f>
        <v>0</v>
      </c>
      <c r="N34" s="420">
        <f>Volume_6!W18</f>
        <v>0</v>
      </c>
      <c r="O34" s="420">
        <f>Volume_6!AA18</f>
        <v>0</v>
      </c>
      <c r="P34" s="420">
        <f>Volume_6!AE18</f>
        <v>0</v>
      </c>
      <c r="Q34" s="420">
        <f>Volume_6!AI18</f>
        <v>0</v>
      </c>
      <c r="R34" s="420">
        <f>Volume_6!AM18</f>
        <v>0</v>
      </c>
      <c r="S34" s="420">
        <f>Volume_6!AQ18</f>
        <v>0</v>
      </c>
      <c r="T34" s="420">
        <f>Volume_6!AU18</f>
        <v>0</v>
      </c>
      <c r="U34" s="420">
        <f>Volume_6!AY18</f>
        <v>0</v>
      </c>
      <c r="W34" s="38"/>
    </row>
    <row r="35" spans="1:23" x14ac:dyDescent="0.25">
      <c r="A35" s="11"/>
      <c r="B35" s="243" t="s">
        <v>29</v>
      </c>
      <c r="C35" s="244"/>
      <c r="D35" s="244"/>
      <c r="E35" s="411" t="s">
        <v>19</v>
      </c>
      <c r="F35" s="245"/>
      <c r="G35" s="245"/>
      <c r="H35" s="418">
        <f t="shared" si="3"/>
        <v>0</v>
      </c>
      <c r="I35" s="419"/>
      <c r="J35" s="420">
        <f>Volume_6!G19</f>
        <v>0</v>
      </c>
      <c r="K35" s="420">
        <f>Volume_6!K19</f>
        <v>0</v>
      </c>
      <c r="L35" s="420">
        <f>Volume_6!O19</f>
        <v>0</v>
      </c>
      <c r="M35" s="420">
        <f>Volume_6!S19</f>
        <v>0</v>
      </c>
      <c r="N35" s="420">
        <f>Volume_6!W19</f>
        <v>0</v>
      </c>
      <c r="O35" s="420">
        <f>Volume_6!AA19</f>
        <v>0</v>
      </c>
      <c r="P35" s="420">
        <f>Volume_6!AE19</f>
        <v>0</v>
      </c>
      <c r="Q35" s="420">
        <f>Volume_6!AI19</f>
        <v>0</v>
      </c>
      <c r="R35" s="420">
        <f>Volume_6!AM19</f>
        <v>0</v>
      </c>
      <c r="S35" s="420">
        <f>Volume_6!AQ19</f>
        <v>0</v>
      </c>
      <c r="T35" s="420">
        <f>Volume_6!AU19</f>
        <v>0</v>
      </c>
      <c r="U35" s="420">
        <f>Volume_6!AY19</f>
        <v>0</v>
      </c>
      <c r="W35" s="38"/>
    </row>
    <row r="36" spans="1:23" x14ac:dyDescent="0.25">
      <c r="A36" s="11"/>
      <c r="B36" s="243" t="s">
        <v>28</v>
      </c>
      <c r="C36" s="244"/>
      <c r="D36" s="244"/>
      <c r="E36" s="411" t="s">
        <v>19</v>
      </c>
      <c r="F36" s="245"/>
      <c r="G36" s="245"/>
      <c r="H36" s="418">
        <f t="shared" si="3"/>
        <v>0</v>
      </c>
      <c r="I36" s="419"/>
      <c r="J36" s="420">
        <f>Volume_6!G20</f>
        <v>0</v>
      </c>
      <c r="K36" s="420">
        <f>Volume_6!K20</f>
        <v>0</v>
      </c>
      <c r="L36" s="420">
        <f>Volume_6!O20</f>
        <v>0</v>
      </c>
      <c r="M36" s="420">
        <f>Volume_6!S20</f>
        <v>0</v>
      </c>
      <c r="N36" s="420">
        <f>Volume_6!W20</f>
        <v>0</v>
      </c>
      <c r="O36" s="420">
        <f>Volume_6!AA20</f>
        <v>0</v>
      </c>
      <c r="P36" s="420">
        <f>Volume_6!AE20</f>
        <v>0</v>
      </c>
      <c r="Q36" s="420">
        <f>Volume_6!AI20</f>
        <v>0</v>
      </c>
      <c r="R36" s="420">
        <f>Volume_6!AM20</f>
        <v>0</v>
      </c>
      <c r="S36" s="420">
        <f>Volume_6!AQ20</f>
        <v>0</v>
      </c>
      <c r="T36" s="420">
        <f>Volume_6!AU20</f>
        <v>0</v>
      </c>
      <c r="U36" s="420">
        <f>Volume_6!AY20</f>
        <v>0</v>
      </c>
      <c r="W36" s="38"/>
    </row>
    <row r="37" spans="1:23" x14ac:dyDescent="0.25">
      <c r="A37" s="11"/>
      <c r="B37" s="246" t="s">
        <v>31</v>
      </c>
      <c r="C37" s="244"/>
      <c r="D37" s="244"/>
      <c r="E37" s="411" t="s">
        <v>19</v>
      </c>
      <c r="F37" s="245"/>
      <c r="G37" s="245"/>
      <c r="H37" s="418">
        <f t="shared" si="3"/>
        <v>0</v>
      </c>
      <c r="I37" s="419"/>
      <c r="J37" s="420">
        <f>Volume_6!G21</f>
        <v>0</v>
      </c>
      <c r="K37" s="420">
        <f>Volume_6!K21</f>
        <v>0</v>
      </c>
      <c r="L37" s="420">
        <f>Volume_6!O21</f>
        <v>0</v>
      </c>
      <c r="M37" s="420">
        <f>Volume_6!S21</f>
        <v>0</v>
      </c>
      <c r="N37" s="420">
        <f>Volume_6!W21</f>
        <v>0</v>
      </c>
      <c r="O37" s="420">
        <f>Volume_6!AA21</f>
        <v>0</v>
      </c>
      <c r="P37" s="420">
        <f>Volume_6!AE21</f>
        <v>0</v>
      </c>
      <c r="Q37" s="420">
        <f>Volume_6!AI21</f>
        <v>0</v>
      </c>
      <c r="R37" s="420">
        <f>Volume_6!AM21</f>
        <v>0</v>
      </c>
      <c r="S37" s="420">
        <f>Volume_6!AQ21</f>
        <v>0</v>
      </c>
      <c r="T37" s="420">
        <f>Volume_6!AU21</f>
        <v>0</v>
      </c>
      <c r="U37" s="420">
        <f>Volume_6!AY21</f>
        <v>0</v>
      </c>
      <c r="W37" s="38"/>
    </row>
    <row r="38" spans="1:23" x14ac:dyDescent="0.25">
      <c r="A38" s="11"/>
      <c r="B38" s="246" t="s">
        <v>32</v>
      </c>
      <c r="C38" s="244"/>
      <c r="D38" s="244"/>
      <c r="E38" s="411" t="s">
        <v>19</v>
      </c>
      <c r="F38" s="245"/>
      <c r="G38" s="245"/>
      <c r="H38" s="418">
        <f t="shared" si="3"/>
        <v>0</v>
      </c>
      <c r="I38" s="419"/>
      <c r="J38" s="420">
        <f>Volume_6!G22</f>
        <v>0</v>
      </c>
      <c r="K38" s="420">
        <f>Volume_6!K22</f>
        <v>0</v>
      </c>
      <c r="L38" s="420">
        <f>Volume_6!O22</f>
        <v>0</v>
      </c>
      <c r="M38" s="420">
        <f>Volume_6!S22</f>
        <v>0</v>
      </c>
      <c r="N38" s="420">
        <f>Volume_6!W22</f>
        <v>0</v>
      </c>
      <c r="O38" s="420">
        <f>Volume_6!AA22</f>
        <v>0</v>
      </c>
      <c r="P38" s="420">
        <f>Volume_6!AE22</f>
        <v>0</v>
      </c>
      <c r="Q38" s="420">
        <f>Volume_6!AI22</f>
        <v>0</v>
      </c>
      <c r="R38" s="420">
        <f>Volume_6!AM22</f>
        <v>0</v>
      </c>
      <c r="S38" s="420">
        <f>Volume_6!AQ22</f>
        <v>0</v>
      </c>
      <c r="T38" s="420">
        <f>Volume_6!AU22</f>
        <v>0</v>
      </c>
      <c r="U38" s="420">
        <f>Volume_6!AY22</f>
        <v>0</v>
      </c>
      <c r="W38" s="38"/>
    </row>
    <row r="39" spans="1:23" x14ac:dyDescent="0.25">
      <c r="A39" s="11"/>
      <c r="B39" s="246" t="s">
        <v>33</v>
      </c>
      <c r="C39" s="244"/>
      <c r="D39" s="244"/>
      <c r="E39" s="411" t="s">
        <v>19</v>
      </c>
      <c r="F39" s="245"/>
      <c r="G39" s="245"/>
      <c r="H39" s="418">
        <f t="shared" si="3"/>
        <v>0</v>
      </c>
      <c r="I39" s="419"/>
      <c r="J39" s="420">
        <f>Volume_6!G23</f>
        <v>0</v>
      </c>
      <c r="K39" s="420">
        <f>Volume_6!K23</f>
        <v>0</v>
      </c>
      <c r="L39" s="420">
        <f>Volume_6!O23</f>
        <v>0</v>
      </c>
      <c r="M39" s="420">
        <f>Volume_6!S23</f>
        <v>0</v>
      </c>
      <c r="N39" s="420">
        <f>Volume_6!W23</f>
        <v>0</v>
      </c>
      <c r="O39" s="420">
        <f>Volume_6!AA23</f>
        <v>0</v>
      </c>
      <c r="P39" s="420">
        <f>Volume_6!AE23</f>
        <v>0</v>
      </c>
      <c r="Q39" s="420">
        <f>Volume_6!AI23</f>
        <v>0</v>
      </c>
      <c r="R39" s="420">
        <f>Volume_6!AM23</f>
        <v>0</v>
      </c>
      <c r="S39" s="420">
        <f>Volume_6!AQ23</f>
        <v>0</v>
      </c>
      <c r="T39" s="420">
        <f>Volume_6!AU23</f>
        <v>0</v>
      </c>
      <c r="U39" s="420">
        <f>Volume_6!AY23</f>
        <v>0</v>
      </c>
      <c r="W39" s="38"/>
    </row>
    <row r="40" spans="1:23" x14ac:dyDescent="0.25">
      <c r="A40" s="11"/>
      <c r="B40" s="246" t="s">
        <v>35</v>
      </c>
      <c r="C40" s="244"/>
      <c r="D40" s="244"/>
      <c r="E40" s="411" t="s">
        <v>19</v>
      </c>
      <c r="F40" s="245"/>
      <c r="G40" s="245"/>
      <c r="H40" s="418">
        <f t="shared" si="3"/>
        <v>0</v>
      </c>
      <c r="I40" s="419"/>
      <c r="J40" s="420">
        <f>Volume_6!G24</f>
        <v>0</v>
      </c>
      <c r="K40" s="420">
        <f>Volume_6!K24</f>
        <v>0</v>
      </c>
      <c r="L40" s="420">
        <f>Volume_6!O24</f>
        <v>0</v>
      </c>
      <c r="M40" s="420">
        <f>Volume_6!S24</f>
        <v>0</v>
      </c>
      <c r="N40" s="420">
        <f>Volume_6!W24</f>
        <v>0</v>
      </c>
      <c r="O40" s="420">
        <f>Volume_6!AA24</f>
        <v>0</v>
      </c>
      <c r="P40" s="420">
        <f>Volume_6!AE24</f>
        <v>0</v>
      </c>
      <c r="Q40" s="420">
        <f>Volume_6!AI24</f>
        <v>0</v>
      </c>
      <c r="R40" s="420">
        <f>Volume_6!AM24</f>
        <v>0</v>
      </c>
      <c r="S40" s="420">
        <f>Volume_6!AQ24</f>
        <v>0</v>
      </c>
      <c r="T40" s="420">
        <f>Volume_6!AU24</f>
        <v>0</v>
      </c>
      <c r="U40" s="420">
        <f>Volume_6!AY24</f>
        <v>0</v>
      </c>
      <c r="W40" s="38"/>
    </row>
    <row r="41" spans="1:23" x14ac:dyDescent="0.25">
      <c r="A41" s="11"/>
      <c r="B41" s="243" t="s">
        <v>36</v>
      </c>
      <c r="C41" s="244"/>
      <c r="D41" s="244"/>
      <c r="E41" s="411" t="s">
        <v>19</v>
      </c>
      <c r="F41" s="245"/>
      <c r="G41" s="245"/>
      <c r="H41" s="418">
        <f t="shared" si="3"/>
        <v>0</v>
      </c>
      <c r="I41" s="419"/>
      <c r="J41" s="420">
        <f>Volume_6!G25</f>
        <v>0</v>
      </c>
      <c r="K41" s="420">
        <f>Volume_6!K25</f>
        <v>0</v>
      </c>
      <c r="L41" s="420">
        <f>Volume_6!O25</f>
        <v>0</v>
      </c>
      <c r="M41" s="420">
        <f>Volume_6!S25</f>
        <v>0</v>
      </c>
      <c r="N41" s="420">
        <f>Volume_6!W25</f>
        <v>0</v>
      </c>
      <c r="O41" s="420">
        <f>Volume_6!AA25</f>
        <v>0</v>
      </c>
      <c r="P41" s="420">
        <f>Volume_6!AE25</f>
        <v>0</v>
      </c>
      <c r="Q41" s="420">
        <f>Volume_6!AI25</f>
        <v>0</v>
      </c>
      <c r="R41" s="420">
        <f>Volume_6!AM25</f>
        <v>0</v>
      </c>
      <c r="S41" s="420">
        <f>Volume_6!AQ25</f>
        <v>0</v>
      </c>
      <c r="T41" s="420">
        <f>Volume_6!AU25</f>
        <v>0</v>
      </c>
      <c r="U41" s="420">
        <f>Volume_6!AY25</f>
        <v>0</v>
      </c>
      <c r="W41" s="38"/>
    </row>
    <row r="42" spans="1:23" ht="15.75" thickBot="1" x14ac:dyDescent="0.3">
      <c r="A42" s="11"/>
      <c r="B42" s="49"/>
      <c r="C42" s="50">
        <f>SUM(C20:C41)</f>
        <v>0</v>
      </c>
      <c r="D42" s="51"/>
      <c r="E42" s="52"/>
      <c r="F42" s="53"/>
      <c r="G42" s="54"/>
      <c r="H42" s="421"/>
      <c r="I42" s="419"/>
      <c r="J42" s="419"/>
      <c r="K42" s="419"/>
      <c r="L42" s="419"/>
      <c r="M42" s="419"/>
      <c r="N42" s="419"/>
      <c r="O42" s="419"/>
      <c r="P42" s="419"/>
      <c r="Q42" s="419"/>
      <c r="R42" s="419"/>
      <c r="S42" s="419"/>
      <c r="T42" s="419"/>
      <c r="U42" s="422"/>
    </row>
    <row r="43" spans="1:23" ht="15.75" thickTop="1" x14ac:dyDescent="0.25">
      <c r="A43" s="11"/>
      <c r="B43" s="55" t="s">
        <v>39</v>
      </c>
      <c r="C43" s="51">
        <f>SUMIF(E20:E41,"JAS",C20:C41)</f>
        <v>0</v>
      </c>
      <c r="D43" s="51"/>
      <c r="E43" s="52"/>
      <c r="F43" s="53"/>
      <c r="G43" s="421"/>
      <c r="H43" s="418">
        <f>SUM(J43:U43)</f>
        <v>0</v>
      </c>
      <c r="I43" s="419"/>
      <c r="J43" s="423">
        <f t="shared" ref="J43:U43" si="4">SUM(J28:J41)</f>
        <v>0</v>
      </c>
      <c r="K43" s="423">
        <f t="shared" si="4"/>
        <v>0</v>
      </c>
      <c r="L43" s="423">
        <f t="shared" si="4"/>
        <v>0</v>
      </c>
      <c r="M43" s="423">
        <f t="shared" si="4"/>
        <v>0</v>
      </c>
      <c r="N43" s="423">
        <f t="shared" si="4"/>
        <v>0</v>
      </c>
      <c r="O43" s="423">
        <f t="shared" si="4"/>
        <v>0</v>
      </c>
      <c r="P43" s="423">
        <f t="shared" si="4"/>
        <v>0</v>
      </c>
      <c r="Q43" s="423">
        <f t="shared" si="4"/>
        <v>0</v>
      </c>
      <c r="R43" s="423">
        <f t="shared" si="4"/>
        <v>0</v>
      </c>
      <c r="S43" s="423">
        <f t="shared" si="4"/>
        <v>0</v>
      </c>
      <c r="T43" s="423">
        <f t="shared" si="4"/>
        <v>0</v>
      </c>
      <c r="U43" s="423">
        <f t="shared" si="4"/>
        <v>0</v>
      </c>
      <c r="W43" s="38"/>
    </row>
    <row r="44" spans="1:23" x14ac:dyDescent="0.25">
      <c r="A44" s="11"/>
      <c r="B44" s="55" t="s">
        <v>40</v>
      </c>
      <c r="C44" s="51">
        <f>SUMIF(E20:E41,"Tonnes",C20:C41)</f>
        <v>0</v>
      </c>
      <c r="D44" s="51"/>
      <c r="E44" s="52"/>
      <c r="F44" s="53"/>
      <c r="G44" s="421"/>
      <c r="H44" s="418">
        <f>SUM(J44:U44)</f>
        <v>0</v>
      </c>
      <c r="I44" s="419"/>
      <c r="J44" s="423">
        <f t="shared" ref="J44:U44" si="5">SUM(J20:J27)</f>
        <v>0</v>
      </c>
      <c r="K44" s="423">
        <f t="shared" si="5"/>
        <v>0</v>
      </c>
      <c r="L44" s="423">
        <f t="shared" si="5"/>
        <v>0</v>
      </c>
      <c r="M44" s="423">
        <f t="shared" si="5"/>
        <v>0</v>
      </c>
      <c r="N44" s="423">
        <f t="shared" si="5"/>
        <v>0</v>
      </c>
      <c r="O44" s="423">
        <f t="shared" si="5"/>
        <v>0</v>
      </c>
      <c r="P44" s="423">
        <f t="shared" si="5"/>
        <v>0</v>
      </c>
      <c r="Q44" s="423">
        <f t="shared" si="5"/>
        <v>0</v>
      </c>
      <c r="R44" s="423">
        <f t="shared" si="5"/>
        <v>0</v>
      </c>
      <c r="S44" s="423">
        <f t="shared" si="5"/>
        <v>0</v>
      </c>
      <c r="T44" s="423">
        <f t="shared" si="5"/>
        <v>0</v>
      </c>
      <c r="U44" s="423">
        <f t="shared" si="5"/>
        <v>0</v>
      </c>
    </row>
    <row r="45" spans="1:23" ht="15.75" thickBot="1" x14ac:dyDescent="0.3">
      <c r="A45" s="11"/>
      <c r="B45" s="49"/>
      <c r="C45" s="51"/>
      <c r="D45" s="51"/>
      <c r="E45" s="52"/>
      <c r="F45" s="53"/>
      <c r="G45" s="421"/>
      <c r="H45" s="421"/>
      <c r="I45" s="419"/>
      <c r="J45" s="421"/>
      <c r="K45" s="421"/>
      <c r="L45" s="421"/>
      <c r="M45" s="421"/>
      <c r="N45" s="421"/>
      <c r="O45" s="421"/>
      <c r="P45" s="421"/>
      <c r="Q45" s="421"/>
      <c r="R45" s="421"/>
      <c r="S45" s="421"/>
      <c r="T45" s="421"/>
      <c r="U45" s="424"/>
    </row>
    <row r="46" spans="1:23" ht="16.5" thickTop="1" thickBot="1" x14ac:dyDescent="0.3">
      <c r="A46" s="11"/>
      <c r="B46" s="59" t="s">
        <v>18</v>
      </c>
      <c r="C46" s="60"/>
      <c r="D46" s="60"/>
      <c r="E46" s="61"/>
      <c r="F46" s="62"/>
      <c r="G46" s="427">
        <f>IFERROR(H46/W16,0)</f>
        <v>0</v>
      </c>
      <c r="H46" s="425">
        <f>SUM(H20:H41)</f>
        <v>0</v>
      </c>
      <c r="I46" s="65"/>
      <c r="J46" s="425">
        <f t="shared" ref="J46:U46" si="6">SUM(J20:J41)</f>
        <v>0</v>
      </c>
      <c r="K46" s="425">
        <f t="shared" si="6"/>
        <v>0</v>
      </c>
      <c r="L46" s="425">
        <f t="shared" si="6"/>
        <v>0</v>
      </c>
      <c r="M46" s="425">
        <f t="shared" si="6"/>
        <v>0</v>
      </c>
      <c r="N46" s="425">
        <f t="shared" si="6"/>
        <v>0</v>
      </c>
      <c r="O46" s="425">
        <f t="shared" si="6"/>
        <v>0</v>
      </c>
      <c r="P46" s="425">
        <f t="shared" si="6"/>
        <v>0</v>
      </c>
      <c r="Q46" s="425">
        <f t="shared" si="6"/>
        <v>0</v>
      </c>
      <c r="R46" s="425">
        <f t="shared" si="6"/>
        <v>0</v>
      </c>
      <c r="S46" s="425">
        <f t="shared" si="6"/>
        <v>0</v>
      </c>
      <c r="T46" s="425">
        <f t="shared" si="6"/>
        <v>0</v>
      </c>
      <c r="U46" s="426">
        <f t="shared" si="6"/>
        <v>0</v>
      </c>
      <c r="W46" s="67">
        <f>SUM(J46:U46)</f>
        <v>0</v>
      </c>
    </row>
    <row r="47" spans="1:23" x14ac:dyDescent="0.25">
      <c r="A47" s="11"/>
      <c r="B47" s="68"/>
      <c r="G47" s="52"/>
      <c r="H47" s="69"/>
      <c r="I47" s="69"/>
    </row>
    <row r="48" spans="1:23" ht="16.5" thickBot="1" x14ac:dyDescent="0.3">
      <c r="A48" s="11"/>
      <c r="B48" s="70" t="s">
        <v>41</v>
      </c>
      <c r="C48" s="80" t="s">
        <v>44</v>
      </c>
      <c r="D48" s="42" t="s">
        <v>220</v>
      </c>
    </row>
    <row r="49" spans="1:23" ht="15.75" thickBot="1" x14ac:dyDescent="0.3">
      <c r="A49" s="11"/>
      <c r="B49" s="71" t="s">
        <v>42</v>
      </c>
      <c r="C49" s="321" t="s">
        <v>193</v>
      </c>
      <c r="D49" s="324" t="s">
        <v>53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40"/>
    </row>
    <row r="50" spans="1:23" ht="15.75" thickBot="1" x14ac:dyDescent="0.3">
      <c r="A50" s="11"/>
      <c r="B50" s="72"/>
      <c r="C50" s="43"/>
      <c r="D50" s="43"/>
      <c r="E50" s="43"/>
      <c r="F50" s="43"/>
      <c r="G50" s="43"/>
      <c r="H50" s="42" t="s">
        <v>18</v>
      </c>
      <c r="I50" s="43"/>
      <c r="J50" s="178">
        <v>45658</v>
      </c>
      <c r="K50" s="178">
        <v>45689</v>
      </c>
      <c r="L50" s="178">
        <v>45717</v>
      </c>
      <c r="M50" s="178">
        <v>45748</v>
      </c>
      <c r="N50" s="178">
        <v>45778</v>
      </c>
      <c r="O50" s="178">
        <v>45809</v>
      </c>
      <c r="P50" s="178">
        <v>45839</v>
      </c>
      <c r="Q50" s="178">
        <v>45870</v>
      </c>
      <c r="R50" s="178">
        <v>45901</v>
      </c>
      <c r="S50" s="178">
        <v>45931</v>
      </c>
      <c r="T50" s="178">
        <v>45962</v>
      </c>
      <c r="U50" s="178">
        <v>45992</v>
      </c>
    </row>
    <row r="51" spans="1:23" ht="16.5" thickTop="1" thickBot="1" x14ac:dyDescent="0.3">
      <c r="A51" s="11"/>
      <c r="B51" s="73"/>
      <c r="C51" s="74"/>
      <c r="D51" s="74"/>
      <c r="E51" s="74"/>
      <c r="F51" s="74"/>
      <c r="G51" s="433">
        <f>IFERROR(H51/W16,0)</f>
        <v>0</v>
      </c>
      <c r="H51" s="434">
        <f>SUM(J51:U51)</f>
        <v>0</v>
      </c>
      <c r="I51" s="76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2"/>
      <c r="W51" s="67">
        <f>SUM(J51:U51)</f>
        <v>0</v>
      </c>
    </row>
    <row r="52" spans="1:23" x14ac:dyDescent="0.25">
      <c r="A52" s="11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</row>
    <row r="53" spans="1:23" ht="15.75" thickBot="1" x14ac:dyDescent="0.3">
      <c r="A53" s="11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</row>
    <row r="54" spans="1:23" ht="15.75" thickBot="1" x14ac:dyDescent="0.3">
      <c r="A54" s="11"/>
      <c r="B54" s="71" t="s">
        <v>43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40"/>
    </row>
    <row r="55" spans="1:23" x14ac:dyDescent="0.25">
      <c r="A55" s="11"/>
      <c r="B55" s="41" t="s">
        <v>13</v>
      </c>
      <c r="C55" s="80" t="s">
        <v>44</v>
      </c>
      <c r="D55" s="42" t="s">
        <v>220</v>
      </c>
      <c r="E55" s="80" t="s">
        <v>45</v>
      </c>
      <c r="F55" s="80" t="s">
        <v>45</v>
      </c>
      <c r="G55" s="80" t="s">
        <v>46</v>
      </c>
      <c r="H55" s="81" t="s">
        <v>18</v>
      </c>
      <c r="I55" s="43"/>
      <c r="J55" s="178">
        <v>45658</v>
      </c>
      <c r="K55" s="178">
        <v>45689</v>
      </c>
      <c r="L55" s="178">
        <v>45717</v>
      </c>
      <c r="M55" s="178">
        <v>45748</v>
      </c>
      <c r="N55" s="178">
        <v>45778</v>
      </c>
      <c r="O55" s="178">
        <v>45809</v>
      </c>
      <c r="P55" s="178">
        <v>45839</v>
      </c>
      <c r="Q55" s="178">
        <v>45870</v>
      </c>
      <c r="R55" s="178">
        <v>45901</v>
      </c>
      <c r="S55" s="178">
        <v>45931</v>
      </c>
      <c r="T55" s="178">
        <v>45962</v>
      </c>
      <c r="U55" s="178">
        <v>45992</v>
      </c>
    </row>
    <row r="56" spans="1:23" x14ac:dyDescent="0.25">
      <c r="A56" s="11"/>
      <c r="B56" s="203" t="s">
        <v>20</v>
      </c>
      <c r="C56" s="83" t="s">
        <v>192</v>
      </c>
      <c r="D56" s="83" t="s">
        <v>47</v>
      </c>
      <c r="E56" s="204" t="s">
        <v>172</v>
      </c>
      <c r="F56" s="205"/>
      <c r="G56" s="206"/>
      <c r="H56" s="435">
        <f>SUM(J56:U56)</f>
        <v>0</v>
      </c>
      <c r="I56" s="54"/>
      <c r="J56" s="428"/>
      <c r="K56" s="428"/>
      <c r="L56" s="428"/>
      <c r="M56" s="428"/>
      <c r="N56" s="428"/>
      <c r="O56" s="428"/>
      <c r="P56" s="428"/>
      <c r="Q56" s="428"/>
      <c r="R56" s="428"/>
      <c r="S56" s="428"/>
      <c r="T56" s="428"/>
      <c r="U56" s="428"/>
    </row>
    <row r="57" spans="1:23" x14ac:dyDescent="0.25">
      <c r="A57" s="11"/>
      <c r="B57" s="102" t="s">
        <v>22</v>
      </c>
      <c r="C57" s="207" t="s">
        <v>192</v>
      </c>
      <c r="D57" s="207" t="s">
        <v>47</v>
      </c>
      <c r="E57" s="208" t="s">
        <v>172</v>
      </c>
      <c r="F57" s="209"/>
      <c r="G57" s="206"/>
      <c r="H57" s="435">
        <v>0</v>
      </c>
      <c r="I57" s="54"/>
      <c r="J57" s="428"/>
      <c r="K57" s="428"/>
      <c r="L57" s="428"/>
      <c r="M57" s="428"/>
      <c r="N57" s="428"/>
      <c r="O57" s="428"/>
      <c r="P57" s="428"/>
      <c r="Q57" s="428"/>
      <c r="R57" s="428"/>
      <c r="S57" s="428"/>
      <c r="T57" s="428"/>
      <c r="U57" s="428"/>
    </row>
    <row r="58" spans="1:23" x14ac:dyDescent="0.25">
      <c r="A58" s="11"/>
      <c r="B58" s="102" t="s">
        <v>25</v>
      </c>
      <c r="C58" s="207" t="s">
        <v>192</v>
      </c>
      <c r="D58" s="207" t="s">
        <v>47</v>
      </c>
      <c r="E58" s="210" t="s">
        <v>172</v>
      </c>
      <c r="F58" s="211"/>
      <c r="G58" s="206"/>
      <c r="H58" s="435">
        <f t="shared" ref="H58:H77" si="7">SUM(J58:U58)</f>
        <v>0</v>
      </c>
      <c r="I58" s="54"/>
      <c r="J58" s="428"/>
      <c r="K58" s="428"/>
      <c r="L58" s="428"/>
      <c r="M58" s="428"/>
      <c r="N58" s="428"/>
      <c r="O58" s="428"/>
      <c r="P58" s="428"/>
      <c r="Q58" s="428"/>
      <c r="R58" s="428"/>
      <c r="S58" s="428"/>
      <c r="T58" s="428"/>
      <c r="U58" s="428"/>
    </row>
    <row r="59" spans="1:23" x14ac:dyDescent="0.25">
      <c r="A59" s="11"/>
      <c r="B59" s="102" t="s">
        <v>30</v>
      </c>
      <c r="C59" s="207" t="s">
        <v>192</v>
      </c>
      <c r="D59" s="207" t="s">
        <v>47</v>
      </c>
      <c r="E59" s="210" t="s">
        <v>172</v>
      </c>
      <c r="F59" s="211" t="s">
        <v>223</v>
      </c>
      <c r="G59" s="206">
        <v>30.22</v>
      </c>
      <c r="H59" s="435">
        <f t="shared" si="7"/>
        <v>0</v>
      </c>
      <c r="I59" s="54"/>
      <c r="J59" s="428"/>
      <c r="K59" s="428"/>
      <c r="L59" s="428"/>
      <c r="M59" s="428"/>
      <c r="N59" s="428"/>
      <c r="O59" s="428"/>
      <c r="P59" s="428"/>
      <c r="Q59" s="428"/>
      <c r="R59" s="428"/>
      <c r="S59" s="428"/>
      <c r="T59" s="428"/>
      <c r="U59" s="428"/>
    </row>
    <row r="60" spans="1:23" x14ac:dyDescent="0.25">
      <c r="A60" s="11"/>
      <c r="B60" s="102" t="s">
        <v>222</v>
      </c>
      <c r="C60" s="207" t="s">
        <v>192</v>
      </c>
      <c r="D60" s="207" t="s">
        <v>47</v>
      </c>
      <c r="E60" s="210" t="s">
        <v>172</v>
      </c>
      <c r="F60" s="211"/>
      <c r="G60" s="206"/>
      <c r="H60" s="435">
        <f t="shared" si="7"/>
        <v>0</v>
      </c>
      <c r="I60" s="54"/>
      <c r="J60" s="428"/>
      <c r="K60" s="428"/>
      <c r="L60" s="428"/>
      <c r="M60" s="428"/>
      <c r="N60" s="428"/>
      <c r="O60" s="428"/>
      <c r="P60" s="428"/>
      <c r="Q60" s="428"/>
      <c r="R60" s="428"/>
      <c r="S60" s="428"/>
      <c r="T60" s="428"/>
      <c r="U60" s="428"/>
    </row>
    <row r="61" spans="1:23" x14ac:dyDescent="0.25">
      <c r="A61" s="11"/>
      <c r="B61" s="102" t="s">
        <v>34</v>
      </c>
      <c r="C61" s="207" t="s">
        <v>192</v>
      </c>
      <c r="D61" s="207" t="s">
        <v>47</v>
      </c>
      <c r="E61" s="210" t="s">
        <v>172</v>
      </c>
      <c r="F61" s="211"/>
      <c r="G61" s="206"/>
      <c r="H61" s="435">
        <f t="shared" si="7"/>
        <v>0</v>
      </c>
      <c r="I61" s="54"/>
      <c r="J61" s="428"/>
      <c r="K61" s="428"/>
      <c r="L61" s="428"/>
      <c r="M61" s="428"/>
      <c r="N61" s="428"/>
      <c r="O61" s="428"/>
      <c r="P61" s="428"/>
      <c r="Q61" s="428"/>
      <c r="R61" s="428"/>
      <c r="S61" s="428"/>
      <c r="T61" s="428"/>
      <c r="U61" s="428"/>
    </row>
    <row r="62" spans="1:23" x14ac:dyDescent="0.25">
      <c r="A62" s="11"/>
      <c r="B62" s="102" t="s">
        <v>37</v>
      </c>
      <c r="C62" s="207" t="s">
        <v>192</v>
      </c>
      <c r="D62" s="207" t="s">
        <v>47</v>
      </c>
      <c r="E62" s="210" t="s">
        <v>172</v>
      </c>
      <c r="F62" s="211"/>
      <c r="G62" s="206"/>
      <c r="H62" s="435">
        <f t="shared" si="7"/>
        <v>0</v>
      </c>
      <c r="I62" s="54"/>
      <c r="J62" s="428"/>
      <c r="K62" s="428"/>
      <c r="L62" s="428"/>
      <c r="M62" s="428"/>
      <c r="N62" s="428"/>
      <c r="O62" s="428"/>
      <c r="P62" s="428"/>
      <c r="Q62" s="428"/>
      <c r="R62" s="428"/>
      <c r="S62" s="428"/>
      <c r="T62" s="428"/>
      <c r="U62" s="428"/>
    </row>
    <row r="63" spans="1:23" x14ac:dyDescent="0.25">
      <c r="A63" s="11"/>
      <c r="B63" s="102" t="s">
        <v>174</v>
      </c>
      <c r="C63" s="207" t="s">
        <v>192</v>
      </c>
      <c r="D63" s="207" t="s">
        <v>47</v>
      </c>
      <c r="E63" s="210" t="s">
        <v>172</v>
      </c>
      <c r="F63" s="211"/>
      <c r="G63" s="206"/>
      <c r="H63" s="435">
        <f t="shared" si="7"/>
        <v>0</v>
      </c>
      <c r="I63" s="54"/>
      <c r="J63" s="428"/>
      <c r="K63" s="428"/>
      <c r="L63" s="428"/>
      <c r="M63" s="428"/>
      <c r="N63" s="428"/>
      <c r="O63" s="428"/>
      <c r="P63" s="428"/>
      <c r="Q63" s="428"/>
      <c r="R63" s="428"/>
      <c r="S63" s="428"/>
      <c r="T63" s="428"/>
      <c r="U63" s="428"/>
    </row>
    <row r="64" spans="1:23" x14ac:dyDescent="0.25">
      <c r="A64" s="11"/>
      <c r="B64" s="102" t="s">
        <v>175</v>
      </c>
      <c r="C64" s="207" t="s">
        <v>192</v>
      </c>
      <c r="D64" s="207" t="s">
        <v>47</v>
      </c>
      <c r="E64" s="210" t="s">
        <v>221</v>
      </c>
      <c r="F64" s="211" t="s">
        <v>224</v>
      </c>
      <c r="G64" s="206">
        <v>39.19</v>
      </c>
      <c r="H64" s="435">
        <f t="shared" si="7"/>
        <v>0</v>
      </c>
      <c r="I64" s="54"/>
      <c r="J64" s="428"/>
      <c r="K64" s="428"/>
      <c r="L64" s="428"/>
      <c r="M64" s="428"/>
      <c r="N64" s="428"/>
      <c r="O64" s="428"/>
      <c r="P64" s="428"/>
      <c r="Q64" s="428"/>
      <c r="R64" s="428"/>
      <c r="S64" s="428"/>
      <c r="T64" s="428"/>
      <c r="U64" s="428"/>
    </row>
    <row r="65" spans="1:23" x14ac:dyDescent="0.25">
      <c r="A65" s="11"/>
      <c r="B65" s="102" t="s">
        <v>176</v>
      </c>
      <c r="C65" s="207" t="s">
        <v>192</v>
      </c>
      <c r="D65" s="207" t="s">
        <v>47</v>
      </c>
      <c r="E65" s="210" t="s">
        <v>221</v>
      </c>
      <c r="F65" s="211" t="s">
        <v>224</v>
      </c>
      <c r="G65" s="206">
        <v>39.19</v>
      </c>
      <c r="H65" s="435">
        <f t="shared" si="7"/>
        <v>0</v>
      </c>
      <c r="I65" s="54"/>
      <c r="J65" s="428"/>
      <c r="K65" s="428"/>
      <c r="L65" s="428"/>
      <c r="M65" s="428"/>
      <c r="N65" s="428"/>
      <c r="O65" s="428"/>
      <c r="P65" s="428"/>
      <c r="Q65" s="428"/>
      <c r="R65" s="428"/>
      <c r="S65" s="428"/>
      <c r="T65" s="428"/>
      <c r="U65" s="428"/>
    </row>
    <row r="66" spans="1:23" x14ac:dyDescent="0.25">
      <c r="A66" s="11"/>
      <c r="B66" s="102" t="s">
        <v>23</v>
      </c>
      <c r="C66" s="207" t="s">
        <v>192</v>
      </c>
      <c r="D66" s="207" t="s">
        <v>47</v>
      </c>
      <c r="E66" s="210" t="s">
        <v>221</v>
      </c>
      <c r="F66" s="211" t="s">
        <v>224</v>
      </c>
      <c r="G66" s="206">
        <v>39.19</v>
      </c>
      <c r="H66" s="435">
        <f t="shared" si="7"/>
        <v>0</v>
      </c>
      <c r="I66" s="54"/>
      <c r="J66" s="428"/>
      <c r="K66" s="428"/>
      <c r="L66" s="428"/>
      <c r="M66" s="428"/>
      <c r="N66" s="428"/>
      <c r="O66" s="428"/>
      <c r="P66" s="428"/>
      <c r="Q66" s="428"/>
      <c r="R66" s="428"/>
      <c r="S66" s="428"/>
      <c r="T66" s="428"/>
      <c r="U66" s="428"/>
    </row>
    <row r="67" spans="1:23" x14ac:dyDescent="0.25">
      <c r="A67" s="11"/>
      <c r="B67" s="102" t="s">
        <v>24</v>
      </c>
      <c r="C67" s="207" t="s">
        <v>192</v>
      </c>
      <c r="D67" s="207" t="s">
        <v>47</v>
      </c>
      <c r="E67" s="208" t="s">
        <v>221</v>
      </c>
      <c r="F67" s="211" t="s">
        <v>224</v>
      </c>
      <c r="G67" s="206">
        <v>39.19</v>
      </c>
      <c r="H67" s="435">
        <f t="shared" si="7"/>
        <v>0</v>
      </c>
      <c r="I67" s="54"/>
      <c r="J67" s="428"/>
      <c r="K67" s="428"/>
      <c r="L67" s="428"/>
      <c r="M67" s="428"/>
      <c r="N67" s="428"/>
      <c r="O67" s="428"/>
      <c r="P67" s="428"/>
      <c r="Q67" s="428"/>
      <c r="R67" s="428"/>
      <c r="S67" s="428"/>
      <c r="T67" s="428"/>
      <c r="U67" s="428"/>
    </row>
    <row r="68" spans="1:23" x14ac:dyDescent="0.25">
      <c r="A68" s="11"/>
      <c r="B68" s="212" t="s">
        <v>26</v>
      </c>
      <c r="C68" s="207" t="s">
        <v>192</v>
      </c>
      <c r="D68" s="207" t="s">
        <v>47</v>
      </c>
      <c r="E68" s="210" t="s">
        <v>221</v>
      </c>
      <c r="F68" s="211" t="s">
        <v>224</v>
      </c>
      <c r="G68" s="206">
        <v>39.19</v>
      </c>
      <c r="H68" s="435">
        <f t="shared" si="7"/>
        <v>0</v>
      </c>
      <c r="I68" s="54"/>
      <c r="J68" s="428"/>
      <c r="K68" s="428"/>
      <c r="L68" s="428"/>
      <c r="M68" s="428"/>
      <c r="N68" s="428"/>
      <c r="O68" s="428"/>
      <c r="P68" s="428"/>
      <c r="Q68" s="428"/>
      <c r="R68" s="428"/>
      <c r="S68" s="428"/>
      <c r="T68" s="428"/>
      <c r="U68" s="428"/>
    </row>
    <row r="69" spans="1:23" x14ac:dyDescent="0.25">
      <c r="A69" s="11"/>
      <c r="B69" s="102" t="s">
        <v>27</v>
      </c>
      <c r="C69" s="207" t="s">
        <v>192</v>
      </c>
      <c r="D69" s="207" t="s">
        <v>47</v>
      </c>
      <c r="E69" s="210" t="s">
        <v>221</v>
      </c>
      <c r="F69" s="211" t="s">
        <v>224</v>
      </c>
      <c r="G69" s="206">
        <v>39.19</v>
      </c>
      <c r="H69" s="435">
        <f t="shared" si="7"/>
        <v>0</v>
      </c>
      <c r="I69" s="54"/>
      <c r="J69" s="428"/>
      <c r="K69" s="428"/>
      <c r="L69" s="428"/>
      <c r="M69" s="428"/>
      <c r="N69" s="428"/>
      <c r="O69" s="428"/>
      <c r="P69" s="428"/>
      <c r="Q69" s="428"/>
      <c r="R69" s="428"/>
      <c r="S69" s="428"/>
      <c r="T69" s="428"/>
      <c r="U69" s="428"/>
    </row>
    <row r="70" spans="1:23" x14ac:dyDescent="0.25">
      <c r="A70" s="11"/>
      <c r="B70" s="102" t="s">
        <v>28</v>
      </c>
      <c r="C70" s="207" t="s">
        <v>192</v>
      </c>
      <c r="D70" s="207" t="s">
        <v>47</v>
      </c>
      <c r="E70" s="210" t="s">
        <v>221</v>
      </c>
      <c r="F70" s="211" t="s">
        <v>224</v>
      </c>
      <c r="G70" s="206">
        <v>39.19</v>
      </c>
      <c r="H70" s="435">
        <f t="shared" si="7"/>
        <v>0</v>
      </c>
      <c r="I70" s="54"/>
      <c r="J70" s="428"/>
      <c r="K70" s="428"/>
      <c r="L70" s="428"/>
      <c r="M70" s="428"/>
      <c r="N70" s="428"/>
      <c r="O70" s="428"/>
      <c r="P70" s="428"/>
      <c r="Q70" s="428"/>
      <c r="R70" s="428"/>
      <c r="S70" s="428"/>
      <c r="T70" s="428"/>
      <c r="U70" s="428"/>
    </row>
    <row r="71" spans="1:23" x14ac:dyDescent="0.25">
      <c r="A71" s="11"/>
      <c r="B71" s="212" t="s">
        <v>29</v>
      </c>
      <c r="C71" s="207" t="s">
        <v>192</v>
      </c>
      <c r="D71" s="207" t="s">
        <v>47</v>
      </c>
      <c r="E71" s="208" t="s">
        <v>221</v>
      </c>
      <c r="F71" s="211" t="s">
        <v>224</v>
      </c>
      <c r="G71" s="206">
        <v>39.19</v>
      </c>
      <c r="H71" s="435">
        <f t="shared" si="7"/>
        <v>0</v>
      </c>
      <c r="I71" s="54"/>
      <c r="J71" s="428"/>
      <c r="K71" s="428"/>
      <c r="L71" s="428"/>
      <c r="M71" s="428"/>
      <c r="N71" s="428"/>
      <c r="O71" s="428"/>
      <c r="P71" s="428"/>
      <c r="Q71" s="428"/>
      <c r="R71" s="428"/>
      <c r="S71" s="428"/>
      <c r="T71" s="428"/>
      <c r="U71" s="428"/>
    </row>
    <row r="72" spans="1:23" x14ac:dyDescent="0.25">
      <c r="A72" s="11"/>
      <c r="B72" s="212" t="s">
        <v>31</v>
      </c>
      <c r="C72" s="207" t="s">
        <v>192</v>
      </c>
      <c r="D72" s="207" t="s">
        <v>47</v>
      </c>
      <c r="E72" s="208" t="s">
        <v>221</v>
      </c>
      <c r="F72" s="211" t="s">
        <v>224</v>
      </c>
      <c r="G72" s="206">
        <v>39.19</v>
      </c>
      <c r="H72" s="435">
        <f t="shared" si="7"/>
        <v>0</v>
      </c>
      <c r="I72" s="54"/>
      <c r="J72" s="428"/>
      <c r="K72" s="428"/>
      <c r="L72" s="428"/>
      <c r="M72" s="428"/>
      <c r="N72" s="428"/>
      <c r="O72" s="428"/>
      <c r="P72" s="428"/>
      <c r="Q72" s="428"/>
      <c r="R72" s="428"/>
      <c r="S72" s="428"/>
      <c r="T72" s="428"/>
      <c r="U72" s="428"/>
    </row>
    <row r="73" spans="1:23" x14ac:dyDescent="0.25">
      <c r="A73" s="11"/>
      <c r="B73" s="212" t="s">
        <v>32</v>
      </c>
      <c r="C73" s="207" t="s">
        <v>192</v>
      </c>
      <c r="D73" s="207" t="s">
        <v>47</v>
      </c>
      <c r="E73" s="210" t="s">
        <v>221</v>
      </c>
      <c r="F73" s="211" t="s">
        <v>224</v>
      </c>
      <c r="G73" s="206">
        <v>39.19</v>
      </c>
      <c r="H73" s="435">
        <f t="shared" si="7"/>
        <v>0</v>
      </c>
      <c r="I73" s="54"/>
      <c r="J73" s="428"/>
      <c r="K73" s="428"/>
      <c r="L73" s="428"/>
      <c r="M73" s="428"/>
      <c r="N73" s="428"/>
      <c r="O73" s="428"/>
      <c r="P73" s="428"/>
      <c r="Q73" s="428"/>
      <c r="R73" s="428"/>
      <c r="S73" s="428"/>
      <c r="T73" s="428"/>
      <c r="U73" s="428"/>
    </row>
    <row r="74" spans="1:23" x14ac:dyDescent="0.25">
      <c r="A74" s="11"/>
      <c r="B74" s="102" t="s">
        <v>33</v>
      </c>
      <c r="C74" s="207" t="s">
        <v>192</v>
      </c>
      <c r="D74" s="207" t="s">
        <v>47</v>
      </c>
      <c r="E74" s="210" t="s">
        <v>221</v>
      </c>
      <c r="F74" s="211" t="s">
        <v>224</v>
      </c>
      <c r="G74" s="206">
        <v>39.19</v>
      </c>
      <c r="H74" s="435">
        <f t="shared" si="7"/>
        <v>0</v>
      </c>
      <c r="I74" s="54"/>
      <c r="J74" s="428"/>
      <c r="K74" s="428"/>
      <c r="L74" s="428"/>
      <c r="M74" s="428"/>
      <c r="N74" s="428"/>
      <c r="O74" s="428"/>
      <c r="P74" s="428"/>
      <c r="Q74" s="428"/>
      <c r="R74" s="428"/>
      <c r="S74" s="428"/>
      <c r="T74" s="428"/>
      <c r="U74" s="428"/>
    </row>
    <row r="75" spans="1:23" x14ac:dyDescent="0.25">
      <c r="A75" s="11"/>
      <c r="B75" s="212" t="s">
        <v>35</v>
      </c>
      <c r="C75" s="207" t="s">
        <v>192</v>
      </c>
      <c r="D75" s="207" t="s">
        <v>47</v>
      </c>
      <c r="E75" s="208"/>
      <c r="F75" s="213"/>
      <c r="G75" s="206"/>
      <c r="H75" s="435">
        <f t="shared" si="7"/>
        <v>0</v>
      </c>
      <c r="I75" s="54"/>
      <c r="J75" s="428"/>
      <c r="K75" s="428"/>
      <c r="L75" s="428"/>
      <c r="M75" s="428"/>
      <c r="N75" s="428"/>
      <c r="O75" s="428"/>
      <c r="P75" s="428"/>
      <c r="Q75" s="428"/>
      <c r="R75" s="428"/>
      <c r="S75" s="428"/>
      <c r="T75" s="428"/>
      <c r="U75" s="428"/>
    </row>
    <row r="76" spans="1:23" x14ac:dyDescent="0.25">
      <c r="A76" s="11"/>
      <c r="B76" s="212" t="s">
        <v>36</v>
      </c>
      <c r="C76" s="207" t="s">
        <v>192</v>
      </c>
      <c r="D76" s="207" t="s">
        <v>47</v>
      </c>
      <c r="E76" s="208"/>
      <c r="F76" s="209"/>
      <c r="G76" s="206"/>
      <c r="H76" s="435">
        <f t="shared" si="7"/>
        <v>0</v>
      </c>
      <c r="I76" s="54"/>
      <c r="J76" s="428"/>
      <c r="K76" s="428"/>
      <c r="L76" s="428"/>
      <c r="M76" s="428"/>
      <c r="N76" s="428"/>
      <c r="O76" s="428"/>
      <c r="P76" s="428"/>
      <c r="Q76" s="428"/>
      <c r="R76" s="428"/>
      <c r="S76" s="428"/>
      <c r="T76" s="428"/>
      <c r="U76" s="428"/>
    </row>
    <row r="77" spans="1:23" ht="15.75" thickBot="1" x14ac:dyDescent="0.3">
      <c r="A77" s="84"/>
      <c r="B77" s="214" t="s">
        <v>38</v>
      </c>
      <c r="C77" s="215" t="s">
        <v>192</v>
      </c>
      <c r="D77" s="215" t="s">
        <v>47</v>
      </c>
      <c r="E77" s="216"/>
      <c r="F77" s="217"/>
      <c r="G77" s="206"/>
      <c r="H77" s="435">
        <f t="shared" si="7"/>
        <v>0</v>
      </c>
      <c r="I77" s="54"/>
      <c r="J77" s="428"/>
      <c r="K77" s="428"/>
      <c r="L77" s="428"/>
      <c r="M77" s="428"/>
      <c r="N77" s="428"/>
      <c r="O77" s="428"/>
      <c r="P77" s="428"/>
      <c r="Q77" s="428"/>
      <c r="R77" s="428"/>
      <c r="S77" s="428"/>
      <c r="T77" s="428"/>
      <c r="U77" s="428"/>
    </row>
    <row r="78" spans="1:23" ht="16.5" thickTop="1" thickBot="1" x14ac:dyDescent="0.3">
      <c r="A78" s="11"/>
      <c r="B78" s="85"/>
      <c r="C78" s="86"/>
      <c r="D78" s="86"/>
      <c r="E78" s="87"/>
      <c r="F78" s="88"/>
      <c r="G78" s="89">
        <f>IFERROR(H78/W16,0)</f>
        <v>0</v>
      </c>
      <c r="H78" s="434">
        <f>SUM(H56:H77)</f>
        <v>0</v>
      </c>
      <c r="I78" s="76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2"/>
      <c r="W78" s="67">
        <f>SUM(J78:U78)</f>
        <v>0</v>
      </c>
    </row>
    <row r="79" spans="1:23" ht="15.75" thickBot="1" x14ac:dyDescent="0.3">
      <c r="A79" s="11"/>
      <c r="B79" s="84"/>
      <c r="C79" s="84"/>
      <c r="D79" s="84"/>
      <c r="E79" s="52"/>
      <c r="F79" s="90"/>
      <c r="G79" s="91"/>
      <c r="H79" s="92"/>
      <c r="I79" s="46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</row>
    <row r="80" spans="1:23" ht="15.75" thickBot="1" x14ac:dyDescent="0.3">
      <c r="A80" s="11"/>
      <c r="B80" s="93" t="s">
        <v>48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40"/>
    </row>
    <row r="81" spans="1:21" x14ac:dyDescent="0.25">
      <c r="A81" s="11"/>
      <c r="B81" s="94" t="s">
        <v>49</v>
      </c>
      <c r="C81" s="80" t="s">
        <v>44</v>
      </c>
      <c r="D81" s="42" t="s">
        <v>220</v>
      </c>
      <c r="E81" s="80" t="s">
        <v>50</v>
      </c>
      <c r="F81" s="80" t="s">
        <v>51</v>
      </c>
      <c r="G81" s="80" t="s">
        <v>45</v>
      </c>
      <c r="H81" s="42" t="s">
        <v>18</v>
      </c>
      <c r="I81" s="43"/>
      <c r="J81" s="178">
        <v>45658</v>
      </c>
      <c r="K81" s="178">
        <v>45689</v>
      </c>
      <c r="L81" s="178">
        <v>45717</v>
      </c>
      <c r="M81" s="178">
        <v>45748</v>
      </c>
      <c r="N81" s="178">
        <v>45778</v>
      </c>
      <c r="O81" s="178">
        <v>45809</v>
      </c>
      <c r="P81" s="178">
        <v>45839</v>
      </c>
      <c r="Q81" s="178">
        <v>45870</v>
      </c>
      <c r="R81" s="178">
        <v>45901</v>
      </c>
      <c r="S81" s="178">
        <v>45931</v>
      </c>
      <c r="T81" s="178">
        <v>45962</v>
      </c>
      <c r="U81" s="178">
        <v>45992</v>
      </c>
    </row>
    <row r="82" spans="1:21" x14ac:dyDescent="0.25">
      <c r="A82" s="11"/>
      <c r="B82" s="95" t="s">
        <v>52</v>
      </c>
      <c r="C82" s="330" t="s">
        <v>212</v>
      </c>
      <c r="D82" s="97" t="s">
        <v>53</v>
      </c>
      <c r="E82" s="98"/>
      <c r="F82" s="98"/>
      <c r="G82" s="96"/>
      <c r="H82" s="430">
        <f t="shared" ref="H82:H105" si="8">SUM(J82:U82)</f>
        <v>0</v>
      </c>
      <c r="J82" s="100"/>
      <c r="K82" s="100"/>
      <c r="L82" s="100"/>
      <c r="M82" s="100"/>
      <c r="N82" s="100"/>
      <c r="O82" s="100"/>
      <c r="P82" s="100"/>
      <c r="Q82" s="100"/>
      <c r="R82" s="100"/>
      <c r="S82" s="100"/>
      <c r="T82" s="100"/>
      <c r="U82" s="101"/>
    </row>
    <row r="83" spans="1:21" x14ac:dyDescent="0.25">
      <c r="A83" s="11"/>
      <c r="B83" s="102" t="s">
        <v>227</v>
      </c>
      <c r="C83" s="331" t="s">
        <v>213</v>
      </c>
      <c r="D83" s="104" t="s">
        <v>53</v>
      </c>
      <c r="E83" s="103">
        <v>699</v>
      </c>
      <c r="F83" s="103">
        <v>3675</v>
      </c>
      <c r="G83" s="103"/>
      <c r="H83" s="430">
        <f t="shared" si="8"/>
        <v>0</v>
      </c>
      <c r="I83" s="46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1"/>
    </row>
    <row r="84" spans="1:21" x14ac:dyDescent="0.25">
      <c r="A84" s="11"/>
      <c r="B84" s="102" t="s">
        <v>54</v>
      </c>
      <c r="C84" s="331" t="s">
        <v>216</v>
      </c>
      <c r="D84" s="104" t="s">
        <v>53</v>
      </c>
      <c r="E84" s="103">
        <v>699</v>
      </c>
      <c r="F84" s="103">
        <v>3691</v>
      </c>
      <c r="G84" s="103"/>
      <c r="H84" s="430">
        <f t="shared" si="8"/>
        <v>0</v>
      </c>
      <c r="I84" s="46"/>
      <c r="J84" s="100"/>
      <c r="K84" s="100"/>
      <c r="L84" s="100"/>
      <c r="M84" s="100"/>
      <c r="N84" s="100"/>
      <c r="O84" s="100"/>
      <c r="P84" s="100"/>
      <c r="Q84" s="100"/>
      <c r="R84" s="100"/>
      <c r="S84" s="100"/>
      <c r="T84" s="100"/>
      <c r="U84" s="101"/>
    </row>
    <row r="85" spans="1:21" x14ac:dyDescent="0.25">
      <c r="A85" s="11"/>
      <c r="B85" s="102" t="s">
        <v>55</v>
      </c>
      <c r="C85" s="331" t="s">
        <v>217</v>
      </c>
      <c r="D85" s="104" t="s">
        <v>53</v>
      </c>
      <c r="E85" s="103">
        <v>699</v>
      </c>
      <c r="F85" s="103">
        <v>3677</v>
      </c>
      <c r="G85" s="103"/>
      <c r="H85" s="430">
        <f t="shared" si="8"/>
        <v>0</v>
      </c>
      <c r="J85" s="100"/>
      <c r="K85" s="100"/>
      <c r="L85" s="100"/>
      <c r="M85" s="100"/>
      <c r="N85" s="100"/>
      <c r="O85" s="100"/>
      <c r="P85" s="100"/>
      <c r="Q85" s="100"/>
      <c r="R85" s="100"/>
      <c r="S85" s="100"/>
      <c r="T85" s="100"/>
      <c r="U85" s="101"/>
    </row>
    <row r="86" spans="1:21" x14ac:dyDescent="0.25">
      <c r="A86" s="11"/>
      <c r="B86" s="105" t="s">
        <v>228</v>
      </c>
      <c r="C86" s="103">
        <v>721</v>
      </c>
      <c r="D86" s="104" t="s">
        <v>53</v>
      </c>
      <c r="E86" s="103">
        <v>699</v>
      </c>
      <c r="F86" s="103">
        <v>3671</v>
      </c>
      <c r="G86" s="103"/>
      <c r="H86" s="430">
        <f t="shared" si="8"/>
        <v>0</v>
      </c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1"/>
    </row>
    <row r="87" spans="1:21" x14ac:dyDescent="0.25">
      <c r="A87" s="11"/>
      <c r="B87" s="105" t="s">
        <v>56</v>
      </c>
      <c r="C87" s="331" t="s">
        <v>218</v>
      </c>
      <c r="D87" s="104" t="s">
        <v>53</v>
      </c>
      <c r="E87" s="103">
        <v>699</v>
      </c>
      <c r="F87" s="103">
        <v>3669</v>
      </c>
      <c r="G87" s="103"/>
      <c r="H87" s="430">
        <f t="shared" si="8"/>
        <v>0</v>
      </c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1"/>
    </row>
    <row r="88" spans="1:21" x14ac:dyDescent="0.25">
      <c r="A88" s="11"/>
      <c r="B88" s="105" t="s">
        <v>57</v>
      </c>
      <c r="C88" s="331" t="s">
        <v>219</v>
      </c>
      <c r="D88" s="104" t="s">
        <v>53</v>
      </c>
      <c r="E88" s="103">
        <v>699</v>
      </c>
      <c r="F88" s="103">
        <v>3665</v>
      </c>
      <c r="G88" s="103"/>
      <c r="H88" s="430">
        <f t="shared" si="8"/>
        <v>0</v>
      </c>
      <c r="J88" s="100"/>
      <c r="K88" s="100"/>
      <c r="L88" s="100"/>
      <c r="M88" s="100"/>
      <c r="N88" s="100"/>
      <c r="O88" s="100"/>
      <c r="P88" s="100"/>
      <c r="Q88" s="100"/>
      <c r="R88" s="100"/>
      <c r="S88" s="100"/>
      <c r="T88" s="100"/>
      <c r="U88" s="101"/>
    </row>
    <row r="89" spans="1:21" x14ac:dyDescent="0.25">
      <c r="A89" s="11"/>
      <c r="B89" s="105" t="s">
        <v>229</v>
      </c>
      <c r="C89" s="331" t="s">
        <v>215</v>
      </c>
      <c r="D89" s="104" t="s">
        <v>53</v>
      </c>
      <c r="E89" s="103">
        <v>699</v>
      </c>
      <c r="F89" s="103">
        <v>3963</v>
      </c>
      <c r="G89" s="103"/>
      <c r="H89" s="430">
        <f t="shared" si="8"/>
        <v>0</v>
      </c>
      <c r="I89" s="46"/>
      <c r="J89" s="100"/>
      <c r="K89" s="100"/>
      <c r="L89" s="100"/>
      <c r="M89" s="100"/>
      <c r="N89" s="100"/>
      <c r="O89" s="100"/>
      <c r="P89" s="100"/>
      <c r="Q89" s="100"/>
      <c r="R89" s="100"/>
      <c r="S89" s="100"/>
      <c r="T89" s="100"/>
      <c r="U89" s="101"/>
    </row>
    <row r="90" spans="1:21" x14ac:dyDescent="0.25">
      <c r="A90" s="11"/>
      <c r="B90" s="105" t="s">
        <v>238</v>
      </c>
      <c r="C90" s="331" t="s">
        <v>214</v>
      </c>
      <c r="D90" s="104" t="s">
        <v>59</v>
      </c>
      <c r="E90" s="103"/>
      <c r="F90" s="103"/>
      <c r="G90" s="103"/>
      <c r="H90" s="430">
        <f t="shared" si="8"/>
        <v>0</v>
      </c>
      <c r="I90" s="46"/>
      <c r="J90" s="420"/>
      <c r="K90" s="420"/>
      <c r="L90" s="420"/>
      <c r="M90" s="420"/>
      <c r="N90" s="420"/>
      <c r="O90" s="420"/>
      <c r="P90" s="420"/>
      <c r="Q90" s="420"/>
      <c r="R90" s="420"/>
      <c r="S90" s="420"/>
      <c r="T90" s="420"/>
      <c r="U90" s="429"/>
    </row>
    <row r="91" spans="1:21" x14ac:dyDescent="0.25">
      <c r="A91" s="11"/>
      <c r="B91" s="105" t="s">
        <v>225</v>
      </c>
      <c r="C91" s="103">
        <v>720</v>
      </c>
      <c r="D91" s="104" t="s">
        <v>59</v>
      </c>
      <c r="E91" s="103"/>
      <c r="F91" s="103"/>
      <c r="G91" s="103"/>
      <c r="H91" s="430">
        <f t="shared" si="8"/>
        <v>0</v>
      </c>
      <c r="I91" s="46"/>
      <c r="J91" s="420">
        <f t="shared" ref="J91:U91" si="9">J115</f>
        <v>0</v>
      </c>
      <c r="K91" s="420">
        <f t="shared" si="9"/>
        <v>0</v>
      </c>
      <c r="L91" s="420">
        <f t="shared" si="9"/>
        <v>0</v>
      </c>
      <c r="M91" s="420">
        <f t="shared" si="9"/>
        <v>0</v>
      </c>
      <c r="N91" s="420">
        <f t="shared" si="9"/>
        <v>0</v>
      </c>
      <c r="O91" s="420">
        <f t="shared" si="9"/>
        <v>0</v>
      </c>
      <c r="P91" s="420">
        <f t="shared" si="9"/>
        <v>0</v>
      </c>
      <c r="Q91" s="420">
        <f t="shared" si="9"/>
        <v>0</v>
      </c>
      <c r="R91" s="420">
        <f t="shared" si="9"/>
        <v>0</v>
      </c>
      <c r="S91" s="420">
        <f t="shared" si="9"/>
        <v>0</v>
      </c>
      <c r="T91" s="420">
        <f t="shared" si="9"/>
        <v>0</v>
      </c>
      <c r="U91" s="429">
        <f t="shared" si="9"/>
        <v>0</v>
      </c>
    </row>
    <row r="92" spans="1:21" x14ac:dyDescent="0.25">
      <c r="A92" s="11"/>
      <c r="B92" s="105" t="s">
        <v>226</v>
      </c>
      <c r="C92" s="103">
        <v>720</v>
      </c>
      <c r="D92" s="104" t="s">
        <v>59</v>
      </c>
      <c r="E92" s="103"/>
      <c r="F92" s="103"/>
      <c r="G92" s="103"/>
      <c r="H92" s="430">
        <f t="shared" si="8"/>
        <v>0</v>
      </c>
      <c r="J92" s="420"/>
      <c r="K92" s="420"/>
      <c r="L92" s="420"/>
      <c r="M92" s="420"/>
      <c r="N92" s="420"/>
      <c r="O92" s="420"/>
      <c r="P92" s="420"/>
      <c r="Q92" s="420"/>
      <c r="R92" s="420"/>
      <c r="S92" s="420"/>
      <c r="T92" s="420"/>
      <c r="U92" s="429"/>
    </row>
    <row r="93" spans="1:21" x14ac:dyDescent="0.25">
      <c r="A93" s="11"/>
      <c r="B93" s="105" t="s">
        <v>205</v>
      </c>
      <c r="C93" s="103">
        <v>720</v>
      </c>
      <c r="D93" s="104" t="s">
        <v>59</v>
      </c>
      <c r="E93" s="103"/>
      <c r="F93" s="103"/>
      <c r="G93" s="103"/>
      <c r="H93" s="430">
        <f t="shared" si="8"/>
        <v>0</v>
      </c>
      <c r="J93" s="420"/>
      <c r="K93" s="420"/>
      <c r="L93" s="420"/>
      <c r="M93" s="420"/>
      <c r="N93" s="420"/>
      <c r="O93" s="420"/>
      <c r="P93" s="420"/>
      <c r="Q93" s="420"/>
      <c r="R93" s="420"/>
      <c r="S93" s="420"/>
      <c r="T93" s="420"/>
      <c r="U93" s="429"/>
    </row>
    <row r="94" spans="1:21" x14ac:dyDescent="0.25">
      <c r="A94" s="11"/>
      <c r="B94" s="105" t="s">
        <v>60</v>
      </c>
      <c r="C94" s="331" t="s">
        <v>194</v>
      </c>
      <c r="D94" s="104" t="s">
        <v>59</v>
      </c>
      <c r="E94" s="103"/>
      <c r="F94" s="103"/>
      <c r="G94" s="103"/>
      <c r="H94" s="430">
        <f t="shared" si="8"/>
        <v>0</v>
      </c>
      <c r="J94" s="420">
        <f t="shared" ref="J94:U94" si="10">J119</f>
        <v>0</v>
      </c>
      <c r="K94" s="420">
        <f t="shared" si="10"/>
        <v>0</v>
      </c>
      <c r="L94" s="420">
        <f t="shared" si="10"/>
        <v>0</v>
      </c>
      <c r="M94" s="420">
        <f t="shared" si="10"/>
        <v>0</v>
      </c>
      <c r="N94" s="420">
        <f t="shared" si="10"/>
        <v>0</v>
      </c>
      <c r="O94" s="420">
        <f t="shared" si="10"/>
        <v>0</v>
      </c>
      <c r="P94" s="420">
        <f t="shared" si="10"/>
        <v>0</v>
      </c>
      <c r="Q94" s="420">
        <f t="shared" si="10"/>
        <v>0</v>
      </c>
      <c r="R94" s="420">
        <f t="shared" si="10"/>
        <v>0</v>
      </c>
      <c r="S94" s="420">
        <f t="shared" si="10"/>
        <v>0</v>
      </c>
      <c r="T94" s="420">
        <f t="shared" si="10"/>
        <v>0</v>
      </c>
      <c r="U94" s="429">
        <f t="shared" si="10"/>
        <v>0</v>
      </c>
    </row>
    <row r="95" spans="1:21" x14ac:dyDescent="0.25">
      <c r="A95" s="11"/>
      <c r="B95" s="105" t="s">
        <v>80</v>
      </c>
      <c r="C95" s="331" t="s">
        <v>194</v>
      </c>
      <c r="D95" s="104" t="s">
        <v>59</v>
      </c>
      <c r="E95" s="103"/>
      <c r="F95" s="103"/>
      <c r="G95" s="103"/>
      <c r="H95" s="430">
        <f t="shared" si="8"/>
        <v>0</v>
      </c>
      <c r="J95" s="420">
        <f t="shared" ref="J95:U95" si="11">J120</f>
        <v>0</v>
      </c>
      <c r="K95" s="420">
        <f t="shared" si="11"/>
        <v>0</v>
      </c>
      <c r="L95" s="420">
        <f t="shared" si="11"/>
        <v>0</v>
      </c>
      <c r="M95" s="420">
        <f t="shared" si="11"/>
        <v>0</v>
      </c>
      <c r="N95" s="420">
        <f t="shared" si="11"/>
        <v>0</v>
      </c>
      <c r="O95" s="420">
        <f t="shared" si="11"/>
        <v>0</v>
      </c>
      <c r="P95" s="420">
        <f t="shared" si="11"/>
        <v>0</v>
      </c>
      <c r="Q95" s="420">
        <f t="shared" si="11"/>
        <v>0</v>
      </c>
      <c r="R95" s="420">
        <f t="shared" si="11"/>
        <v>0</v>
      </c>
      <c r="S95" s="420">
        <f t="shared" si="11"/>
        <v>0</v>
      </c>
      <c r="T95" s="420">
        <f t="shared" si="11"/>
        <v>0</v>
      </c>
      <c r="U95" s="429">
        <f t="shared" si="11"/>
        <v>0</v>
      </c>
    </row>
    <row r="96" spans="1:21" x14ac:dyDescent="0.25">
      <c r="A96" s="11"/>
      <c r="B96" s="105" t="s">
        <v>230</v>
      </c>
      <c r="C96" s="104">
        <v>305</v>
      </c>
      <c r="D96" s="332" t="s">
        <v>61</v>
      </c>
      <c r="E96" s="103"/>
      <c r="F96" s="103"/>
      <c r="G96" s="103"/>
      <c r="H96" s="430">
        <f t="shared" si="8"/>
        <v>0</v>
      </c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1"/>
    </row>
    <row r="97" spans="1:23" x14ac:dyDescent="0.25">
      <c r="A97" s="11"/>
      <c r="B97" s="105" t="s">
        <v>231</v>
      </c>
      <c r="C97" s="104">
        <v>306</v>
      </c>
      <c r="D97" s="332" t="s">
        <v>61</v>
      </c>
      <c r="E97" s="103"/>
      <c r="F97" s="103"/>
      <c r="G97" s="103"/>
      <c r="H97" s="430">
        <f t="shared" si="8"/>
        <v>0</v>
      </c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1"/>
    </row>
    <row r="98" spans="1:23" x14ac:dyDescent="0.25">
      <c r="A98" s="11"/>
      <c r="B98" s="105" t="s">
        <v>232</v>
      </c>
      <c r="C98" s="334" t="s">
        <v>195</v>
      </c>
      <c r="D98" s="332" t="s">
        <v>62</v>
      </c>
      <c r="E98" s="103"/>
      <c r="F98" s="103"/>
      <c r="G98" s="103"/>
      <c r="H98" s="430">
        <f t="shared" si="8"/>
        <v>0</v>
      </c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1"/>
    </row>
    <row r="99" spans="1:23" x14ac:dyDescent="0.25">
      <c r="A99" s="11"/>
      <c r="B99" s="105" t="s">
        <v>233</v>
      </c>
      <c r="C99" s="334" t="s">
        <v>196</v>
      </c>
      <c r="D99" s="332" t="s">
        <v>62</v>
      </c>
      <c r="E99" s="103"/>
      <c r="F99" s="103"/>
      <c r="G99" s="103"/>
      <c r="H99" s="430">
        <f t="shared" si="8"/>
        <v>0</v>
      </c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1"/>
    </row>
    <row r="100" spans="1:23" x14ac:dyDescent="0.25">
      <c r="A100" s="11"/>
      <c r="B100" s="105" t="s">
        <v>235</v>
      </c>
      <c r="C100" s="334" t="s">
        <v>197</v>
      </c>
      <c r="D100" s="104" t="s">
        <v>63</v>
      </c>
      <c r="E100" s="103"/>
      <c r="F100" s="103"/>
      <c r="G100" s="103"/>
      <c r="H100" s="430">
        <f t="shared" si="8"/>
        <v>0</v>
      </c>
      <c r="J100" s="100"/>
      <c r="K100" s="100"/>
      <c r="L100" s="100"/>
      <c r="M100" s="100"/>
      <c r="N100" s="100"/>
      <c r="O100" s="100"/>
      <c r="P100" s="100"/>
      <c r="Q100" s="100"/>
      <c r="R100" s="100"/>
      <c r="S100" s="100"/>
      <c r="T100" s="100"/>
      <c r="U100" s="101"/>
    </row>
    <row r="101" spans="1:23" x14ac:dyDescent="0.25">
      <c r="A101" s="11"/>
      <c r="B101" s="105" t="s">
        <v>64</v>
      </c>
      <c r="C101" s="334" t="s">
        <v>198</v>
      </c>
      <c r="D101" s="104" t="s">
        <v>63</v>
      </c>
      <c r="E101" s="104"/>
      <c r="F101" s="103"/>
      <c r="G101" s="344">
        <f>IFERROR(H101/$W$16,0)</f>
        <v>0</v>
      </c>
      <c r="H101" s="430">
        <f t="shared" si="8"/>
        <v>0</v>
      </c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1"/>
    </row>
    <row r="102" spans="1:23" x14ac:dyDescent="0.25">
      <c r="A102" s="11"/>
      <c r="B102" s="105" t="s">
        <v>65</v>
      </c>
      <c r="C102" s="334" t="s">
        <v>199</v>
      </c>
      <c r="D102" s="104" t="s">
        <v>63</v>
      </c>
      <c r="E102" s="104">
        <v>365</v>
      </c>
      <c r="F102" s="103"/>
      <c r="G102" s="103"/>
      <c r="H102" s="430">
        <f t="shared" si="8"/>
        <v>0</v>
      </c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1"/>
    </row>
    <row r="103" spans="1:23" x14ac:dyDescent="0.25">
      <c r="A103" s="11"/>
      <c r="B103" s="105" t="s">
        <v>66</v>
      </c>
      <c r="C103" s="334" t="s">
        <v>200</v>
      </c>
      <c r="D103" s="104" t="s">
        <v>67</v>
      </c>
      <c r="E103" s="103">
        <v>338</v>
      </c>
      <c r="F103" s="103"/>
      <c r="G103" s="344">
        <v>0.33</v>
      </c>
      <c r="H103" s="430">
        <f t="shared" si="8"/>
        <v>0</v>
      </c>
      <c r="I103" s="46"/>
      <c r="J103" s="420">
        <f t="shared" ref="J103:U103" si="12">$G$103*J16</f>
        <v>0</v>
      </c>
      <c r="K103" s="420">
        <f t="shared" si="12"/>
        <v>0</v>
      </c>
      <c r="L103" s="420">
        <f t="shared" si="12"/>
        <v>0</v>
      </c>
      <c r="M103" s="420">
        <f t="shared" si="12"/>
        <v>0</v>
      </c>
      <c r="N103" s="420">
        <f t="shared" si="12"/>
        <v>0</v>
      </c>
      <c r="O103" s="420">
        <f t="shared" si="12"/>
        <v>0</v>
      </c>
      <c r="P103" s="420">
        <f t="shared" si="12"/>
        <v>0</v>
      </c>
      <c r="Q103" s="420">
        <f t="shared" si="12"/>
        <v>0</v>
      </c>
      <c r="R103" s="420">
        <f t="shared" si="12"/>
        <v>0</v>
      </c>
      <c r="S103" s="420">
        <f t="shared" si="12"/>
        <v>0</v>
      </c>
      <c r="T103" s="420">
        <f t="shared" si="12"/>
        <v>0</v>
      </c>
      <c r="U103" s="420">
        <f t="shared" si="12"/>
        <v>0</v>
      </c>
    </row>
    <row r="104" spans="1:23" x14ac:dyDescent="0.25">
      <c r="A104" s="11"/>
      <c r="B104" s="105" t="s">
        <v>234</v>
      </c>
      <c r="C104" s="104">
        <v>351</v>
      </c>
      <c r="D104" s="104" t="s">
        <v>67</v>
      </c>
      <c r="E104" s="103">
        <v>324</v>
      </c>
      <c r="F104" s="103"/>
      <c r="G104" s="349">
        <v>1.6000000000000001E-3</v>
      </c>
      <c r="H104" s="430">
        <f t="shared" si="8"/>
        <v>0</v>
      </c>
      <c r="J104" s="420">
        <f t="shared" ref="J104:U104" si="13">$G$104*J46/100</f>
        <v>0</v>
      </c>
      <c r="K104" s="420">
        <f t="shared" si="13"/>
        <v>0</v>
      </c>
      <c r="L104" s="420">
        <f t="shared" si="13"/>
        <v>0</v>
      </c>
      <c r="M104" s="420">
        <f t="shared" si="13"/>
        <v>0</v>
      </c>
      <c r="N104" s="420">
        <f t="shared" si="13"/>
        <v>0</v>
      </c>
      <c r="O104" s="420">
        <f t="shared" si="13"/>
        <v>0</v>
      </c>
      <c r="P104" s="420">
        <f t="shared" si="13"/>
        <v>0</v>
      </c>
      <c r="Q104" s="420">
        <f t="shared" si="13"/>
        <v>0</v>
      </c>
      <c r="R104" s="420">
        <f t="shared" si="13"/>
        <v>0</v>
      </c>
      <c r="S104" s="420">
        <f t="shared" si="13"/>
        <v>0</v>
      </c>
      <c r="T104" s="420">
        <f t="shared" si="13"/>
        <v>0</v>
      </c>
      <c r="U104" s="420">
        <f t="shared" si="13"/>
        <v>0</v>
      </c>
    </row>
    <row r="105" spans="1:23" x14ac:dyDescent="0.25">
      <c r="A105" s="11"/>
      <c r="B105" s="106" t="s">
        <v>68</v>
      </c>
      <c r="C105" s="333" t="s">
        <v>201</v>
      </c>
      <c r="D105" s="107" t="s">
        <v>67</v>
      </c>
      <c r="E105" s="107"/>
      <c r="F105" s="108"/>
      <c r="G105" s="344">
        <v>3.75</v>
      </c>
      <c r="H105" s="430">
        <f t="shared" si="8"/>
        <v>0</v>
      </c>
      <c r="J105" s="420">
        <f t="shared" ref="J105:U105" si="14">$G$105*J16</f>
        <v>0</v>
      </c>
      <c r="K105" s="420">
        <f t="shared" si="14"/>
        <v>0</v>
      </c>
      <c r="L105" s="420">
        <f t="shared" si="14"/>
        <v>0</v>
      </c>
      <c r="M105" s="420">
        <f t="shared" si="14"/>
        <v>0</v>
      </c>
      <c r="N105" s="420">
        <f t="shared" si="14"/>
        <v>0</v>
      </c>
      <c r="O105" s="420">
        <f t="shared" si="14"/>
        <v>0</v>
      </c>
      <c r="P105" s="420">
        <f t="shared" si="14"/>
        <v>0</v>
      </c>
      <c r="Q105" s="420">
        <f t="shared" si="14"/>
        <v>0</v>
      </c>
      <c r="R105" s="420">
        <f t="shared" si="14"/>
        <v>0</v>
      </c>
      <c r="S105" s="420">
        <f t="shared" si="14"/>
        <v>0</v>
      </c>
      <c r="T105" s="420">
        <f t="shared" si="14"/>
        <v>0</v>
      </c>
      <c r="U105" s="420">
        <f t="shared" si="14"/>
        <v>0</v>
      </c>
    </row>
    <row r="106" spans="1:23" x14ac:dyDescent="0.25">
      <c r="B106" s="11"/>
      <c r="U106" s="109"/>
    </row>
    <row r="107" spans="1:23" ht="15.75" thickBot="1" x14ac:dyDescent="0.3">
      <c r="A107" s="11"/>
      <c r="B107" s="110" t="s">
        <v>69</v>
      </c>
      <c r="C107" s="33"/>
      <c r="D107" s="33"/>
      <c r="E107" s="33"/>
      <c r="F107" s="33"/>
      <c r="G107" s="436">
        <f>IFERROR(H107/B127,0)</f>
        <v>0</v>
      </c>
      <c r="H107" s="425">
        <f>SUM(H82:H105)</f>
        <v>0</v>
      </c>
      <c r="I107" s="112"/>
      <c r="J107" s="425">
        <f t="shared" ref="J107:U107" si="15">SUM(J82:J105)</f>
        <v>0</v>
      </c>
      <c r="K107" s="425">
        <f t="shared" si="15"/>
        <v>0</v>
      </c>
      <c r="L107" s="425">
        <f t="shared" si="15"/>
        <v>0</v>
      </c>
      <c r="M107" s="425">
        <f t="shared" si="15"/>
        <v>0</v>
      </c>
      <c r="N107" s="425">
        <f t="shared" si="15"/>
        <v>0</v>
      </c>
      <c r="O107" s="425">
        <f t="shared" si="15"/>
        <v>0</v>
      </c>
      <c r="P107" s="425">
        <f t="shared" si="15"/>
        <v>0</v>
      </c>
      <c r="Q107" s="425">
        <f t="shared" si="15"/>
        <v>0</v>
      </c>
      <c r="R107" s="425">
        <f t="shared" si="15"/>
        <v>0</v>
      </c>
      <c r="S107" s="425">
        <f t="shared" si="15"/>
        <v>0</v>
      </c>
      <c r="T107" s="425">
        <f t="shared" si="15"/>
        <v>0</v>
      </c>
      <c r="U107" s="426">
        <f t="shared" si="15"/>
        <v>0</v>
      </c>
    </row>
    <row r="108" spans="1:23" ht="15.75" thickBot="1" x14ac:dyDescent="0.3"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</row>
    <row r="109" spans="1:23" ht="16.5" thickTop="1" thickBot="1" x14ac:dyDescent="0.3">
      <c r="B109" s="113" t="s">
        <v>70</v>
      </c>
      <c r="C109" s="114"/>
      <c r="D109" s="114"/>
      <c r="E109" s="114"/>
      <c r="F109" s="114"/>
      <c r="G109" s="115"/>
      <c r="H109" s="431">
        <f>H51+H78+H107</f>
        <v>0</v>
      </c>
      <c r="I109" s="115"/>
      <c r="J109" s="431">
        <f t="shared" ref="J109:U109" si="16">J51+J78+J107</f>
        <v>0</v>
      </c>
      <c r="K109" s="431">
        <f t="shared" si="16"/>
        <v>0</v>
      </c>
      <c r="L109" s="431">
        <f t="shared" si="16"/>
        <v>0</v>
      </c>
      <c r="M109" s="431">
        <f t="shared" si="16"/>
        <v>0</v>
      </c>
      <c r="N109" s="431">
        <f t="shared" si="16"/>
        <v>0</v>
      </c>
      <c r="O109" s="431">
        <f t="shared" si="16"/>
        <v>0</v>
      </c>
      <c r="P109" s="431">
        <f t="shared" si="16"/>
        <v>0</v>
      </c>
      <c r="Q109" s="431">
        <f t="shared" si="16"/>
        <v>0</v>
      </c>
      <c r="R109" s="431">
        <f t="shared" si="16"/>
        <v>0</v>
      </c>
      <c r="S109" s="431">
        <f t="shared" si="16"/>
        <v>0</v>
      </c>
      <c r="T109" s="431">
        <f t="shared" si="16"/>
        <v>0</v>
      </c>
      <c r="U109" s="432">
        <f t="shared" si="16"/>
        <v>0</v>
      </c>
      <c r="W109" s="67">
        <f>SUM(J109:U109)</f>
        <v>0</v>
      </c>
    </row>
    <row r="110" spans="1:23" ht="15.75" thickBot="1" x14ac:dyDescent="0.3">
      <c r="J110" s="222"/>
      <c r="K110" s="222"/>
      <c r="L110" s="222"/>
    </row>
    <row r="111" spans="1:23" ht="16.5" thickTop="1" thickBot="1" x14ac:dyDescent="0.3">
      <c r="B111" s="113" t="s">
        <v>71</v>
      </c>
      <c r="C111" s="114"/>
      <c r="D111" s="114"/>
      <c r="E111" s="114"/>
      <c r="F111" s="114"/>
      <c r="G111" s="114"/>
      <c r="H111" s="431">
        <f>H46-H109</f>
        <v>0</v>
      </c>
      <c r="I111" s="115"/>
      <c r="J111" s="431">
        <f t="shared" ref="J111:U111" si="17">J46-J109</f>
        <v>0</v>
      </c>
      <c r="K111" s="431">
        <f t="shared" si="17"/>
        <v>0</v>
      </c>
      <c r="L111" s="431">
        <f t="shared" si="17"/>
        <v>0</v>
      </c>
      <c r="M111" s="431">
        <f t="shared" si="17"/>
        <v>0</v>
      </c>
      <c r="N111" s="431">
        <f t="shared" si="17"/>
        <v>0</v>
      </c>
      <c r="O111" s="431">
        <f t="shared" si="17"/>
        <v>0</v>
      </c>
      <c r="P111" s="431">
        <f t="shared" si="17"/>
        <v>0</v>
      </c>
      <c r="Q111" s="431">
        <f t="shared" si="17"/>
        <v>0</v>
      </c>
      <c r="R111" s="431">
        <f t="shared" si="17"/>
        <v>0</v>
      </c>
      <c r="S111" s="431">
        <f t="shared" si="17"/>
        <v>0</v>
      </c>
      <c r="T111" s="431">
        <f t="shared" si="17"/>
        <v>0</v>
      </c>
      <c r="U111" s="432">
        <f t="shared" si="17"/>
        <v>0</v>
      </c>
      <c r="W111" s="67">
        <f>SUM(J111:U111)</f>
        <v>0</v>
      </c>
    </row>
    <row r="112" spans="1:23" ht="15.75" thickBot="1" x14ac:dyDescent="0.3">
      <c r="K112" s="131"/>
    </row>
    <row r="113" spans="2:21" x14ac:dyDescent="0.25">
      <c r="B113" s="71" t="s">
        <v>72</v>
      </c>
      <c r="C113" s="80" t="s">
        <v>44</v>
      </c>
      <c r="D113" s="42" t="s">
        <v>220</v>
      </c>
      <c r="E113" s="42" t="s">
        <v>203</v>
      </c>
      <c r="F113" s="42" t="s">
        <v>240</v>
      </c>
      <c r="G113" s="42" t="s">
        <v>239</v>
      </c>
      <c r="H113" s="9"/>
      <c r="I113" s="118"/>
      <c r="J113" s="448" t="s">
        <v>73</v>
      </c>
      <c r="K113" s="448"/>
      <c r="L113" s="448"/>
      <c r="M113" s="448"/>
      <c r="N113" s="448"/>
      <c r="O113" s="448"/>
      <c r="P113" s="448"/>
      <c r="Q113" s="448"/>
      <c r="R113" s="448"/>
      <c r="S113" s="448"/>
      <c r="T113" s="448"/>
      <c r="U113" s="449"/>
    </row>
    <row r="114" spans="2:21" x14ac:dyDescent="0.25">
      <c r="B114" s="119" t="s">
        <v>74</v>
      </c>
      <c r="C114" s="340">
        <v>720</v>
      </c>
      <c r="D114" s="120" t="s">
        <v>59</v>
      </c>
      <c r="E114" s="121" t="s">
        <v>75</v>
      </c>
      <c r="F114" s="123"/>
      <c r="G114" s="345"/>
      <c r="H114" s="122"/>
      <c r="J114" s="123"/>
      <c r="K114" s="123"/>
      <c r="L114" s="123"/>
      <c r="M114" s="123"/>
      <c r="N114" s="123"/>
      <c r="O114" s="123"/>
      <c r="P114" s="123"/>
      <c r="Q114" s="123"/>
      <c r="R114" s="123"/>
      <c r="S114" s="123"/>
      <c r="T114" s="123"/>
      <c r="U114" s="124"/>
    </row>
    <row r="115" spans="2:21" x14ac:dyDescent="0.25">
      <c r="B115" s="119" t="s">
        <v>76</v>
      </c>
      <c r="C115" s="340">
        <v>720</v>
      </c>
      <c r="D115" s="120" t="s">
        <v>59</v>
      </c>
      <c r="E115" s="121" t="s">
        <v>75</v>
      </c>
      <c r="F115" s="123"/>
      <c r="G115" s="345">
        <f>IFERROR(H115/F115,0)</f>
        <v>0</v>
      </c>
      <c r="H115" s="122"/>
      <c r="J115" s="123"/>
      <c r="K115" s="123"/>
      <c r="L115" s="123"/>
      <c r="M115" s="123"/>
      <c r="N115" s="123"/>
      <c r="O115" s="123"/>
      <c r="P115" s="123"/>
      <c r="Q115" s="123"/>
      <c r="R115" s="123"/>
      <c r="S115" s="123"/>
      <c r="T115" s="123"/>
      <c r="U115" s="124"/>
    </row>
    <row r="116" spans="2:21" x14ac:dyDescent="0.25">
      <c r="B116" s="119" t="s">
        <v>77</v>
      </c>
      <c r="C116" s="340">
        <v>720</v>
      </c>
      <c r="D116" s="120" t="s">
        <v>59</v>
      </c>
      <c r="E116" s="121" t="s">
        <v>75</v>
      </c>
      <c r="F116" s="123"/>
      <c r="G116" s="345"/>
      <c r="H116" s="122"/>
      <c r="J116" s="123"/>
      <c r="K116" s="123"/>
      <c r="L116" s="123"/>
      <c r="M116" s="123"/>
      <c r="N116" s="123"/>
      <c r="O116" s="123"/>
      <c r="P116" s="123"/>
      <c r="Q116" s="123"/>
      <c r="R116" s="123"/>
      <c r="S116" s="123"/>
      <c r="T116" s="123"/>
      <c r="U116" s="124"/>
    </row>
    <row r="117" spans="2:21" x14ac:dyDescent="0.25">
      <c r="B117" s="119" t="s">
        <v>78</v>
      </c>
      <c r="C117" s="340">
        <v>720</v>
      </c>
      <c r="D117" s="120" t="s">
        <v>59</v>
      </c>
      <c r="E117" s="121" t="s">
        <v>75</v>
      </c>
      <c r="F117" s="123"/>
      <c r="G117" s="345"/>
      <c r="H117" s="122"/>
      <c r="J117" s="123"/>
      <c r="K117" s="123"/>
      <c r="L117" s="123"/>
      <c r="M117" s="123"/>
      <c r="N117" s="123"/>
      <c r="O117" s="123"/>
      <c r="P117" s="123"/>
      <c r="Q117" s="123"/>
      <c r="R117" s="123"/>
      <c r="S117" s="123"/>
      <c r="T117" s="123"/>
      <c r="U117" s="124"/>
    </row>
    <row r="118" spans="2:21" x14ac:dyDescent="0.25">
      <c r="B118" s="119" t="s">
        <v>205</v>
      </c>
      <c r="C118" s="340">
        <v>720</v>
      </c>
      <c r="D118" s="120" t="s">
        <v>59</v>
      </c>
      <c r="E118" s="121" t="s">
        <v>206</v>
      </c>
      <c r="F118" s="123"/>
      <c r="G118" s="345"/>
      <c r="H118" s="122"/>
      <c r="J118" s="123"/>
      <c r="K118" s="123"/>
      <c r="L118" s="123"/>
      <c r="M118" s="123"/>
      <c r="N118" s="123"/>
      <c r="O118" s="123"/>
      <c r="P118" s="123"/>
      <c r="Q118" s="123"/>
      <c r="R118" s="123"/>
      <c r="S118" s="123"/>
      <c r="T118" s="123"/>
      <c r="U118" s="124"/>
    </row>
    <row r="119" spans="2:21" x14ac:dyDescent="0.25">
      <c r="B119" s="119" t="s">
        <v>60</v>
      </c>
      <c r="C119" s="341" t="s">
        <v>194</v>
      </c>
      <c r="D119" s="120" t="s">
        <v>59</v>
      </c>
      <c r="E119" s="121" t="s">
        <v>79</v>
      </c>
      <c r="F119" s="123"/>
      <c r="G119" s="345">
        <f>IFERROR(H119/F119,0)</f>
        <v>0</v>
      </c>
      <c r="H119" s="122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4"/>
    </row>
    <row r="120" spans="2:21" x14ac:dyDescent="0.25">
      <c r="B120" s="119" t="s">
        <v>80</v>
      </c>
      <c r="C120" s="341" t="s">
        <v>194</v>
      </c>
      <c r="D120" s="120" t="s">
        <v>59</v>
      </c>
      <c r="E120" s="121" t="s">
        <v>81</v>
      </c>
      <c r="F120" s="123"/>
      <c r="G120" s="345">
        <f>IFERROR(H120/F120,0)</f>
        <v>0</v>
      </c>
      <c r="H120" s="122"/>
      <c r="J120" s="123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339"/>
    </row>
    <row r="121" spans="2:21" x14ac:dyDescent="0.25">
      <c r="B121" s="336" t="s">
        <v>237</v>
      </c>
      <c r="C121" s="342" t="s">
        <v>195</v>
      </c>
      <c r="D121" s="337" t="s">
        <v>62</v>
      </c>
      <c r="E121" s="338" t="s">
        <v>79</v>
      </c>
      <c r="F121" s="123"/>
      <c r="G121" s="345"/>
      <c r="H121" s="122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339"/>
    </row>
    <row r="122" spans="2:21" ht="15.75" thickBot="1" x14ac:dyDescent="0.3">
      <c r="B122" s="125" t="s">
        <v>236</v>
      </c>
      <c r="C122" s="343" t="s">
        <v>195</v>
      </c>
      <c r="D122" s="126" t="s">
        <v>62</v>
      </c>
      <c r="E122" s="127" t="s">
        <v>81</v>
      </c>
      <c r="F122" s="381"/>
      <c r="G122" s="346"/>
      <c r="H122" s="128">
        <v>0</v>
      </c>
      <c r="I122" s="33"/>
      <c r="J122" s="129"/>
      <c r="K122" s="129"/>
      <c r="L122" s="129"/>
      <c r="M122" s="129"/>
      <c r="N122" s="129"/>
      <c r="O122" s="129"/>
      <c r="P122" s="129"/>
      <c r="Q122" s="129"/>
      <c r="R122" s="129"/>
      <c r="S122" s="129"/>
      <c r="T122" s="129"/>
      <c r="U122" s="130"/>
    </row>
    <row r="123" spans="2:21" x14ac:dyDescent="0.25">
      <c r="J123" s="131"/>
      <c r="K123" s="131"/>
      <c r="L123" s="131"/>
      <c r="M123" s="131"/>
      <c r="N123" s="131"/>
      <c r="O123" s="131"/>
      <c r="P123" s="131"/>
      <c r="Q123" s="131"/>
      <c r="R123" s="131"/>
      <c r="S123" s="131"/>
      <c r="T123" s="131"/>
      <c r="U123" s="131"/>
    </row>
    <row r="124" spans="2:21" ht="15.75" thickBot="1" x14ac:dyDescent="0.3">
      <c r="J124" s="131"/>
      <c r="K124" s="131"/>
      <c r="L124" s="131"/>
      <c r="M124" s="131"/>
      <c r="N124" s="131"/>
      <c r="O124" s="131"/>
      <c r="P124" s="131"/>
      <c r="Q124" s="131"/>
      <c r="R124" s="131"/>
      <c r="S124" s="131"/>
      <c r="T124" s="131"/>
      <c r="U124" s="131"/>
    </row>
    <row r="125" spans="2:21" x14ac:dyDescent="0.25">
      <c r="B125" s="71" t="s">
        <v>82</v>
      </c>
      <c r="C125" s="9"/>
      <c r="D125" s="9"/>
      <c r="E125" s="9"/>
      <c r="F125" s="9"/>
      <c r="G125" s="40"/>
      <c r="J125" s="131"/>
      <c r="K125" s="131"/>
      <c r="L125" s="131"/>
      <c r="M125" s="131"/>
      <c r="N125" s="131"/>
      <c r="O125" s="131"/>
      <c r="P125" s="131"/>
      <c r="Q125" s="131"/>
      <c r="R125" s="131"/>
      <c r="S125" s="131"/>
      <c r="T125" s="131"/>
      <c r="U125" s="131"/>
    </row>
    <row r="126" spans="2:21" x14ac:dyDescent="0.25">
      <c r="B126" s="132" t="s">
        <v>83</v>
      </c>
      <c r="C126" s="43" t="s">
        <v>84</v>
      </c>
      <c r="D126"/>
      <c r="E126"/>
      <c r="F126" s="450" t="s">
        <v>85</v>
      </c>
      <c r="G126" s="451"/>
      <c r="I126" s="131"/>
      <c r="J126" s="131"/>
      <c r="K126" s="131"/>
      <c r="L126" s="131"/>
      <c r="M126" s="131"/>
      <c r="N126" s="131"/>
      <c r="O126" s="131"/>
      <c r="P126" s="131"/>
      <c r="Q126" s="131"/>
      <c r="R126" s="131"/>
      <c r="S126" s="131"/>
      <c r="T126" s="131"/>
    </row>
    <row r="127" spans="2:21" ht="18.75" x14ac:dyDescent="0.3">
      <c r="B127" s="133">
        <f>W16</f>
        <v>0</v>
      </c>
      <c r="C127" s="134"/>
      <c r="D127" s="134"/>
      <c r="E127" s="134"/>
      <c r="F127" s="135"/>
      <c r="G127" s="136"/>
      <c r="I127" s="131"/>
      <c r="J127" s="131"/>
      <c r="K127" s="131"/>
      <c r="L127" s="131"/>
      <c r="M127" s="131"/>
      <c r="N127" s="131"/>
      <c r="O127" s="131"/>
      <c r="P127" s="131"/>
      <c r="Q127" s="131"/>
      <c r="R127" s="131"/>
      <c r="S127" s="131"/>
      <c r="T127" s="131"/>
    </row>
    <row r="128" spans="2:21" x14ac:dyDescent="0.25">
      <c r="B128" s="137" t="s">
        <v>86</v>
      </c>
      <c r="C128" s="134"/>
      <c r="D128" s="134"/>
      <c r="E128" s="138">
        <f>H46</f>
        <v>0</v>
      </c>
      <c r="F128" s="135"/>
      <c r="G128" s="139" t="e">
        <f>E128/$B$127</f>
        <v>#DIV/0!</v>
      </c>
      <c r="I128" s="131"/>
      <c r="J128" s="131"/>
      <c r="K128" s="131"/>
      <c r="L128" s="131"/>
      <c r="M128" s="131"/>
      <c r="N128" s="131"/>
      <c r="O128" s="131"/>
      <c r="P128" s="131"/>
      <c r="Q128" s="131"/>
      <c r="R128" s="131"/>
      <c r="S128" s="131"/>
      <c r="T128" s="131"/>
    </row>
    <row r="129" spans="2:21" ht="9" customHeight="1" x14ac:dyDescent="0.25">
      <c r="B129" s="11"/>
      <c r="C129" s="134"/>
      <c r="D129" s="134"/>
      <c r="E129" s="134"/>
      <c r="F129" s="135"/>
      <c r="G129" s="136"/>
      <c r="I129" s="131"/>
      <c r="J129" s="131"/>
      <c r="K129" s="131"/>
      <c r="L129" s="131"/>
      <c r="M129" s="131"/>
      <c r="N129" s="131"/>
      <c r="O129" s="131"/>
      <c r="P129" s="131"/>
      <c r="Q129" s="131"/>
      <c r="R129" s="131"/>
      <c r="S129" s="131"/>
      <c r="T129" s="131"/>
    </row>
    <row r="130" spans="2:21" x14ac:dyDescent="0.25">
      <c r="B130" s="137" t="s">
        <v>87</v>
      </c>
      <c r="C130" s="134"/>
      <c r="D130" s="134"/>
      <c r="E130" s="134"/>
      <c r="F130" s="135"/>
      <c r="G130" s="136"/>
      <c r="I130" s="131"/>
      <c r="J130" s="131"/>
      <c r="K130" s="131"/>
      <c r="L130" s="131"/>
      <c r="M130" s="131"/>
      <c r="N130" s="131"/>
      <c r="O130" s="131"/>
      <c r="P130" s="131"/>
      <c r="Q130" s="131"/>
      <c r="R130" s="131"/>
      <c r="S130" s="131"/>
      <c r="T130" s="131"/>
    </row>
    <row r="131" spans="2:21" x14ac:dyDescent="0.25">
      <c r="B131" s="24" t="s">
        <v>88</v>
      </c>
      <c r="C131" s="138">
        <f>H51+H82+H83+H84+H89</f>
        <v>0</v>
      </c>
      <c r="D131" s="138"/>
      <c r="E131" s="134"/>
      <c r="F131" s="140" t="e">
        <f t="shared" ref="F131:F138" si="18">C131/$B$127</f>
        <v>#DIV/0!</v>
      </c>
      <c r="G131" s="136"/>
      <c r="I131" s="131"/>
      <c r="J131" s="131"/>
      <c r="K131" s="131"/>
      <c r="L131" s="131"/>
      <c r="M131" s="131"/>
      <c r="N131" s="131"/>
      <c r="O131" s="131"/>
      <c r="P131" s="131"/>
      <c r="Q131" s="131"/>
      <c r="R131" s="131"/>
      <c r="S131" s="131"/>
      <c r="T131" s="131"/>
    </row>
    <row r="132" spans="2:21" x14ac:dyDescent="0.25">
      <c r="B132" s="24" t="s">
        <v>89</v>
      </c>
      <c r="C132" s="138">
        <f>H78</f>
        <v>0</v>
      </c>
      <c r="D132" s="138"/>
      <c r="E132" s="134"/>
      <c r="F132" s="140" t="e">
        <f t="shared" si="18"/>
        <v>#DIV/0!</v>
      </c>
      <c r="G132" s="136"/>
      <c r="I132" s="131"/>
      <c r="J132" s="131"/>
      <c r="K132" s="131"/>
      <c r="L132" s="131"/>
      <c r="M132" s="131"/>
      <c r="N132" s="131"/>
      <c r="O132" s="131"/>
      <c r="P132" s="131"/>
      <c r="Q132" s="131"/>
      <c r="R132" s="131"/>
      <c r="S132" s="131"/>
      <c r="T132" s="131"/>
    </row>
    <row r="133" spans="2:21" x14ac:dyDescent="0.25">
      <c r="B133" s="24" t="s">
        <v>59</v>
      </c>
      <c r="C133" s="138">
        <f>H90+H91+H92</f>
        <v>0</v>
      </c>
      <c r="D133" s="138"/>
      <c r="E133" s="134"/>
      <c r="F133" s="140" t="e">
        <f t="shared" si="18"/>
        <v>#DIV/0!</v>
      </c>
      <c r="G133" s="136"/>
      <c r="I133" s="131"/>
      <c r="J133" s="131"/>
      <c r="K133" s="131"/>
      <c r="L133" s="131"/>
      <c r="M133" s="131"/>
      <c r="N133" s="131"/>
      <c r="O133" s="131"/>
      <c r="P133" s="131"/>
      <c r="Q133" s="131"/>
      <c r="R133" s="131"/>
      <c r="S133" s="131"/>
      <c r="T133" s="131"/>
    </row>
    <row r="134" spans="2:21" x14ac:dyDescent="0.25">
      <c r="B134" s="24" t="s">
        <v>90</v>
      </c>
      <c r="C134" s="138">
        <f>H95+H96</f>
        <v>0</v>
      </c>
      <c r="D134" s="138"/>
      <c r="E134" s="134"/>
      <c r="F134" s="140" t="e">
        <f t="shared" si="18"/>
        <v>#DIV/0!</v>
      </c>
      <c r="G134" s="136"/>
      <c r="I134" s="131"/>
      <c r="J134" s="131"/>
      <c r="K134" s="131"/>
      <c r="L134" s="131"/>
      <c r="M134" s="131"/>
      <c r="N134" s="131"/>
      <c r="O134" s="131"/>
      <c r="P134" s="131"/>
      <c r="Q134" s="131"/>
      <c r="R134" s="131"/>
      <c r="S134" s="131"/>
      <c r="T134" s="131"/>
    </row>
    <row r="135" spans="2:21" x14ac:dyDescent="0.25">
      <c r="B135" s="24" t="s">
        <v>91</v>
      </c>
      <c r="C135" s="138">
        <f>H97+H98</f>
        <v>0</v>
      </c>
      <c r="D135" s="138"/>
      <c r="E135" s="134"/>
      <c r="F135" s="140" t="e">
        <f t="shared" si="18"/>
        <v>#DIV/0!</v>
      </c>
      <c r="G135" s="136"/>
      <c r="I135" s="131"/>
      <c r="J135" s="131"/>
      <c r="K135" s="131"/>
      <c r="L135" s="131"/>
      <c r="M135" s="131"/>
      <c r="N135" s="131"/>
      <c r="O135" s="131"/>
      <c r="P135" s="131"/>
      <c r="Q135" s="131"/>
      <c r="R135" s="131"/>
      <c r="S135" s="131"/>
      <c r="T135" s="131"/>
    </row>
    <row r="136" spans="2:21" x14ac:dyDescent="0.25">
      <c r="B136" s="24" t="s">
        <v>63</v>
      </c>
      <c r="C136" s="138">
        <f>H99+H100+H101+H102</f>
        <v>0</v>
      </c>
      <c r="D136" s="138"/>
      <c r="E136" s="134"/>
      <c r="F136" s="140" t="e">
        <f t="shared" si="18"/>
        <v>#DIV/0!</v>
      </c>
      <c r="G136" s="136"/>
      <c r="I136" s="131"/>
      <c r="J136" s="131"/>
      <c r="K136" s="131"/>
      <c r="L136" s="131"/>
      <c r="M136" s="131"/>
      <c r="N136" s="131"/>
      <c r="O136" s="131"/>
      <c r="P136" s="131"/>
      <c r="Q136" s="131"/>
      <c r="R136" s="131"/>
      <c r="S136" s="131"/>
      <c r="T136" s="131"/>
    </row>
    <row r="137" spans="2:21" x14ac:dyDescent="0.25">
      <c r="B137" s="24" t="s">
        <v>68</v>
      </c>
      <c r="C137" s="138">
        <f>H105</f>
        <v>0</v>
      </c>
      <c r="D137" s="138"/>
      <c r="E137" s="134"/>
      <c r="F137" s="140" t="e">
        <f t="shared" si="18"/>
        <v>#DIV/0!</v>
      </c>
      <c r="G137" s="136"/>
      <c r="I137" s="131"/>
      <c r="J137" s="131"/>
      <c r="K137" s="131"/>
      <c r="L137" s="131"/>
      <c r="M137" s="131"/>
      <c r="N137" s="131"/>
      <c r="O137" s="131"/>
      <c r="P137" s="131"/>
      <c r="Q137" s="131"/>
      <c r="R137" s="131"/>
      <c r="S137" s="131"/>
      <c r="T137" s="131"/>
    </row>
    <row r="138" spans="2:21" x14ac:dyDescent="0.25">
      <c r="B138" s="24" t="s">
        <v>92</v>
      </c>
      <c r="C138" s="141">
        <f>+H103+H104</f>
        <v>0</v>
      </c>
      <c r="D138" s="141"/>
      <c r="E138" s="141">
        <f>SUM(C131:C138)</f>
        <v>0</v>
      </c>
      <c r="F138" s="142" t="e">
        <f t="shared" si="18"/>
        <v>#DIV/0!</v>
      </c>
      <c r="G138" s="143" t="e">
        <f>SUM(F131:F138)</f>
        <v>#DIV/0!</v>
      </c>
      <c r="I138" s="131"/>
      <c r="J138" s="131"/>
      <c r="K138" s="131"/>
      <c r="L138" s="131"/>
      <c r="M138" s="131"/>
      <c r="N138" s="131"/>
      <c r="O138" s="131"/>
      <c r="P138" s="131"/>
      <c r="Q138" s="131"/>
      <c r="R138" s="131"/>
      <c r="S138" s="131"/>
      <c r="T138" s="131"/>
    </row>
    <row r="139" spans="2:21" ht="19.5" thickBot="1" x14ac:dyDescent="0.35">
      <c r="B139" s="32"/>
      <c r="C139" s="144"/>
      <c r="D139" s="144"/>
      <c r="E139" s="145">
        <f>E128-E138</f>
        <v>0</v>
      </c>
      <c r="F139" s="146"/>
      <c r="G139" s="147" t="e">
        <f>G128-G138</f>
        <v>#DIV/0!</v>
      </c>
      <c r="I139" s="131"/>
      <c r="J139" s="131"/>
      <c r="K139" s="131"/>
      <c r="L139" s="131"/>
      <c r="M139" s="131"/>
      <c r="N139" s="131"/>
      <c r="O139" s="131"/>
      <c r="P139" s="131"/>
      <c r="Q139" s="131"/>
      <c r="R139" s="131"/>
      <c r="S139" s="131"/>
      <c r="T139" s="131"/>
    </row>
    <row r="140" spans="2:21" x14ac:dyDescent="0.25">
      <c r="J140" s="131"/>
      <c r="K140" s="131"/>
      <c r="L140" s="131"/>
      <c r="M140" s="131"/>
      <c r="N140" s="131"/>
      <c r="O140" s="131"/>
      <c r="P140" s="131"/>
      <c r="Q140" s="131"/>
      <c r="R140" s="131"/>
      <c r="S140" s="131"/>
      <c r="T140" s="131"/>
      <c r="U140" s="131"/>
    </row>
    <row r="141" spans="2:21" x14ac:dyDescent="0.25">
      <c r="B141" s="150" t="s">
        <v>93</v>
      </c>
      <c r="J141" s="131"/>
      <c r="K141" s="131"/>
      <c r="L141" s="131"/>
      <c r="M141" s="131"/>
      <c r="N141" s="131"/>
      <c r="O141" s="131"/>
      <c r="P141" s="131"/>
      <c r="Q141" s="131"/>
      <c r="R141" s="131"/>
      <c r="S141" s="131"/>
      <c r="T141" s="131"/>
      <c r="U141" s="131"/>
    </row>
    <row r="142" spans="2:21" x14ac:dyDescent="0.25">
      <c r="B142" s="151" t="s">
        <v>94</v>
      </c>
      <c r="H142" s="148">
        <f t="shared" ref="H142:H171" si="19">SUM(J142:U142)</f>
        <v>0</v>
      </c>
      <c r="J142" s="131"/>
      <c r="K142" s="131"/>
      <c r="L142" s="131"/>
      <c r="M142" s="131"/>
      <c r="N142" s="131"/>
      <c r="O142" s="131"/>
      <c r="P142" s="131"/>
      <c r="Q142" s="131"/>
      <c r="R142" s="131"/>
      <c r="S142" s="131"/>
      <c r="T142" s="131"/>
      <c r="U142" s="131"/>
    </row>
    <row r="143" spans="2:21" x14ac:dyDescent="0.25">
      <c r="B143" s="151" t="s">
        <v>95</v>
      </c>
      <c r="H143" s="148">
        <f t="shared" si="19"/>
        <v>0</v>
      </c>
    </row>
    <row r="144" spans="2:21" x14ac:dyDescent="0.25">
      <c r="B144" s="151" t="s">
        <v>96</v>
      </c>
      <c r="H144" s="148">
        <f t="shared" si="19"/>
        <v>0</v>
      </c>
    </row>
    <row r="145" spans="2:8" x14ac:dyDescent="0.25">
      <c r="B145" s="151" t="s">
        <v>97</v>
      </c>
      <c r="H145" s="148">
        <f t="shared" si="19"/>
        <v>0</v>
      </c>
    </row>
    <row r="146" spans="2:8" x14ac:dyDescent="0.25">
      <c r="B146" s="151" t="s">
        <v>98</v>
      </c>
      <c r="H146" s="148">
        <f t="shared" si="19"/>
        <v>0</v>
      </c>
    </row>
    <row r="147" spans="2:8" x14ac:dyDescent="0.25">
      <c r="B147" s="151" t="s">
        <v>99</v>
      </c>
      <c r="H147" s="148">
        <f t="shared" si="19"/>
        <v>0</v>
      </c>
    </row>
    <row r="148" spans="2:8" x14ac:dyDescent="0.25">
      <c r="B148" s="151" t="s">
        <v>100</v>
      </c>
      <c r="H148" s="148">
        <f t="shared" si="19"/>
        <v>0</v>
      </c>
    </row>
    <row r="149" spans="2:8" x14ac:dyDescent="0.25">
      <c r="B149" s="151" t="s">
        <v>101</v>
      </c>
      <c r="H149" s="148">
        <f t="shared" si="19"/>
        <v>0</v>
      </c>
    </row>
    <row r="150" spans="2:8" x14ac:dyDescent="0.25">
      <c r="B150" s="151" t="s">
        <v>102</v>
      </c>
      <c r="H150" s="148">
        <f t="shared" si="19"/>
        <v>0</v>
      </c>
    </row>
    <row r="151" spans="2:8" x14ac:dyDescent="0.25">
      <c r="B151" s="151" t="s">
        <v>103</v>
      </c>
      <c r="H151" s="148">
        <f t="shared" si="19"/>
        <v>0</v>
      </c>
    </row>
    <row r="152" spans="2:8" x14ac:dyDescent="0.25">
      <c r="B152" s="151" t="s">
        <v>104</v>
      </c>
      <c r="H152" s="148">
        <f t="shared" si="19"/>
        <v>0</v>
      </c>
    </row>
    <row r="153" spans="2:8" x14ac:dyDescent="0.25">
      <c r="B153" s="151" t="s">
        <v>105</v>
      </c>
      <c r="H153" s="148">
        <f t="shared" si="19"/>
        <v>0</v>
      </c>
    </row>
    <row r="154" spans="2:8" x14ac:dyDescent="0.25">
      <c r="B154" s="151" t="s">
        <v>106</v>
      </c>
      <c r="H154" s="148">
        <f t="shared" si="19"/>
        <v>0</v>
      </c>
    </row>
    <row r="155" spans="2:8" x14ac:dyDescent="0.25">
      <c r="B155" s="151" t="s">
        <v>107</v>
      </c>
      <c r="H155" s="148">
        <f t="shared" si="19"/>
        <v>0</v>
      </c>
    </row>
    <row r="156" spans="2:8" x14ac:dyDescent="0.25">
      <c r="B156" s="151" t="s">
        <v>108</v>
      </c>
      <c r="H156" s="148">
        <f t="shared" si="19"/>
        <v>0</v>
      </c>
    </row>
    <row r="157" spans="2:8" x14ac:dyDescent="0.25">
      <c r="B157" t="s">
        <v>109</v>
      </c>
      <c r="H157" s="148">
        <f t="shared" si="19"/>
        <v>0</v>
      </c>
    </row>
    <row r="158" spans="2:8" x14ac:dyDescent="0.25">
      <c r="B158" t="s">
        <v>110</v>
      </c>
      <c r="H158" s="148">
        <f t="shared" si="19"/>
        <v>0</v>
      </c>
    </row>
    <row r="159" spans="2:8" x14ac:dyDescent="0.25">
      <c r="B159" t="s">
        <v>111</v>
      </c>
      <c r="H159" s="148">
        <f t="shared" si="19"/>
        <v>0</v>
      </c>
    </row>
    <row r="160" spans="2:8" x14ac:dyDescent="0.25">
      <c r="B160" t="s">
        <v>112</v>
      </c>
      <c r="H160" s="148">
        <f t="shared" si="19"/>
        <v>0</v>
      </c>
    </row>
    <row r="161" spans="2:21" x14ac:dyDescent="0.25">
      <c r="B161" t="s">
        <v>113</v>
      </c>
      <c r="H161" s="148">
        <f t="shared" si="19"/>
        <v>0</v>
      </c>
    </row>
    <row r="162" spans="2:21" x14ac:dyDescent="0.25">
      <c r="B162" s="152" t="s">
        <v>114</v>
      </c>
      <c r="H162" s="148">
        <f t="shared" si="19"/>
        <v>0</v>
      </c>
    </row>
    <row r="163" spans="2:21" x14ac:dyDescent="0.25">
      <c r="B163" s="153" t="s">
        <v>115</v>
      </c>
      <c r="H163" s="148">
        <f t="shared" si="19"/>
        <v>0</v>
      </c>
    </row>
    <row r="164" spans="2:21" x14ac:dyDescent="0.25">
      <c r="B164" s="153" t="s">
        <v>116</v>
      </c>
      <c r="H164" s="148">
        <f t="shared" si="19"/>
        <v>0</v>
      </c>
    </row>
    <row r="165" spans="2:21" x14ac:dyDescent="0.25">
      <c r="B165" s="153" t="s">
        <v>117</v>
      </c>
      <c r="H165" s="148">
        <f t="shared" si="19"/>
        <v>0</v>
      </c>
    </row>
    <row r="166" spans="2:21" x14ac:dyDescent="0.25">
      <c r="B166" s="153" t="s">
        <v>90</v>
      </c>
      <c r="H166" s="148">
        <f t="shared" si="19"/>
        <v>0</v>
      </c>
    </row>
    <row r="167" spans="2:21" x14ac:dyDescent="0.25">
      <c r="B167" s="153" t="s">
        <v>118</v>
      </c>
      <c r="H167" s="148">
        <f t="shared" si="19"/>
        <v>0</v>
      </c>
    </row>
    <row r="168" spans="2:21" x14ac:dyDescent="0.25">
      <c r="B168" s="153" t="s">
        <v>119</v>
      </c>
      <c r="H168" s="148">
        <f t="shared" si="19"/>
        <v>0</v>
      </c>
    </row>
    <row r="169" spans="2:21" x14ac:dyDescent="0.25">
      <c r="B169" s="153" t="s">
        <v>120</v>
      </c>
      <c r="H169" s="148">
        <f t="shared" si="19"/>
        <v>0</v>
      </c>
    </row>
    <row r="170" spans="2:21" x14ac:dyDescent="0.25">
      <c r="B170" s="153" t="s">
        <v>121</v>
      </c>
      <c r="H170" s="148">
        <f t="shared" si="19"/>
        <v>0</v>
      </c>
    </row>
    <row r="171" spans="2:21" x14ac:dyDescent="0.25">
      <c r="B171" s="153" t="s">
        <v>122</v>
      </c>
      <c r="H171" s="1">
        <f t="shared" si="19"/>
        <v>0</v>
      </c>
    </row>
    <row r="173" spans="2:21" x14ac:dyDescent="0.25">
      <c r="B173" s="154" t="s">
        <v>2</v>
      </c>
      <c r="C173" s="155"/>
      <c r="D173" s="155"/>
      <c r="E173" s="155"/>
      <c r="F173" s="155"/>
      <c r="G173" s="155"/>
      <c r="H173" s="155"/>
      <c r="I173" s="155"/>
      <c r="J173" s="156">
        <f t="shared" ref="J173:U173" si="20">SUM(J142:J171)</f>
        <v>0</v>
      </c>
      <c r="K173" s="156">
        <f t="shared" si="20"/>
        <v>0</v>
      </c>
      <c r="L173" s="156">
        <f t="shared" si="20"/>
        <v>0</v>
      </c>
      <c r="M173" s="156">
        <f t="shared" si="20"/>
        <v>0</v>
      </c>
      <c r="N173" s="156">
        <f t="shared" si="20"/>
        <v>0</v>
      </c>
      <c r="O173" s="156">
        <f t="shared" si="20"/>
        <v>0</v>
      </c>
      <c r="P173" s="156">
        <f t="shared" si="20"/>
        <v>0</v>
      </c>
      <c r="Q173" s="156">
        <f t="shared" si="20"/>
        <v>0</v>
      </c>
      <c r="R173" s="156">
        <f t="shared" si="20"/>
        <v>0</v>
      </c>
      <c r="S173" s="156">
        <f t="shared" si="20"/>
        <v>0</v>
      </c>
      <c r="T173" s="156">
        <f t="shared" si="20"/>
        <v>0</v>
      </c>
      <c r="U173" s="156">
        <f t="shared" si="20"/>
        <v>0</v>
      </c>
    </row>
  </sheetData>
  <sheetProtection selectLockedCells="1"/>
  <protectedRanges>
    <protectedRange sqref="J4:U13" name="Production"/>
    <protectedRange sqref="C20:C41" name="Grade mix_1"/>
    <protectedRange sqref="F20:G41" name="JAS converions_1_1"/>
  </protectedRanges>
  <mergeCells count="6">
    <mergeCell ref="I7:I9"/>
    <mergeCell ref="I4:I6"/>
    <mergeCell ref="J113:U113"/>
    <mergeCell ref="F126:G126"/>
    <mergeCell ref="I13:I16"/>
    <mergeCell ref="I10:I12"/>
  </mergeCells>
  <dataValidations count="1">
    <dataValidation type="whole" errorStyle="warning" allowBlank="1" showInputMessage="1" showErrorMessage="1" errorTitle="High number of skids" error="Are you sure you are going to build this many skids?" sqref="J118:U122" xr:uid="{6B40031E-62B8-4DB3-AE17-530926594550}">
      <formula1>0</formula1>
      <formula2>10</formula2>
    </dataValidation>
  </dataValidations>
  <pageMargins left="0.70866141732283472" right="0.70866141732283472" top="0.74803149606299213" bottom="0.74803149606299213" header="0.31496062992125984" footer="0.31496062992125984"/>
  <pageSetup paperSize="8" scale="36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3A272-2F9A-43F2-9058-DA69CD4169FE}">
  <sheetPr codeName="Sheet16">
    <tabColor rgb="FFFFC000"/>
    <pageSetUpPr fitToPage="1"/>
  </sheetPr>
  <dimension ref="A1:X142"/>
  <sheetViews>
    <sheetView zoomScale="80" zoomScaleNormal="80" workbookViewId="0">
      <selection activeCell="I2" sqref="I2"/>
    </sheetView>
  </sheetViews>
  <sheetFormatPr defaultColWidth="9" defaultRowHeight="15" x14ac:dyDescent="0.25"/>
  <cols>
    <col min="1" max="1" width="2.28515625" style="1" customWidth="1"/>
    <col min="2" max="2" width="44" style="1" customWidth="1"/>
    <col min="3" max="3" width="13.85546875" style="1" customWidth="1"/>
    <col min="4" max="4" width="16.140625" style="1" customWidth="1"/>
    <col min="5" max="5" width="17" style="1" customWidth="1"/>
    <col min="6" max="6" width="12.7109375" style="1" customWidth="1"/>
    <col min="7" max="7" width="13.28515625" style="1" bestFit="1" customWidth="1"/>
    <col min="8" max="8" width="21.28515625" style="1" customWidth="1"/>
    <col min="9" max="9" width="10.140625" style="1" customWidth="1"/>
    <col min="10" max="21" width="15.7109375" style="1" bestFit="1" customWidth="1"/>
    <col min="22" max="22" width="5" style="1" customWidth="1"/>
    <col min="23" max="23" width="15.28515625" style="4" bestFit="1" customWidth="1"/>
    <col min="24" max="24" width="17.5703125" style="1" customWidth="1"/>
    <col min="25" max="16384" width="9" style="1"/>
  </cols>
  <sheetData>
    <row r="1" spans="2:24" ht="15.75" thickBot="1" x14ac:dyDescent="0.3">
      <c r="C1" s="2">
        <v>2025</v>
      </c>
      <c r="D1" s="3" t="s">
        <v>0</v>
      </c>
    </row>
    <row r="2" spans="2:24" ht="27" thickBot="1" x14ac:dyDescent="0.45">
      <c r="B2" s="5" t="s">
        <v>265</v>
      </c>
      <c r="G2" s="305"/>
      <c r="H2" s="43" t="s">
        <v>209</v>
      </c>
      <c r="I2" s="404"/>
      <c r="W2" s="6"/>
      <c r="X2" s="7"/>
    </row>
    <row r="3" spans="2:24" ht="15.75" x14ac:dyDescent="0.25">
      <c r="B3" s="8" t="s">
        <v>1</v>
      </c>
      <c r="C3" s="9"/>
      <c r="D3" s="9"/>
      <c r="E3" s="9"/>
      <c r="F3" s="9"/>
      <c r="G3" s="9" t="s">
        <v>241</v>
      </c>
      <c r="H3" s="10"/>
      <c r="I3" s="372">
        <f>IF(NOT(ISBLANK(J5)), J5, IF(NOT(ISBLANK(J8)), J8, IF(NOT(ISBLANK(J11)), J11, 0)))+IF(NOT(ISBLANK(K5)), K5, IF(NOT(ISBLANK(K8)), K8, IF(NOT(ISBLANK(K11)), K11, 0)))+IF(NOT(ISBLANK(L5)), L5, IF(NOT(ISBLANK(L8)), L8, IF(NOT(ISBLANK(L11)), L11, 0)))+IF(NOT(ISBLANK(M5)), M5, IF(NOT(ISBLANK(M8)), M8, IF(NOT(ISBLANK(M11)), M11, 0)))+IF(NOT(ISBLANK(N5)), N5, IF(NOT(ISBLANK(N8)), N8, IF(NOT(ISBLANK(N11)), N11, 0)))+IF(NOT(ISBLANK(O5)), O5, IF(NOT(ISBLANK(O8)), O8, IF(NOT(ISBLANK(O11)), O11, 0)))+IF(NOT(ISBLANK(P5)), P5, IF(NOT(ISBLANK(P8)), P8, IF(NOT(ISBLANK(P11)), P11, 0)))+IF(NOT(ISBLANK(Q5)), Q5, IF(NOT(ISBLANK(Q8)), Q8, IF(NOT(ISBLANK(Q11)), Q11, 0)))+IF(NOT(ISBLANK(R5)), R5, IF(NOT(ISBLANK(R8)), R8, IF(NOT(ISBLANK(R11)), R11, 0)))+IF(NOT(ISBLANK(S5)), S5, IF(NOT(ISBLANK(S8)), S8, IF(NOT(ISBLANK(S11)), S11, 0)))+IF(NOT(ISBLANK(T5)), T5, IF(NOT(ISBLANK(T8)), T8, IF(NOT(ISBLANK(T11)), T11, 0)))+IF(NOT(ISBLANK(U5)), U5, IF(NOT(ISBLANK(U8)), U8, IF(NOT(ISBLANK(U11)), U11, 0)))</f>
        <v>0</v>
      </c>
      <c r="J3" s="178">
        <v>45658</v>
      </c>
      <c r="K3" s="178">
        <v>45689</v>
      </c>
      <c r="L3" s="178">
        <v>45717</v>
      </c>
      <c r="M3" s="178">
        <v>45748</v>
      </c>
      <c r="N3" s="178">
        <v>45778</v>
      </c>
      <c r="O3" s="178">
        <v>45809</v>
      </c>
      <c r="P3" s="178">
        <v>45839</v>
      </c>
      <c r="Q3" s="178">
        <v>45870</v>
      </c>
      <c r="R3" s="178">
        <v>45901</v>
      </c>
      <c r="S3" s="178">
        <v>45931</v>
      </c>
      <c r="T3" s="178">
        <v>45962</v>
      </c>
      <c r="U3" s="178">
        <v>45992</v>
      </c>
      <c r="W3" s="6" t="s">
        <v>2</v>
      </c>
      <c r="X3" s="7"/>
    </row>
    <row r="4" spans="2:24" x14ac:dyDescent="0.25">
      <c r="B4" s="11"/>
      <c r="G4" s="12" t="s">
        <v>7</v>
      </c>
      <c r="H4" s="301" t="s">
        <v>4</v>
      </c>
      <c r="I4" s="452">
        <f>IFERROR((J4*J5+K4*K5+L4*L5+M4*M5+N4*N5+O4*O5+P4*P5+Q4*Q5+R4*R5+S4*S5+T4*T5+U4*U5)/$W$16,0)</f>
        <v>0</v>
      </c>
      <c r="J4" s="352"/>
      <c r="K4" s="352"/>
      <c r="L4" s="352"/>
      <c r="M4" s="352"/>
      <c r="N4" s="353"/>
      <c r="O4" s="353"/>
      <c r="P4" s="353"/>
      <c r="Q4" s="353"/>
      <c r="R4" s="353"/>
      <c r="S4" s="353"/>
      <c r="T4" s="353"/>
      <c r="U4" s="354"/>
      <c r="W4" s="6"/>
      <c r="X4" s="7"/>
    </row>
    <row r="5" spans="2:24" x14ac:dyDescent="0.25">
      <c r="B5" s="11"/>
      <c r="G5" s="16"/>
      <c r="H5" s="1" t="s">
        <v>5</v>
      </c>
      <c r="I5" s="453"/>
      <c r="J5" s="352"/>
      <c r="K5" s="352"/>
      <c r="L5" s="353"/>
      <c r="M5" s="353"/>
      <c r="N5" s="353"/>
      <c r="O5" s="353"/>
      <c r="P5" s="353"/>
      <c r="Q5" s="353"/>
      <c r="R5" s="353"/>
      <c r="S5" s="353"/>
      <c r="T5" s="353"/>
      <c r="U5" s="354"/>
      <c r="W5" s="6"/>
      <c r="X5" s="7"/>
    </row>
    <row r="6" spans="2:24" ht="15.75" thickBot="1" x14ac:dyDescent="0.3">
      <c r="B6" s="11"/>
      <c r="G6" s="17"/>
      <c r="H6" s="302" t="s">
        <v>6</v>
      </c>
      <c r="I6" s="454"/>
      <c r="J6" s="355"/>
      <c r="K6" s="355"/>
      <c r="L6" s="356"/>
      <c r="M6" s="356"/>
      <c r="N6" s="356"/>
      <c r="O6" s="356"/>
      <c r="P6" s="356"/>
      <c r="Q6" s="356"/>
      <c r="R6" s="356"/>
      <c r="S6" s="356"/>
      <c r="T6" s="356"/>
      <c r="U6" s="357"/>
      <c r="W6" s="6"/>
      <c r="X6" s="7"/>
    </row>
    <row r="7" spans="2:24" x14ac:dyDescent="0.25">
      <c r="B7" s="11"/>
      <c r="G7" s="12" t="s">
        <v>3</v>
      </c>
      <c r="H7" s="301" t="s">
        <v>4</v>
      </c>
      <c r="I7" s="452">
        <f>IFERROR((J7*J8+K7*K8+L7*L8+M7*M8+N7*N8+O7*O8+P7*P8+Q7*Q8+R7*R8+S7*S8+T7*T8+U7*U8)/$W$16,0)</f>
        <v>0</v>
      </c>
      <c r="J7" s="358"/>
      <c r="K7" s="358"/>
      <c r="L7" s="358"/>
      <c r="M7" s="358"/>
      <c r="N7" s="358"/>
      <c r="O7" s="358"/>
      <c r="P7" s="358"/>
      <c r="Q7" s="358"/>
      <c r="R7" s="358"/>
      <c r="S7" s="358"/>
      <c r="T7" s="358"/>
      <c r="U7" s="359"/>
      <c r="W7" s="6"/>
      <c r="X7" s="7"/>
    </row>
    <row r="8" spans="2:24" x14ac:dyDescent="0.25">
      <c r="B8" s="11"/>
      <c r="G8" s="16"/>
      <c r="H8" s="1" t="s">
        <v>5</v>
      </c>
      <c r="I8" s="453"/>
      <c r="J8" s="353"/>
      <c r="K8" s="353"/>
      <c r="L8" s="353"/>
      <c r="M8" s="353"/>
      <c r="N8" s="353"/>
      <c r="O8" s="353"/>
      <c r="P8" s="353"/>
      <c r="Q8" s="353"/>
      <c r="R8" s="353"/>
      <c r="S8" s="353"/>
      <c r="T8" s="353"/>
      <c r="U8" s="354"/>
      <c r="W8" s="6"/>
      <c r="X8" s="7"/>
    </row>
    <row r="9" spans="2:24" ht="15.75" thickBot="1" x14ac:dyDescent="0.3">
      <c r="B9" s="11"/>
      <c r="G9" s="17"/>
      <c r="H9" s="302" t="s">
        <v>6</v>
      </c>
      <c r="I9" s="454"/>
      <c r="J9" s="356"/>
      <c r="K9" s="356"/>
      <c r="L9" s="356"/>
      <c r="M9" s="356"/>
      <c r="N9" s="356"/>
      <c r="O9" s="356"/>
      <c r="P9" s="356"/>
      <c r="Q9" s="356"/>
      <c r="R9" s="356"/>
      <c r="S9" s="356"/>
      <c r="T9" s="356"/>
      <c r="U9" s="357"/>
      <c r="W9" s="6"/>
      <c r="X9" s="7"/>
    </row>
    <row r="10" spans="2:24" x14ac:dyDescent="0.25">
      <c r="B10" s="11"/>
      <c r="G10" s="12" t="s">
        <v>8</v>
      </c>
      <c r="H10" s="301" t="s">
        <v>4</v>
      </c>
      <c r="I10" s="452">
        <f>IFERROR((J10*J11+K10*K11+L10*L11+M10*M11+N10*N11+O10*O11+P10*P11+Q10*Q11+R10*R11+S10*S11+T10*T11+U10*U11)/$W$16,0)</f>
        <v>0</v>
      </c>
      <c r="J10" s="353"/>
      <c r="K10" s="353"/>
      <c r="L10" s="353"/>
      <c r="M10" s="353"/>
      <c r="N10" s="353"/>
      <c r="O10" s="353"/>
      <c r="P10" s="353"/>
      <c r="Q10" s="353"/>
      <c r="R10" s="353"/>
      <c r="S10" s="353"/>
      <c r="T10" s="353"/>
      <c r="U10" s="354"/>
      <c r="W10" s="6"/>
      <c r="X10" s="7"/>
    </row>
    <row r="11" spans="2:24" x14ac:dyDescent="0.25">
      <c r="B11" s="11"/>
      <c r="G11" s="16"/>
      <c r="H11" s="1" t="s">
        <v>5</v>
      </c>
      <c r="I11" s="453"/>
      <c r="J11" s="353"/>
      <c r="K11" s="353"/>
      <c r="L11" s="353"/>
      <c r="M11" s="353"/>
      <c r="N11" s="353"/>
      <c r="O11" s="353"/>
      <c r="P11" s="353"/>
      <c r="Q11" s="353"/>
      <c r="R11" s="353"/>
      <c r="S11" s="353"/>
      <c r="T11" s="353"/>
      <c r="U11" s="354"/>
      <c r="W11" s="6"/>
      <c r="X11" s="7"/>
    </row>
    <row r="12" spans="2:24" ht="15.75" thickBot="1" x14ac:dyDescent="0.3">
      <c r="B12" s="11"/>
      <c r="G12" s="17"/>
      <c r="H12" s="302" t="s">
        <v>6</v>
      </c>
      <c r="I12" s="454"/>
      <c r="J12" s="356"/>
      <c r="K12" s="356"/>
      <c r="L12" s="356"/>
      <c r="M12" s="356"/>
      <c r="N12" s="356"/>
      <c r="O12" s="356"/>
      <c r="P12" s="356"/>
      <c r="Q12" s="356"/>
      <c r="R12" s="356"/>
      <c r="S12" s="356"/>
      <c r="T12" s="356"/>
      <c r="U12" s="357"/>
      <c r="V12" s="7"/>
      <c r="W12" s="6"/>
      <c r="X12" s="7"/>
    </row>
    <row r="13" spans="2:24" x14ac:dyDescent="0.25">
      <c r="B13" s="11"/>
      <c r="G13" s="12" t="s">
        <v>9</v>
      </c>
      <c r="H13" s="1" t="s">
        <v>6</v>
      </c>
      <c r="I13" s="455">
        <f>SUM(I4:I12)</f>
        <v>0</v>
      </c>
      <c r="J13" s="308">
        <f t="shared" ref="J13:U13" si="0">IFERROR((J4*J5*J6+J7*J8*J9+J10*J11*J12)/J16,0)</f>
        <v>0</v>
      </c>
      <c r="K13" s="23">
        <f t="shared" si="0"/>
        <v>0</v>
      </c>
      <c r="L13" s="23">
        <f t="shared" si="0"/>
        <v>0</v>
      </c>
      <c r="M13" s="23">
        <f t="shared" si="0"/>
        <v>0</v>
      </c>
      <c r="N13" s="23">
        <f t="shared" si="0"/>
        <v>0</v>
      </c>
      <c r="O13" s="23">
        <f t="shared" si="0"/>
        <v>0</v>
      </c>
      <c r="P13" s="23">
        <f t="shared" si="0"/>
        <v>0</v>
      </c>
      <c r="Q13" s="23">
        <f t="shared" si="0"/>
        <v>0</v>
      </c>
      <c r="R13" s="23">
        <f t="shared" si="0"/>
        <v>0</v>
      </c>
      <c r="S13" s="23">
        <f t="shared" si="0"/>
        <v>0</v>
      </c>
      <c r="T13" s="23">
        <f t="shared" si="0"/>
        <v>0</v>
      </c>
      <c r="U13" s="200">
        <f t="shared" si="0"/>
        <v>0</v>
      </c>
      <c r="V13" s="7"/>
      <c r="W13" s="6">
        <f>I3</f>
        <v>0</v>
      </c>
      <c r="X13" s="306" t="s">
        <v>208</v>
      </c>
    </row>
    <row r="14" spans="2:24" x14ac:dyDescent="0.25">
      <c r="B14" s="24"/>
      <c r="C14" s="25"/>
      <c r="D14" s="26"/>
      <c r="G14" s="16" t="s">
        <v>9</v>
      </c>
      <c r="H14" t="s">
        <v>4</v>
      </c>
      <c r="I14" s="456"/>
      <c r="J14" s="309">
        <f t="shared" ref="J14:U14" si="1">J4+J7+J10</f>
        <v>0</v>
      </c>
      <c r="K14" s="27">
        <f t="shared" si="1"/>
        <v>0</v>
      </c>
      <c r="L14" s="27">
        <f t="shared" si="1"/>
        <v>0</v>
      </c>
      <c r="M14" s="27">
        <f t="shared" si="1"/>
        <v>0</v>
      </c>
      <c r="N14" s="27">
        <f t="shared" si="1"/>
        <v>0</v>
      </c>
      <c r="O14" s="27">
        <f t="shared" si="1"/>
        <v>0</v>
      </c>
      <c r="P14" s="27">
        <f t="shared" si="1"/>
        <v>0</v>
      </c>
      <c r="Q14" s="27">
        <f t="shared" si="1"/>
        <v>0</v>
      </c>
      <c r="R14" s="27">
        <f t="shared" si="1"/>
        <v>0</v>
      </c>
      <c r="S14" s="27">
        <f t="shared" si="1"/>
        <v>0</v>
      </c>
      <c r="T14" s="27">
        <f t="shared" si="1"/>
        <v>0</v>
      </c>
      <c r="U14" s="303">
        <f t="shared" si="1"/>
        <v>0</v>
      </c>
      <c r="W14" s="28">
        <f>IF(W16=0,0,W16/W15)</f>
        <v>0</v>
      </c>
      <c r="X14" s="306" t="str">
        <f>H2</f>
        <v>Estimated Tonnes (ha)</v>
      </c>
    </row>
    <row r="15" spans="2:24" x14ac:dyDescent="0.25">
      <c r="B15" s="24"/>
      <c r="C15" s="29"/>
      <c r="D15" s="30"/>
      <c r="G15" s="16" t="s">
        <v>2</v>
      </c>
      <c r="H15" s="1" t="s">
        <v>207</v>
      </c>
      <c r="I15" s="456"/>
      <c r="J15" s="23">
        <f t="shared" ref="J15:U15" si="2">IFERROR(J16/$I$2,0)</f>
        <v>0</v>
      </c>
      <c r="K15" s="23">
        <f t="shared" si="2"/>
        <v>0</v>
      </c>
      <c r="L15" s="23">
        <f t="shared" si="2"/>
        <v>0</v>
      </c>
      <c r="M15" s="23">
        <f t="shared" si="2"/>
        <v>0</v>
      </c>
      <c r="N15" s="23">
        <f t="shared" si="2"/>
        <v>0</v>
      </c>
      <c r="O15" s="23">
        <f t="shared" si="2"/>
        <v>0</v>
      </c>
      <c r="P15" s="23">
        <f t="shared" si="2"/>
        <v>0</v>
      </c>
      <c r="Q15" s="23">
        <f t="shared" si="2"/>
        <v>0</v>
      </c>
      <c r="R15" s="23">
        <f t="shared" si="2"/>
        <v>0</v>
      </c>
      <c r="S15" s="23">
        <f t="shared" si="2"/>
        <v>0</v>
      </c>
      <c r="T15" s="23">
        <f t="shared" si="2"/>
        <v>0</v>
      </c>
      <c r="U15" s="201">
        <f t="shared" si="2"/>
        <v>0</v>
      </c>
      <c r="V15" s="31"/>
      <c r="W15" s="28">
        <f>SUM(J15:U15)</f>
        <v>0</v>
      </c>
      <c r="X15" s="306" t="str">
        <f>H15</f>
        <v>Hectare (ha)</v>
      </c>
    </row>
    <row r="16" spans="2:24" ht="15.75" thickBot="1" x14ac:dyDescent="0.3">
      <c r="B16" s="32"/>
      <c r="C16" s="33"/>
      <c r="D16" s="33"/>
      <c r="E16" s="33"/>
      <c r="F16" s="33"/>
      <c r="G16" s="311" t="s">
        <v>2</v>
      </c>
      <c r="H16" s="33" t="s">
        <v>10</v>
      </c>
      <c r="I16" s="457"/>
      <c r="J16" s="310">
        <f t="shared" ref="J16:U16" si="3">IFERROR((J4*J5+J7*J8+J10*J11),0)</f>
        <v>0</v>
      </c>
      <c r="K16" s="34">
        <f t="shared" si="3"/>
        <v>0</v>
      </c>
      <c r="L16" s="34">
        <f t="shared" si="3"/>
        <v>0</v>
      </c>
      <c r="M16" s="34">
        <f t="shared" si="3"/>
        <v>0</v>
      </c>
      <c r="N16" s="34">
        <f t="shared" si="3"/>
        <v>0</v>
      </c>
      <c r="O16" s="34">
        <f t="shared" si="3"/>
        <v>0</v>
      </c>
      <c r="P16" s="34">
        <f t="shared" si="3"/>
        <v>0</v>
      </c>
      <c r="Q16" s="34">
        <f t="shared" si="3"/>
        <v>0</v>
      </c>
      <c r="R16" s="34">
        <f t="shared" si="3"/>
        <v>0</v>
      </c>
      <c r="S16" s="34">
        <f t="shared" si="3"/>
        <v>0</v>
      </c>
      <c r="T16" s="34">
        <f t="shared" si="3"/>
        <v>0</v>
      </c>
      <c r="U16" s="202">
        <f t="shared" si="3"/>
        <v>0</v>
      </c>
      <c r="W16" s="28">
        <f>SUM(J16:U16)</f>
        <v>0</v>
      </c>
      <c r="X16" s="35" t="str">
        <f>H16</f>
        <v>Tonnes Harvested</v>
      </c>
    </row>
    <row r="17" spans="1:24" ht="25.5" customHeight="1" thickBot="1" x14ac:dyDescent="0.3">
      <c r="C17" s="7"/>
      <c r="D17" s="7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7"/>
      <c r="W17" s="38" t="e">
        <f>W16/W15</f>
        <v>#DIV/0!</v>
      </c>
      <c r="X17" s="307" t="s">
        <v>11</v>
      </c>
    </row>
    <row r="18" spans="1:24" ht="16.5" thickBot="1" x14ac:dyDescent="0.3">
      <c r="B18" s="8" t="s">
        <v>12</v>
      </c>
      <c r="C18" s="9"/>
      <c r="D18" s="9"/>
      <c r="E18" s="9"/>
      <c r="F18" s="9"/>
      <c r="G18" s="9"/>
      <c r="H18" s="9"/>
      <c r="I18" s="9"/>
      <c r="J18" s="39"/>
      <c r="K18" s="9"/>
      <c r="L18" s="9"/>
      <c r="M18" s="9"/>
      <c r="N18" s="9"/>
      <c r="O18" s="9"/>
      <c r="P18" s="9"/>
      <c r="Q18" s="9"/>
      <c r="R18" s="9"/>
      <c r="S18" s="9"/>
      <c r="T18" s="9"/>
      <c r="U18" s="40"/>
    </row>
    <row r="19" spans="1:24" x14ac:dyDescent="0.25">
      <c r="B19" s="41" t="s">
        <v>13</v>
      </c>
      <c r="C19" s="42" t="s">
        <v>14</v>
      </c>
      <c r="D19" s="405" t="s">
        <v>210</v>
      </c>
      <c r="E19" s="42" t="s">
        <v>15</v>
      </c>
      <c r="F19" s="42" t="s">
        <v>211</v>
      </c>
      <c r="G19" s="42" t="s">
        <v>17</v>
      </c>
      <c r="H19" s="42" t="s">
        <v>18</v>
      </c>
      <c r="I19" s="43"/>
      <c r="J19" s="178">
        <v>45658</v>
      </c>
      <c r="K19" s="178">
        <v>45689</v>
      </c>
      <c r="L19" s="178">
        <v>45717</v>
      </c>
      <c r="M19" s="178">
        <v>45748</v>
      </c>
      <c r="N19" s="178">
        <v>45778</v>
      </c>
      <c r="O19" s="178">
        <v>45809</v>
      </c>
      <c r="P19" s="178">
        <v>45839</v>
      </c>
      <c r="Q19" s="178">
        <v>45870</v>
      </c>
      <c r="R19" s="178">
        <v>45901</v>
      </c>
      <c r="S19" s="178">
        <v>45931</v>
      </c>
      <c r="T19" s="178">
        <v>45962</v>
      </c>
      <c r="U19" s="317">
        <v>45992</v>
      </c>
    </row>
    <row r="20" spans="1:24" x14ac:dyDescent="0.25">
      <c r="A20" s="11"/>
      <c r="B20" s="239" t="s">
        <v>20</v>
      </c>
      <c r="C20" s="312">
        <v>0</v>
      </c>
      <c r="D20" s="406">
        <v>1</v>
      </c>
      <c r="E20" s="388" t="s">
        <v>21</v>
      </c>
      <c r="F20" s="389">
        <f t="shared" ref="F20:F27" si="4">IFERROR(H20/G20,0)</f>
        <v>0</v>
      </c>
      <c r="G20" s="315">
        <v>0</v>
      </c>
      <c r="H20" s="45">
        <f t="shared" ref="H20:H41" si="5">SUM(J20:U20)</f>
        <v>0</v>
      </c>
      <c r="I20" s="46"/>
      <c r="J20" s="47">
        <f>J16*$C20*$D20*$G20</f>
        <v>0</v>
      </c>
      <c r="K20" s="47">
        <f t="shared" ref="K20:U20" si="6">K16*$C$20*$D$20*$G$20</f>
        <v>0</v>
      </c>
      <c r="L20" s="47">
        <f t="shared" si="6"/>
        <v>0</v>
      </c>
      <c r="M20" s="47">
        <f t="shared" si="6"/>
        <v>0</v>
      </c>
      <c r="N20" s="47">
        <f t="shared" si="6"/>
        <v>0</v>
      </c>
      <c r="O20" s="47">
        <f t="shared" si="6"/>
        <v>0</v>
      </c>
      <c r="P20" s="47">
        <f t="shared" si="6"/>
        <v>0</v>
      </c>
      <c r="Q20" s="47">
        <f t="shared" si="6"/>
        <v>0</v>
      </c>
      <c r="R20" s="47">
        <f t="shared" si="6"/>
        <v>0</v>
      </c>
      <c r="S20" s="47">
        <f t="shared" si="6"/>
        <v>0</v>
      </c>
      <c r="T20" s="47">
        <f t="shared" si="6"/>
        <v>0</v>
      </c>
      <c r="U20" s="48">
        <f t="shared" si="6"/>
        <v>0</v>
      </c>
      <c r="W20" s="38" t="e">
        <f t="shared" ref="W20:W41" si="7">$W$17*C20</f>
        <v>#DIV/0!</v>
      </c>
      <c r="X20" s="1" t="str">
        <f t="shared" ref="X20:X41" si="8">B20</f>
        <v>P35</v>
      </c>
    </row>
    <row r="21" spans="1:24" x14ac:dyDescent="0.25">
      <c r="A21" s="11"/>
      <c r="B21" s="239" t="s">
        <v>22</v>
      </c>
      <c r="C21" s="312">
        <v>0</v>
      </c>
      <c r="D21" s="406">
        <v>1</v>
      </c>
      <c r="E21" s="388" t="s">
        <v>21</v>
      </c>
      <c r="F21" s="389">
        <f t="shared" si="4"/>
        <v>0</v>
      </c>
      <c r="G21" s="315">
        <v>120</v>
      </c>
      <c r="H21" s="45">
        <f t="shared" si="5"/>
        <v>0</v>
      </c>
      <c r="I21" s="46"/>
      <c r="J21" s="47">
        <f t="shared" ref="J21:U21" si="9">J16*$C$21*$D$21*$G$21</f>
        <v>0</v>
      </c>
      <c r="K21" s="47">
        <f t="shared" si="9"/>
        <v>0</v>
      </c>
      <c r="L21" s="47">
        <f t="shared" si="9"/>
        <v>0</v>
      </c>
      <c r="M21" s="47">
        <f t="shared" si="9"/>
        <v>0</v>
      </c>
      <c r="N21" s="47">
        <f t="shared" si="9"/>
        <v>0</v>
      </c>
      <c r="O21" s="47">
        <f t="shared" si="9"/>
        <v>0</v>
      </c>
      <c r="P21" s="47">
        <f t="shared" si="9"/>
        <v>0</v>
      </c>
      <c r="Q21" s="47">
        <f t="shared" si="9"/>
        <v>0</v>
      </c>
      <c r="R21" s="47">
        <f t="shared" si="9"/>
        <v>0</v>
      </c>
      <c r="S21" s="47">
        <f t="shared" si="9"/>
        <v>0</v>
      </c>
      <c r="T21" s="47">
        <f t="shared" si="9"/>
        <v>0</v>
      </c>
      <c r="U21" s="48">
        <f t="shared" si="9"/>
        <v>0</v>
      </c>
      <c r="W21" s="38" t="e">
        <f t="shared" si="7"/>
        <v>#DIV/0!</v>
      </c>
      <c r="X21" s="1" t="str">
        <f t="shared" si="8"/>
        <v>S30</v>
      </c>
    </row>
    <row r="22" spans="1:24" x14ac:dyDescent="0.25">
      <c r="A22" s="11"/>
      <c r="B22" s="239" t="s">
        <v>25</v>
      </c>
      <c r="C22" s="312">
        <v>0</v>
      </c>
      <c r="D22" s="406">
        <v>1</v>
      </c>
      <c r="E22" s="388" t="s">
        <v>21</v>
      </c>
      <c r="F22" s="389">
        <f t="shared" si="4"/>
        <v>0</v>
      </c>
      <c r="G22" s="315">
        <v>0</v>
      </c>
      <c r="H22" s="45">
        <f t="shared" si="5"/>
        <v>0</v>
      </c>
      <c r="I22" s="46"/>
      <c r="J22" s="47">
        <f t="shared" ref="J22:U22" si="10">J16*$C$22*$D$22*$G$22</f>
        <v>0</v>
      </c>
      <c r="K22" s="47">
        <f t="shared" si="10"/>
        <v>0</v>
      </c>
      <c r="L22" s="47">
        <f t="shared" si="10"/>
        <v>0</v>
      </c>
      <c r="M22" s="47">
        <f t="shared" si="10"/>
        <v>0</v>
      </c>
      <c r="N22" s="47">
        <f t="shared" si="10"/>
        <v>0</v>
      </c>
      <c r="O22" s="47">
        <f t="shared" si="10"/>
        <v>0</v>
      </c>
      <c r="P22" s="47">
        <f t="shared" si="10"/>
        <v>0</v>
      </c>
      <c r="Q22" s="47">
        <f t="shared" si="10"/>
        <v>0</v>
      </c>
      <c r="R22" s="47">
        <f t="shared" si="10"/>
        <v>0</v>
      </c>
      <c r="S22" s="47">
        <f t="shared" si="10"/>
        <v>0</v>
      </c>
      <c r="T22" s="47">
        <f t="shared" si="10"/>
        <v>0</v>
      </c>
      <c r="U22" s="48">
        <f t="shared" si="10"/>
        <v>0</v>
      </c>
      <c r="W22" s="38" t="e">
        <f t="shared" si="7"/>
        <v>#DIV/0!</v>
      </c>
      <c r="X22" s="1" t="str">
        <f t="shared" si="8"/>
        <v>S20</v>
      </c>
    </row>
    <row r="23" spans="1:24" x14ac:dyDescent="0.25">
      <c r="A23" s="11"/>
      <c r="B23" s="242" t="s">
        <v>30</v>
      </c>
      <c r="C23" s="312">
        <v>0.09</v>
      </c>
      <c r="D23" s="406">
        <v>1</v>
      </c>
      <c r="E23" s="388" t="s">
        <v>21</v>
      </c>
      <c r="F23" s="389">
        <f t="shared" si="4"/>
        <v>0</v>
      </c>
      <c r="G23" s="315">
        <v>55</v>
      </c>
      <c r="H23" s="45">
        <f t="shared" si="5"/>
        <v>0</v>
      </c>
      <c r="I23" s="46"/>
      <c r="J23" s="47">
        <f t="shared" ref="J23:U23" si="11">J16*$C$23*$D$23*$G$23</f>
        <v>0</v>
      </c>
      <c r="K23" s="47">
        <f t="shared" si="11"/>
        <v>0</v>
      </c>
      <c r="L23" s="47">
        <f t="shared" si="11"/>
        <v>0</v>
      </c>
      <c r="M23" s="47">
        <f t="shared" si="11"/>
        <v>0</v>
      </c>
      <c r="N23" s="47">
        <f t="shared" si="11"/>
        <v>0</v>
      </c>
      <c r="O23" s="47">
        <f t="shared" si="11"/>
        <v>0</v>
      </c>
      <c r="P23" s="47">
        <f t="shared" si="11"/>
        <v>0</v>
      </c>
      <c r="Q23" s="47">
        <f t="shared" si="11"/>
        <v>0</v>
      </c>
      <c r="R23" s="47">
        <f t="shared" si="11"/>
        <v>0</v>
      </c>
      <c r="S23" s="47">
        <f t="shared" si="11"/>
        <v>0</v>
      </c>
      <c r="T23" s="47">
        <f t="shared" si="11"/>
        <v>0</v>
      </c>
      <c r="U23" s="48">
        <f t="shared" si="11"/>
        <v>0</v>
      </c>
      <c r="W23" s="38" t="e">
        <f t="shared" si="7"/>
        <v>#DIV/0!</v>
      </c>
      <c r="X23" s="1" t="str">
        <f t="shared" si="8"/>
        <v>Domestic Pulp</v>
      </c>
    </row>
    <row r="24" spans="1:24" x14ac:dyDescent="0.25">
      <c r="A24" s="11"/>
      <c r="B24" s="242" t="s">
        <v>222</v>
      </c>
      <c r="C24" s="312">
        <v>0</v>
      </c>
      <c r="D24" s="406">
        <v>1</v>
      </c>
      <c r="E24" s="388" t="s">
        <v>21</v>
      </c>
      <c r="F24" s="389">
        <f t="shared" si="4"/>
        <v>0</v>
      </c>
      <c r="G24" s="315">
        <v>0</v>
      </c>
      <c r="H24" s="45">
        <f t="shared" si="5"/>
        <v>0</v>
      </c>
      <c r="I24" s="46"/>
      <c r="J24" s="47">
        <f t="shared" ref="J24:U24" si="12">J16*$C$24*$D$24*$G$24</f>
        <v>0</v>
      </c>
      <c r="K24" s="47">
        <f t="shared" si="12"/>
        <v>0</v>
      </c>
      <c r="L24" s="47">
        <f t="shared" si="12"/>
        <v>0</v>
      </c>
      <c r="M24" s="47">
        <f t="shared" si="12"/>
        <v>0</v>
      </c>
      <c r="N24" s="47">
        <f t="shared" si="12"/>
        <v>0</v>
      </c>
      <c r="O24" s="47">
        <f t="shared" si="12"/>
        <v>0</v>
      </c>
      <c r="P24" s="47">
        <f t="shared" si="12"/>
        <v>0</v>
      </c>
      <c r="Q24" s="47">
        <f t="shared" si="12"/>
        <v>0</v>
      </c>
      <c r="R24" s="47">
        <f t="shared" si="12"/>
        <v>0</v>
      </c>
      <c r="S24" s="47">
        <f t="shared" si="12"/>
        <v>0</v>
      </c>
      <c r="T24" s="47">
        <f t="shared" si="12"/>
        <v>0</v>
      </c>
      <c r="U24" s="48">
        <f t="shared" si="12"/>
        <v>0</v>
      </c>
      <c r="W24" s="38" t="e">
        <f t="shared" si="7"/>
        <v>#DIV/0!</v>
      </c>
      <c r="X24" s="1" t="str">
        <f t="shared" si="8"/>
        <v>Eucalyptus</v>
      </c>
    </row>
    <row r="25" spans="1:24" x14ac:dyDescent="0.25">
      <c r="A25" s="11"/>
      <c r="B25" s="242" t="s">
        <v>34</v>
      </c>
      <c r="C25" s="312">
        <v>0</v>
      </c>
      <c r="D25" s="406">
        <v>1</v>
      </c>
      <c r="E25" s="388" t="s">
        <v>21</v>
      </c>
      <c r="F25" s="389">
        <f t="shared" si="4"/>
        <v>0</v>
      </c>
      <c r="G25" s="315">
        <v>0</v>
      </c>
      <c r="H25" s="45">
        <f t="shared" si="5"/>
        <v>0</v>
      </c>
      <c r="I25" s="46"/>
      <c r="J25" s="47">
        <f t="shared" ref="J25:U25" si="13">J16*$C$25*$D$25*$G$25</f>
        <v>0</v>
      </c>
      <c r="K25" s="47">
        <f t="shared" si="13"/>
        <v>0</v>
      </c>
      <c r="L25" s="47">
        <f t="shared" si="13"/>
        <v>0</v>
      </c>
      <c r="M25" s="47">
        <f t="shared" si="13"/>
        <v>0</v>
      </c>
      <c r="N25" s="47">
        <f t="shared" si="13"/>
        <v>0</v>
      </c>
      <c r="O25" s="47">
        <f t="shared" si="13"/>
        <v>0</v>
      </c>
      <c r="P25" s="47">
        <f t="shared" si="13"/>
        <v>0</v>
      </c>
      <c r="Q25" s="47">
        <f t="shared" si="13"/>
        <v>0</v>
      </c>
      <c r="R25" s="47">
        <f t="shared" si="13"/>
        <v>0</v>
      </c>
      <c r="S25" s="47">
        <f t="shared" si="13"/>
        <v>0</v>
      </c>
      <c r="T25" s="47">
        <f t="shared" si="13"/>
        <v>0</v>
      </c>
      <c r="U25" s="48">
        <f t="shared" si="13"/>
        <v>0</v>
      </c>
      <c r="W25" s="38" t="e">
        <f t="shared" si="7"/>
        <v>#DIV/0!</v>
      </c>
      <c r="X25" s="1" t="str">
        <f t="shared" si="8"/>
        <v>FW</v>
      </c>
    </row>
    <row r="26" spans="1:24" x14ac:dyDescent="0.25">
      <c r="A26" s="11"/>
      <c r="B26" s="242" t="s">
        <v>37</v>
      </c>
      <c r="C26" s="312">
        <v>0</v>
      </c>
      <c r="D26" s="406">
        <v>1</v>
      </c>
      <c r="E26" s="388" t="s">
        <v>21</v>
      </c>
      <c r="F26" s="389">
        <f t="shared" si="4"/>
        <v>0</v>
      </c>
      <c r="G26" s="315">
        <v>0</v>
      </c>
      <c r="H26" s="45">
        <f t="shared" si="5"/>
        <v>0</v>
      </c>
      <c r="I26" s="46"/>
      <c r="J26" s="47">
        <f t="shared" ref="J26:U26" si="14">J16*$C$26*$D$26*$G$26</f>
        <v>0</v>
      </c>
      <c r="K26" s="47">
        <f t="shared" si="14"/>
        <v>0</v>
      </c>
      <c r="L26" s="47">
        <f t="shared" si="14"/>
        <v>0</v>
      </c>
      <c r="M26" s="47">
        <f t="shared" si="14"/>
        <v>0</v>
      </c>
      <c r="N26" s="47">
        <f t="shared" si="14"/>
        <v>0</v>
      </c>
      <c r="O26" s="47">
        <f t="shared" si="14"/>
        <v>0</v>
      </c>
      <c r="P26" s="47">
        <f t="shared" si="14"/>
        <v>0</v>
      </c>
      <c r="Q26" s="47">
        <f t="shared" si="14"/>
        <v>0</v>
      </c>
      <c r="R26" s="47">
        <f t="shared" si="14"/>
        <v>0</v>
      </c>
      <c r="S26" s="47">
        <f t="shared" si="14"/>
        <v>0</v>
      </c>
      <c r="T26" s="47">
        <f t="shared" si="14"/>
        <v>0</v>
      </c>
      <c r="U26" s="48">
        <f t="shared" si="14"/>
        <v>0</v>
      </c>
      <c r="W26" s="38" t="e">
        <f t="shared" si="7"/>
        <v>#DIV/0!</v>
      </c>
      <c r="X26" t="str">
        <f t="shared" si="8"/>
        <v>Euc Pulp</v>
      </c>
    </row>
    <row r="27" spans="1:24" x14ac:dyDescent="0.25">
      <c r="A27" s="11"/>
      <c r="B27" s="242" t="s">
        <v>174</v>
      </c>
      <c r="C27" s="312">
        <v>0</v>
      </c>
      <c r="D27" s="406">
        <v>1</v>
      </c>
      <c r="E27" s="388" t="s">
        <v>21</v>
      </c>
      <c r="F27" s="389">
        <f t="shared" si="4"/>
        <v>0</v>
      </c>
      <c r="G27" s="315">
        <v>0</v>
      </c>
      <c r="H27" s="45">
        <f t="shared" si="5"/>
        <v>0</v>
      </c>
      <c r="I27" s="46"/>
      <c r="J27" s="47">
        <f t="shared" ref="J27:U27" si="15">J16*$C$27*$D$27*$G$27</f>
        <v>0</v>
      </c>
      <c r="K27" s="47">
        <f t="shared" si="15"/>
        <v>0</v>
      </c>
      <c r="L27" s="47">
        <f t="shared" si="15"/>
        <v>0</v>
      </c>
      <c r="M27" s="47">
        <f t="shared" si="15"/>
        <v>0</v>
      </c>
      <c r="N27" s="47">
        <f t="shared" si="15"/>
        <v>0</v>
      </c>
      <c r="O27" s="47">
        <f t="shared" si="15"/>
        <v>0</v>
      </c>
      <c r="P27" s="47">
        <f t="shared" si="15"/>
        <v>0</v>
      </c>
      <c r="Q27" s="47">
        <f t="shared" si="15"/>
        <v>0</v>
      </c>
      <c r="R27" s="47">
        <f t="shared" si="15"/>
        <v>0</v>
      </c>
      <c r="S27" s="47">
        <f t="shared" si="15"/>
        <v>0</v>
      </c>
      <c r="T27" s="47">
        <f t="shared" si="15"/>
        <v>0</v>
      </c>
      <c r="U27" s="48">
        <f t="shared" si="15"/>
        <v>0</v>
      </c>
      <c r="W27" s="38" t="e">
        <f t="shared" si="7"/>
        <v>#DIV/0!</v>
      </c>
      <c r="X27" s="1" t="str">
        <f t="shared" si="8"/>
        <v>Binwood</v>
      </c>
    </row>
    <row r="28" spans="1:24" x14ac:dyDescent="0.25">
      <c r="A28" s="11"/>
      <c r="B28" s="376" t="s">
        <v>202</v>
      </c>
      <c r="C28" s="378">
        <v>0</v>
      </c>
      <c r="D28" s="407"/>
      <c r="E28" s="390" t="s">
        <v>21</v>
      </c>
      <c r="F28" s="391">
        <f t="shared" ref="F28:F40" si="16">IFERROR(H28/G28/D28,0)</f>
        <v>0</v>
      </c>
      <c r="G28" s="379">
        <v>0</v>
      </c>
      <c r="H28" s="45">
        <f t="shared" si="5"/>
        <v>0</v>
      </c>
      <c r="I28" s="46"/>
      <c r="J28" s="47">
        <f t="shared" ref="J28:U28" si="17">J16*$C$28*$D$28*$G$28</f>
        <v>0</v>
      </c>
      <c r="K28" s="47">
        <f t="shared" si="17"/>
        <v>0</v>
      </c>
      <c r="L28" s="47">
        <f t="shared" si="17"/>
        <v>0</v>
      </c>
      <c r="M28" s="47">
        <f t="shared" si="17"/>
        <v>0</v>
      </c>
      <c r="N28" s="47">
        <f t="shared" si="17"/>
        <v>0</v>
      </c>
      <c r="O28" s="47">
        <f t="shared" si="17"/>
        <v>0</v>
      </c>
      <c r="P28" s="47">
        <f t="shared" si="17"/>
        <v>0</v>
      </c>
      <c r="Q28" s="47">
        <f t="shared" si="17"/>
        <v>0</v>
      </c>
      <c r="R28" s="47">
        <f t="shared" si="17"/>
        <v>0</v>
      </c>
      <c r="S28" s="47">
        <f t="shared" si="17"/>
        <v>0</v>
      </c>
      <c r="T28" s="47">
        <f t="shared" si="17"/>
        <v>0</v>
      </c>
      <c r="U28" s="48">
        <f t="shared" si="17"/>
        <v>0</v>
      </c>
      <c r="W28" s="38" t="e">
        <f t="shared" si="7"/>
        <v>#DIV/0!</v>
      </c>
      <c r="X28" s="1" t="str">
        <f t="shared" si="8"/>
        <v>Spare Grade</v>
      </c>
    </row>
    <row r="29" spans="1:24" x14ac:dyDescent="0.25">
      <c r="A29" s="11"/>
      <c r="B29" s="243" t="s">
        <v>175</v>
      </c>
      <c r="C29" s="313">
        <v>0</v>
      </c>
      <c r="D29" s="408">
        <v>0</v>
      </c>
      <c r="E29" s="388" t="s">
        <v>19</v>
      </c>
      <c r="F29" s="389">
        <f t="shared" si="16"/>
        <v>0</v>
      </c>
      <c r="G29" s="316">
        <v>0</v>
      </c>
      <c r="H29" s="45">
        <f t="shared" si="5"/>
        <v>0</v>
      </c>
      <c r="I29" s="46"/>
      <c r="J29" s="47">
        <f t="shared" ref="J29:U29" si="18">J16*$C$29*$D$29*$G$29</f>
        <v>0</v>
      </c>
      <c r="K29" s="47">
        <f t="shared" si="18"/>
        <v>0</v>
      </c>
      <c r="L29" s="47">
        <f t="shared" si="18"/>
        <v>0</v>
      </c>
      <c r="M29" s="47">
        <f t="shared" si="18"/>
        <v>0</v>
      </c>
      <c r="N29" s="47">
        <f t="shared" si="18"/>
        <v>0</v>
      </c>
      <c r="O29" s="47">
        <f t="shared" si="18"/>
        <v>0</v>
      </c>
      <c r="P29" s="47">
        <f t="shared" si="18"/>
        <v>0</v>
      </c>
      <c r="Q29" s="47">
        <f t="shared" si="18"/>
        <v>0</v>
      </c>
      <c r="R29" s="47">
        <f t="shared" si="18"/>
        <v>0</v>
      </c>
      <c r="S29" s="47">
        <f t="shared" si="18"/>
        <v>0</v>
      </c>
      <c r="T29" s="47">
        <f t="shared" si="18"/>
        <v>0</v>
      </c>
      <c r="U29" s="48">
        <f t="shared" si="18"/>
        <v>0</v>
      </c>
      <c r="W29" s="38" t="e">
        <f t="shared" si="7"/>
        <v>#DIV/0!</v>
      </c>
      <c r="X29" s="1" t="str">
        <f t="shared" si="8"/>
        <v>P40</v>
      </c>
    </row>
    <row r="30" spans="1:24" x14ac:dyDescent="0.25">
      <c r="A30" s="11"/>
      <c r="B30" s="243" t="s">
        <v>176</v>
      </c>
      <c r="C30" s="313">
        <v>0</v>
      </c>
      <c r="D30" s="408">
        <v>0</v>
      </c>
      <c r="E30" s="388" t="s">
        <v>19</v>
      </c>
      <c r="F30" s="389">
        <f t="shared" si="16"/>
        <v>0</v>
      </c>
      <c r="G30" s="316">
        <v>0</v>
      </c>
      <c r="H30" s="45">
        <f t="shared" si="5"/>
        <v>0</v>
      </c>
      <c r="I30" s="46"/>
      <c r="J30" s="47">
        <f t="shared" ref="J30:U30" si="19">J16*$C$30*$D$30*$G$30</f>
        <v>0</v>
      </c>
      <c r="K30" s="47">
        <f t="shared" si="19"/>
        <v>0</v>
      </c>
      <c r="L30" s="47">
        <f t="shared" si="19"/>
        <v>0</v>
      </c>
      <c r="M30" s="47">
        <f t="shared" si="19"/>
        <v>0</v>
      </c>
      <c r="N30" s="47">
        <f t="shared" si="19"/>
        <v>0</v>
      </c>
      <c r="O30" s="47">
        <f t="shared" si="19"/>
        <v>0</v>
      </c>
      <c r="P30" s="47">
        <f t="shared" si="19"/>
        <v>0</v>
      </c>
      <c r="Q30" s="47">
        <f t="shared" si="19"/>
        <v>0</v>
      </c>
      <c r="R30" s="47">
        <f t="shared" si="19"/>
        <v>0</v>
      </c>
      <c r="S30" s="47">
        <f t="shared" si="19"/>
        <v>0</v>
      </c>
      <c r="T30" s="47">
        <f t="shared" si="19"/>
        <v>0</v>
      </c>
      <c r="U30" s="48">
        <f t="shared" si="19"/>
        <v>0</v>
      </c>
      <c r="W30" s="38" t="e">
        <f t="shared" si="7"/>
        <v>#DIV/0!</v>
      </c>
      <c r="X30" s="1" t="str">
        <f t="shared" si="8"/>
        <v>P30</v>
      </c>
    </row>
    <row r="31" spans="1:24" x14ac:dyDescent="0.25">
      <c r="A31" s="11"/>
      <c r="B31" s="246" t="s">
        <v>23</v>
      </c>
      <c r="C31" s="313">
        <v>0.1</v>
      </c>
      <c r="D31" s="408">
        <v>0.99</v>
      </c>
      <c r="E31" s="392" t="s">
        <v>19</v>
      </c>
      <c r="F31" s="389">
        <f t="shared" si="16"/>
        <v>0</v>
      </c>
      <c r="G31" s="316">
        <v>125</v>
      </c>
      <c r="H31" s="45">
        <f t="shared" si="5"/>
        <v>0</v>
      </c>
      <c r="I31" s="46"/>
      <c r="J31" s="47">
        <f t="shared" ref="J31:U31" si="20">J16*$C$31*$D$31*$G$31</f>
        <v>0</v>
      </c>
      <c r="K31" s="47">
        <f t="shared" si="20"/>
        <v>0</v>
      </c>
      <c r="L31" s="47">
        <f t="shared" si="20"/>
        <v>0</v>
      </c>
      <c r="M31" s="47">
        <f t="shared" si="20"/>
        <v>0</v>
      </c>
      <c r="N31" s="47">
        <f t="shared" si="20"/>
        <v>0</v>
      </c>
      <c r="O31" s="47">
        <f t="shared" si="20"/>
        <v>0</v>
      </c>
      <c r="P31" s="47">
        <f t="shared" si="20"/>
        <v>0</v>
      </c>
      <c r="Q31" s="47">
        <f t="shared" si="20"/>
        <v>0</v>
      </c>
      <c r="R31" s="47">
        <f t="shared" si="20"/>
        <v>0</v>
      </c>
      <c r="S31" s="47">
        <f t="shared" si="20"/>
        <v>0</v>
      </c>
      <c r="T31" s="47">
        <f t="shared" si="20"/>
        <v>0</v>
      </c>
      <c r="U31" s="48">
        <f t="shared" si="20"/>
        <v>0</v>
      </c>
      <c r="W31" s="38" t="e">
        <f t="shared" si="7"/>
        <v>#DIV/0!</v>
      </c>
      <c r="X31" s="1" t="str">
        <f t="shared" si="8"/>
        <v>AO</v>
      </c>
    </row>
    <row r="32" spans="1:24" x14ac:dyDescent="0.25">
      <c r="A32" s="11"/>
      <c r="B32" s="246" t="s">
        <v>24</v>
      </c>
      <c r="C32" s="313">
        <v>0.39</v>
      </c>
      <c r="D32" s="408">
        <v>0.98</v>
      </c>
      <c r="E32" s="392" t="s">
        <v>19</v>
      </c>
      <c r="F32" s="389">
        <f t="shared" si="16"/>
        <v>0</v>
      </c>
      <c r="G32" s="316">
        <v>121</v>
      </c>
      <c r="H32" s="45">
        <f t="shared" si="5"/>
        <v>0</v>
      </c>
      <c r="I32" s="46"/>
      <c r="J32" s="47">
        <f t="shared" ref="J32:U32" si="21">J16*$C$32*$D$32*$G$32</f>
        <v>0</v>
      </c>
      <c r="K32" s="47">
        <f t="shared" si="21"/>
        <v>0</v>
      </c>
      <c r="L32" s="47">
        <f t="shared" si="21"/>
        <v>0</v>
      </c>
      <c r="M32" s="47">
        <f t="shared" si="21"/>
        <v>0</v>
      </c>
      <c r="N32" s="47">
        <f t="shared" si="21"/>
        <v>0</v>
      </c>
      <c r="O32" s="47">
        <f t="shared" si="21"/>
        <v>0</v>
      </c>
      <c r="P32" s="47">
        <f t="shared" si="21"/>
        <v>0</v>
      </c>
      <c r="Q32" s="47">
        <f t="shared" si="21"/>
        <v>0</v>
      </c>
      <c r="R32" s="47">
        <f t="shared" si="21"/>
        <v>0</v>
      </c>
      <c r="S32" s="47">
        <f t="shared" si="21"/>
        <v>0</v>
      </c>
      <c r="T32" s="47">
        <f t="shared" si="21"/>
        <v>0</v>
      </c>
      <c r="U32" s="48">
        <f t="shared" si="21"/>
        <v>0</v>
      </c>
      <c r="W32" s="38" t="e">
        <f t="shared" si="7"/>
        <v>#DIV/0!</v>
      </c>
      <c r="X32" s="1" t="str">
        <f t="shared" si="8"/>
        <v>A</v>
      </c>
    </row>
    <row r="33" spans="1:24" x14ac:dyDescent="0.25">
      <c r="A33" s="11"/>
      <c r="B33" s="246" t="s">
        <v>26</v>
      </c>
      <c r="C33" s="313">
        <v>0.22</v>
      </c>
      <c r="D33" s="408">
        <v>0.92</v>
      </c>
      <c r="E33" s="392" t="s">
        <v>19</v>
      </c>
      <c r="F33" s="389">
        <f t="shared" si="16"/>
        <v>0</v>
      </c>
      <c r="G33" s="316">
        <v>117</v>
      </c>
      <c r="H33" s="45">
        <f t="shared" si="5"/>
        <v>0</v>
      </c>
      <c r="I33" s="46"/>
      <c r="J33" s="47">
        <f t="shared" ref="J33:U33" si="22">J16*$C$33*$D$33*$G$33</f>
        <v>0</v>
      </c>
      <c r="K33" s="47">
        <f t="shared" si="22"/>
        <v>0</v>
      </c>
      <c r="L33" s="47">
        <f t="shared" si="22"/>
        <v>0</v>
      </c>
      <c r="M33" s="47">
        <f t="shared" si="22"/>
        <v>0</v>
      </c>
      <c r="N33" s="47">
        <f t="shared" si="22"/>
        <v>0</v>
      </c>
      <c r="O33" s="47">
        <f t="shared" si="22"/>
        <v>0</v>
      </c>
      <c r="P33" s="47">
        <f t="shared" si="22"/>
        <v>0</v>
      </c>
      <c r="Q33" s="47">
        <f t="shared" si="22"/>
        <v>0</v>
      </c>
      <c r="R33" s="47">
        <f t="shared" si="22"/>
        <v>0</v>
      </c>
      <c r="S33" s="47">
        <f t="shared" si="22"/>
        <v>0</v>
      </c>
      <c r="T33" s="47">
        <f t="shared" si="22"/>
        <v>0</v>
      </c>
      <c r="U33" s="48">
        <f t="shared" si="22"/>
        <v>0</v>
      </c>
      <c r="W33" s="38" t="e">
        <f t="shared" si="7"/>
        <v>#DIV/0!</v>
      </c>
      <c r="X33" s="1" t="str">
        <f t="shared" si="8"/>
        <v>K</v>
      </c>
    </row>
    <row r="34" spans="1:24" x14ac:dyDescent="0.25">
      <c r="A34" s="11"/>
      <c r="B34" s="243" t="s">
        <v>27</v>
      </c>
      <c r="C34" s="313">
        <v>0.06</v>
      </c>
      <c r="D34" s="408">
        <v>0.88</v>
      </c>
      <c r="E34" s="388" t="s">
        <v>19</v>
      </c>
      <c r="F34" s="389">
        <f t="shared" si="16"/>
        <v>0</v>
      </c>
      <c r="G34" s="316">
        <v>108</v>
      </c>
      <c r="H34" s="45">
        <f t="shared" si="5"/>
        <v>0</v>
      </c>
      <c r="I34" s="46"/>
      <c r="J34" s="47">
        <f t="shared" ref="J34:U34" si="23">J16*$C$34*$D$34*$G$34</f>
        <v>0</v>
      </c>
      <c r="K34" s="47">
        <f t="shared" si="23"/>
        <v>0</v>
      </c>
      <c r="L34" s="47">
        <f t="shared" si="23"/>
        <v>0</v>
      </c>
      <c r="M34" s="47">
        <f t="shared" si="23"/>
        <v>0</v>
      </c>
      <c r="N34" s="47">
        <f t="shared" si="23"/>
        <v>0</v>
      </c>
      <c r="O34" s="47">
        <f t="shared" si="23"/>
        <v>0</v>
      </c>
      <c r="P34" s="47">
        <f t="shared" si="23"/>
        <v>0</v>
      </c>
      <c r="Q34" s="47">
        <f t="shared" si="23"/>
        <v>0</v>
      </c>
      <c r="R34" s="47">
        <f t="shared" si="23"/>
        <v>0</v>
      </c>
      <c r="S34" s="47">
        <f t="shared" si="23"/>
        <v>0</v>
      </c>
      <c r="T34" s="47">
        <f t="shared" si="23"/>
        <v>0</v>
      </c>
      <c r="U34" s="48">
        <f t="shared" si="23"/>
        <v>0</v>
      </c>
      <c r="W34" s="38" t="e">
        <f t="shared" si="7"/>
        <v>#DIV/0!</v>
      </c>
      <c r="X34" s="1" t="str">
        <f t="shared" si="8"/>
        <v>KI</v>
      </c>
    </row>
    <row r="35" spans="1:24" x14ac:dyDescent="0.25">
      <c r="A35" s="11"/>
      <c r="B35" s="243" t="s">
        <v>29</v>
      </c>
      <c r="C35" s="313">
        <v>0.14000000000000001</v>
      </c>
      <c r="D35" s="408">
        <v>0.85</v>
      </c>
      <c r="E35" s="392" t="s">
        <v>19</v>
      </c>
      <c r="F35" s="389">
        <f t="shared" si="16"/>
        <v>0</v>
      </c>
      <c r="G35" s="316">
        <v>95</v>
      </c>
      <c r="H35" s="45">
        <f t="shared" si="5"/>
        <v>0</v>
      </c>
      <c r="I35" s="46"/>
      <c r="J35" s="47">
        <f t="shared" ref="J35:U35" si="24">J16*$C$35*$D$35*$G$35</f>
        <v>0</v>
      </c>
      <c r="K35" s="47">
        <f t="shared" si="24"/>
        <v>0</v>
      </c>
      <c r="L35" s="47">
        <f t="shared" si="24"/>
        <v>0</v>
      </c>
      <c r="M35" s="47">
        <f t="shared" si="24"/>
        <v>0</v>
      </c>
      <c r="N35" s="47">
        <f t="shared" si="24"/>
        <v>0</v>
      </c>
      <c r="O35" s="47">
        <f t="shared" si="24"/>
        <v>0</v>
      </c>
      <c r="P35" s="47">
        <f t="shared" si="24"/>
        <v>0</v>
      </c>
      <c r="Q35" s="47">
        <f t="shared" si="24"/>
        <v>0</v>
      </c>
      <c r="R35" s="47">
        <f t="shared" si="24"/>
        <v>0</v>
      </c>
      <c r="S35" s="47">
        <f t="shared" si="24"/>
        <v>0</v>
      </c>
      <c r="T35" s="47">
        <f t="shared" si="24"/>
        <v>0</v>
      </c>
      <c r="U35" s="48">
        <f t="shared" si="24"/>
        <v>0</v>
      </c>
      <c r="W35" s="38" t="e">
        <f t="shared" si="7"/>
        <v>#DIV/0!</v>
      </c>
      <c r="X35" s="1" t="str">
        <f t="shared" si="8"/>
        <v>KIS</v>
      </c>
    </row>
    <row r="36" spans="1:24" x14ac:dyDescent="0.25">
      <c r="A36" s="11"/>
      <c r="B36" s="246" t="s">
        <v>28</v>
      </c>
      <c r="C36" s="313"/>
      <c r="D36" s="408"/>
      <c r="E36" s="392" t="s">
        <v>19</v>
      </c>
      <c r="F36" s="389">
        <f t="shared" si="16"/>
        <v>0</v>
      </c>
      <c r="G36" s="316"/>
      <c r="H36" s="45">
        <f t="shared" si="5"/>
        <v>0</v>
      </c>
      <c r="I36" s="46"/>
      <c r="J36" s="47">
        <f t="shared" ref="J36:U36" si="25">J16*$C$36*$D$36*$G$36</f>
        <v>0</v>
      </c>
      <c r="K36" s="47">
        <f t="shared" si="25"/>
        <v>0</v>
      </c>
      <c r="L36" s="47">
        <f t="shared" si="25"/>
        <v>0</v>
      </c>
      <c r="M36" s="47">
        <f t="shared" si="25"/>
        <v>0</v>
      </c>
      <c r="N36" s="47">
        <f t="shared" si="25"/>
        <v>0</v>
      </c>
      <c r="O36" s="47">
        <f t="shared" si="25"/>
        <v>0</v>
      </c>
      <c r="P36" s="47">
        <f t="shared" si="25"/>
        <v>0</v>
      </c>
      <c r="Q36" s="47">
        <f t="shared" si="25"/>
        <v>0</v>
      </c>
      <c r="R36" s="47">
        <f t="shared" si="25"/>
        <v>0</v>
      </c>
      <c r="S36" s="47">
        <f t="shared" si="25"/>
        <v>0</v>
      </c>
      <c r="T36" s="47">
        <f t="shared" si="25"/>
        <v>0</v>
      </c>
      <c r="U36" s="48">
        <f t="shared" si="25"/>
        <v>0</v>
      </c>
      <c r="W36" s="38" t="e">
        <f t="shared" si="7"/>
        <v>#DIV/0!</v>
      </c>
      <c r="X36" s="1" t="str">
        <f t="shared" si="8"/>
        <v>KI stub</v>
      </c>
    </row>
    <row r="37" spans="1:24" x14ac:dyDescent="0.25">
      <c r="A37" s="11"/>
      <c r="B37" s="246" t="s">
        <v>31</v>
      </c>
      <c r="C37" s="313"/>
      <c r="D37" s="408"/>
      <c r="E37" s="392" t="s">
        <v>19</v>
      </c>
      <c r="F37" s="389">
        <f t="shared" si="16"/>
        <v>0</v>
      </c>
      <c r="G37" s="316"/>
      <c r="H37" s="45">
        <f t="shared" si="5"/>
        <v>0</v>
      </c>
      <c r="I37" s="46"/>
      <c r="J37" s="47">
        <f t="shared" ref="J37:U37" si="26">J16*$C$37*$D$37*$G$37</f>
        <v>0</v>
      </c>
      <c r="K37" s="47">
        <f t="shared" si="26"/>
        <v>0</v>
      </c>
      <c r="L37" s="47">
        <f t="shared" si="26"/>
        <v>0</v>
      </c>
      <c r="M37" s="47">
        <f t="shared" si="26"/>
        <v>0</v>
      </c>
      <c r="N37" s="47">
        <f t="shared" si="26"/>
        <v>0</v>
      </c>
      <c r="O37" s="47">
        <f t="shared" si="26"/>
        <v>0</v>
      </c>
      <c r="P37" s="47">
        <f t="shared" si="26"/>
        <v>0</v>
      </c>
      <c r="Q37" s="47">
        <f t="shared" si="26"/>
        <v>0</v>
      </c>
      <c r="R37" s="47">
        <f t="shared" si="26"/>
        <v>0</v>
      </c>
      <c r="S37" s="47">
        <f t="shared" si="26"/>
        <v>0</v>
      </c>
      <c r="T37" s="47">
        <f t="shared" si="26"/>
        <v>0</v>
      </c>
      <c r="U37" s="48">
        <f t="shared" si="26"/>
        <v>0</v>
      </c>
      <c r="W37" s="38" t="e">
        <f t="shared" si="7"/>
        <v>#DIV/0!</v>
      </c>
      <c r="X37" s="1" t="str">
        <f t="shared" si="8"/>
        <v>CF+</v>
      </c>
    </row>
    <row r="38" spans="1:24" x14ac:dyDescent="0.25">
      <c r="A38" s="11"/>
      <c r="B38" s="246" t="s">
        <v>32</v>
      </c>
      <c r="C38" s="313"/>
      <c r="D38" s="408"/>
      <c r="E38" s="392" t="s">
        <v>19</v>
      </c>
      <c r="F38" s="389">
        <f t="shared" si="16"/>
        <v>0</v>
      </c>
      <c r="G38" s="316"/>
      <c r="H38" s="45">
        <f t="shared" si="5"/>
        <v>0</v>
      </c>
      <c r="I38" s="46"/>
      <c r="J38" s="47">
        <f t="shared" ref="J38:U38" si="27">J16*$C$38*$D$38*$G$38</f>
        <v>0</v>
      </c>
      <c r="K38" s="47">
        <f t="shared" si="27"/>
        <v>0</v>
      </c>
      <c r="L38" s="47">
        <f t="shared" si="27"/>
        <v>0</v>
      </c>
      <c r="M38" s="47">
        <f t="shared" si="27"/>
        <v>0</v>
      </c>
      <c r="N38" s="47">
        <f t="shared" si="27"/>
        <v>0</v>
      </c>
      <c r="O38" s="47">
        <f t="shared" si="27"/>
        <v>0</v>
      </c>
      <c r="P38" s="47">
        <f t="shared" si="27"/>
        <v>0</v>
      </c>
      <c r="Q38" s="47">
        <f t="shared" si="27"/>
        <v>0</v>
      </c>
      <c r="R38" s="47">
        <f t="shared" si="27"/>
        <v>0</v>
      </c>
      <c r="S38" s="47">
        <f t="shared" si="27"/>
        <v>0</v>
      </c>
      <c r="T38" s="47">
        <f t="shared" si="27"/>
        <v>0</v>
      </c>
      <c r="U38" s="48">
        <f t="shared" si="27"/>
        <v>0</v>
      </c>
      <c r="W38" s="38" t="e">
        <f t="shared" si="7"/>
        <v>#DIV/0!</v>
      </c>
      <c r="X38" s="1" t="str">
        <f t="shared" si="8"/>
        <v>CF-</v>
      </c>
    </row>
    <row r="39" spans="1:24" x14ac:dyDescent="0.25">
      <c r="A39" s="11"/>
      <c r="B39" s="246" t="s">
        <v>33</v>
      </c>
      <c r="C39" s="313"/>
      <c r="D39" s="408"/>
      <c r="E39" s="392" t="s">
        <v>19</v>
      </c>
      <c r="F39" s="389">
        <f t="shared" si="16"/>
        <v>0</v>
      </c>
      <c r="G39" s="316"/>
      <c r="H39" s="45">
        <f t="shared" si="5"/>
        <v>0</v>
      </c>
      <c r="I39" s="46"/>
      <c r="J39" s="47">
        <f t="shared" ref="J39:U39" si="28">J16*$C$39*$D$39*$G$39</f>
        <v>0</v>
      </c>
      <c r="K39" s="47">
        <f t="shared" si="28"/>
        <v>0</v>
      </c>
      <c r="L39" s="47">
        <f t="shared" si="28"/>
        <v>0</v>
      </c>
      <c r="M39" s="47">
        <f t="shared" si="28"/>
        <v>0</v>
      </c>
      <c r="N39" s="47">
        <f t="shared" si="28"/>
        <v>0</v>
      </c>
      <c r="O39" s="47">
        <f t="shared" si="28"/>
        <v>0</v>
      </c>
      <c r="P39" s="47">
        <f t="shared" si="28"/>
        <v>0</v>
      </c>
      <c r="Q39" s="47">
        <f t="shared" si="28"/>
        <v>0</v>
      </c>
      <c r="R39" s="47">
        <f t="shared" si="28"/>
        <v>0</v>
      </c>
      <c r="S39" s="47">
        <f t="shared" si="28"/>
        <v>0</v>
      </c>
      <c r="T39" s="47">
        <f t="shared" si="28"/>
        <v>0</v>
      </c>
      <c r="U39" s="48">
        <f t="shared" si="28"/>
        <v>0</v>
      </c>
      <c r="W39" s="38" t="e">
        <f t="shared" si="7"/>
        <v>#DIV/0!</v>
      </c>
      <c r="X39" s="1" t="str">
        <f t="shared" si="8"/>
        <v>CM</v>
      </c>
    </row>
    <row r="40" spans="1:24" x14ac:dyDescent="0.25">
      <c r="A40" s="11"/>
      <c r="B40" s="243" t="s">
        <v>35</v>
      </c>
      <c r="C40" s="313"/>
      <c r="D40" s="408"/>
      <c r="E40" s="392" t="s">
        <v>19</v>
      </c>
      <c r="F40" s="389">
        <f t="shared" si="16"/>
        <v>0</v>
      </c>
      <c r="G40" s="316"/>
      <c r="H40" s="45">
        <f t="shared" si="5"/>
        <v>0</v>
      </c>
      <c r="I40" s="46"/>
      <c r="J40" s="47">
        <f t="shared" ref="J40:U40" si="29">J16*$C$40*$D$40*$G$40</f>
        <v>0</v>
      </c>
      <c r="K40" s="47">
        <f t="shared" si="29"/>
        <v>0</v>
      </c>
      <c r="L40" s="47">
        <f t="shared" si="29"/>
        <v>0</v>
      </c>
      <c r="M40" s="47">
        <f t="shared" si="29"/>
        <v>0</v>
      </c>
      <c r="N40" s="47">
        <f t="shared" si="29"/>
        <v>0</v>
      </c>
      <c r="O40" s="47">
        <f t="shared" si="29"/>
        <v>0</v>
      </c>
      <c r="P40" s="47">
        <f t="shared" si="29"/>
        <v>0</v>
      </c>
      <c r="Q40" s="47">
        <f t="shared" si="29"/>
        <v>0</v>
      </c>
      <c r="R40" s="47">
        <f t="shared" si="29"/>
        <v>0</v>
      </c>
      <c r="S40" s="47">
        <f t="shared" si="29"/>
        <v>0</v>
      </c>
      <c r="T40" s="47">
        <f t="shared" si="29"/>
        <v>0</v>
      </c>
      <c r="U40" s="48">
        <f t="shared" si="29"/>
        <v>0</v>
      </c>
      <c r="W40" s="38" t="e">
        <f t="shared" si="7"/>
        <v>#DIV/0!</v>
      </c>
      <c r="X40" s="1" t="str">
        <f t="shared" si="8"/>
        <v>Euc A</v>
      </c>
    </row>
    <row r="41" spans="1:24" x14ac:dyDescent="0.25">
      <c r="A41" s="11"/>
      <c r="B41" s="243" t="s">
        <v>36</v>
      </c>
      <c r="C41" s="313"/>
      <c r="D41" s="408"/>
      <c r="E41" s="392"/>
      <c r="F41" s="389"/>
      <c r="G41" s="316"/>
      <c r="H41" s="45">
        <f t="shared" si="5"/>
        <v>0</v>
      </c>
      <c r="I41" s="46"/>
      <c r="J41" s="47">
        <f t="shared" ref="J41:U41" si="30">J16*$C$41*$D$41*$G$41</f>
        <v>0</v>
      </c>
      <c r="K41" s="47">
        <f t="shared" si="30"/>
        <v>0</v>
      </c>
      <c r="L41" s="47">
        <f t="shared" si="30"/>
        <v>0</v>
      </c>
      <c r="M41" s="47">
        <f t="shared" si="30"/>
        <v>0</v>
      </c>
      <c r="N41" s="47">
        <f t="shared" si="30"/>
        <v>0</v>
      </c>
      <c r="O41" s="47">
        <f t="shared" si="30"/>
        <v>0</v>
      </c>
      <c r="P41" s="47">
        <f t="shared" si="30"/>
        <v>0</v>
      </c>
      <c r="Q41" s="47">
        <f t="shared" si="30"/>
        <v>0</v>
      </c>
      <c r="R41" s="47">
        <f t="shared" si="30"/>
        <v>0</v>
      </c>
      <c r="S41" s="47">
        <f t="shared" si="30"/>
        <v>0</v>
      </c>
      <c r="T41" s="47">
        <f t="shared" si="30"/>
        <v>0</v>
      </c>
      <c r="U41" s="48">
        <f t="shared" si="30"/>
        <v>0</v>
      </c>
      <c r="W41" s="38" t="e">
        <f t="shared" si="7"/>
        <v>#DIV/0!</v>
      </c>
      <c r="X41" s="1" t="str">
        <f t="shared" si="8"/>
        <v>Euc K</v>
      </c>
    </row>
    <row r="42" spans="1:24" ht="15.75" thickBot="1" x14ac:dyDescent="0.3">
      <c r="A42" s="11"/>
      <c r="B42" s="49"/>
      <c r="C42" s="314">
        <f>SUM(C20:C41)</f>
        <v>1</v>
      </c>
      <c r="D42" s="51"/>
      <c r="E42" s="52"/>
      <c r="F42" s="53"/>
      <c r="G42" s="54"/>
      <c r="H42" s="54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318"/>
    </row>
    <row r="43" spans="1:24" ht="15.75" thickTop="1" x14ac:dyDescent="0.25">
      <c r="A43" s="11"/>
      <c r="B43" s="55" t="s">
        <v>39</v>
      </c>
      <c r="C43" s="51">
        <f>SUMIF(E20:E41,"JAS",C20:C41)</f>
        <v>0.91</v>
      </c>
      <c r="D43" s="51"/>
      <c r="E43" s="52"/>
      <c r="F43" s="53"/>
      <c r="G43" s="54"/>
      <c r="H43" s="45">
        <f>SUM(J43:U43)</f>
        <v>0</v>
      </c>
      <c r="I43" s="46"/>
      <c r="J43" s="56">
        <f t="shared" ref="J43:U43" si="31">SUM(J28:J41)</f>
        <v>0</v>
      </c>
      <c r="K43" s="56">
        <f t="shared" si="31"/>
        <v>0</v>
      </c>
      <c r="L43" s="56">
        <f t="shared" si="31"/>
        <v>0</v>
      </c>
      <c r="M43" s="56">
        <f t="shared" si="31"/>
        <v>0</v>
      </c>
      <c r="N43" s="56">
        <f t="shared" si="31"/>
        <v>0</v>
      </c>
      <c r="O43" s="56">
        <f t="shared" si="31"/>
        <v>0</v>
      </c>
      <c r="P43" s="56">
        <f t="shared" si="31"/>
        <v>0</v>
      </c>
      <c r="Q43" s="56">
        <f t="shared" si="31"/>
        <v>0</v>
      </c>
      <c r="R43" s="56">
        <f t="shared" si="31"/>
        <v>0</v>
      </c>
      <c r="S43" s="56">
        <f t="shared" si="31"/>
        <v>0</v>
      </c>
      <c r="T43" s="56">
        <f t="shared" si="31"/>
        <v>0</v>
      </c>
      <c r="U43" s="57">
        <f t="shared" si="31"/>
        <v>0</v>
      </c>
      <c r="W43" s="38" t="e">
        <f>SUM(W20:W42)</f>
        <v>#DIV/0!</v>
      </c>
    </row>
    <row r="44" spans="1:24" x14ac:dyDescent="0.25">
      <c r="A44" s="11"/>
      <c r="B44" s="55" t="s">
        <v>40</v>
      </c>
      <c r="C44" s="51">
        <f>SUMIF(E20:E41,"Tonnes",C20:C41)</f>
        <v>0.09</v>
      </c>
      <c r="D44" s="51"/>
      <c r="E44" s="52"/>
      <c r="F44" s="53"/>
      <c r="G44" s="54"/>
      <c r="H44" s="45">
        <f>SUM(J44:U44)</f>
        <v>0</v>
      </c>
      <c r="I44" s="46"/>
      <c r="J44" s="56">
        <f t="shared" ref="J44:U44" si="32">SUM(J20:J27)</f>
        <v>0</v>
      </c>
      <c r="K44" s="56">
        <f t="shared" si="32"/>
        <v>0</v>
      </c>
      <c r="L44" s="56">
        <f t="shared" si="32"/>
        <v>0</v>
      </c>
      <c r="M44" s="56">
        <f t="shared" si="32"/>
        <v>0</v>
      </c>
      <c r="N44" s="56">
        <f t="shared" si="32"/>
        <v>0</v>
      </c>
      <c r="O44" s="56">
        <f t="shared" si="32"/>
        <v>0</v>
      </c>
      <c r="P44" s="56">
        <f t="shared" si="32"/>
        <v>0</v>
      </c>
      <c r="Q44" s="56">
        <f t="shared" si="32"/>
        <v>0</v>
      </c>
      <c r="R44" s="56">
        <f t="shared" si="32"/>
        <v>0</v>
      </c>
      <c r="S44" s="56">
        <f t="shared" si="32"/>
        <v>0</v>
      </c>
      <c r="T44" s="56">
        <f t="shared" si="32"/>
        <v>0</v>
      </c>
      <c r="U44" s="57">
        <f t="shared" si="32"/>
        <v>0</v>
      </c>
    </row>
    <row r="45" spans="1:24" ht="15.75" thickBot="1" x14ac:dyDescent="0.3">
      <c r="A45" s="11"/>
      <c r="B45" s="49"/>
      <c r="C45" s="51"/>
      <c r="D45" s="51"/>
      <c r="E45" s="52"/>
      <c r="F45" s="53"/>
      <c r="G45" s="54"/>
      <c r="H45" s="54"/>
      <c r="I45" s="46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8"/>
    </row>
    <row r="46" spans="1:24" ht="16.5" thickTop="1" thickBot="1" x14ac:dyDescent="0.3">
      <c r="A46" s="11"/>
      <c r="B46" s="59" t="s">
        <v>18</v>
      </c>
      <c r="C46" s="60"/>
      <c r="D46" s="60"/>
      <c r="E46" s="61"/>
      <c r="F46" s="62"/>
      <c r="G46" s="63" t="e">
        <f>H46/W16</f>
        <v>#DIV/0!</v>
      </c>
      <c r="H46" s="64">
        <f>SUM(H20:H41)</f>
        <v>0</v>
      </c>
      <c r="I46" s="65"/>
      <c r="J46" s="64">
        <f t="shared" ref="J46:U46" si="33">SUM(J20:J41)</f>
        <v>0</v>
      </c>
      <c r="K46" s="64">
        <f t="shared" si="33"/>
        <v>0</v>
      </c>
      <c r="L46" s="64">
        <f t="shared" si="33"/>
        <v>0</v>
      </c>
      <c r="M46" s="64">
        <f t="shared" si="33"/>
        <v>0</v>
      </c>
      <c r="N46" s="64">
        <f t="shared" si="33"/>
        <v>0</v>
      </c>
      <c r="O46" s="64">
        <f t="shared" si="33"/>
        <v>0</v>
      </c>
      <c r="P46" s="64">
        <f t="shared" si="33"/>
        <v>0</v>
      </c>
      <c r="Q46" s="64">
        <f t="shared" si="33"/>
        <v>0</v>
      </c>
      <c r="R46" s="64">
        <f t="shared" si="33"/>
        <v>0</v>
      </c>
      <c r="S46" s="64">
        <f t="shared" si="33"/>
        <v>0</v>
      </c>
      <c r="T46" s="64">
        <f t="shared" si="33"/>
        <v>0</v>
      </c>
      <c r="U46" s="66">
        <f t="shared" si="33"/>
        <v>0</v>
      </c>
      <c r="W46" s="67">
        <f>SUM(J46:U46)</f>
        <v>0</v>
      </c>
    </row>
    <row r="47" spans="1:24" x14ac:dyDescent="0.25">
      <c r="A47" s="11"/>
      <c r="B47" s="68"/>
      <c r="G47" s="52"/>
      <c r="H47" s="69"/>
      <c r="I47" s="69"/>
    </row>
    <row r="48" spans="1:24" ht="16.5" thickBot="1" x14ac:dyDescent="0.3">
      <c r="A48" s="11"/>
      <c r="B48" s="70" t="s">
        <v>41</v>
      </c>
      <c r="C48" s="80" t="s">
        <v>44</v>
      </c>
      <c r="D48" s="42" t="s">
        <v>220</v>
      </c>
    </row>
    <row r="49" spans="1:23" ht="15.75" thickBot="1" x14ac:dyDescent="0.3">
      <c r="A49" s="11"/>
      <c r="B49" s="71" t="s">
        <v>42</v>
      </c>
      <c r="C49" s="321" t="s">
        <v>193</v>
      </c>
      <c r="D49" s="324" t="s">
        <v>53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40"/>
    </row>
    <row r="50" spans="1:23" ht="15.75" thickBot="1" x14ac:dyDescent="0.3">
      <c r="A50" s="11"/>
      <c r="B50" s="72"/>
      <c r="C50" s="319"/>
      <c r="D50" s="43"/>
      <c r="E50" s="43"/>
      <c r="F50" s="43"/>
      <c r="G50" s="43"/>
      <c r="H50" s="42" t="s">
        <v>18</v>
      </c>
      <c r="I50" s="43"/>
      <c r="J50" s="178">
        <v>45658</v>
      </c>
      <c r="K50" s="178">
        <v>45689</v>
      </c>
      <c r="L50" s="178">
        <v>45717</v>
      </c>
      <c r="M50" s="178">
        <v>45748</v>
      </c>
      <c r="N50" s="178">
        <v>45778</v>
      </c>
      <c r="O50" s="178">
        <v>45809</v>
      </c>
      <c r="P50" s="178">
        <v>45839</v>
      </c>
      <c r="Q50" s="178">
        <v>45870</v>
      </c>
      <c r="R50" s="178">
        <v>45901</v>
      </c>
      <c r="S50" s="178">
        <v>45931</v>
      </c>
      <c r="T50" s="178">
        <v>45962</v>
      </c>
      <c r="U50" s="178">
        <v>45992</v>
      </c>
    </row>
    <row r="51" spans="1:23" ht="16.5" thickTop="1" thickBot="1" x14ac:dyDescent="0.3">
      <c r="A51" s="11"/>
      <c r="B51" s="73"/>
      <c r="C51" s="320"/>
      <c r="D51" s="74"/>
      <c r="E51" s="74"/>
      <c r="F51" s="74"/>
      <c r="G51" s="74" t="e">
        <f>H51/W16</f>
        <v>#DIV/0!</v>
      </c>
      <c r="H51" s="75">
        <f>SUM(J51:U51)</f>
        <v>0</v>
      </c>
      <c r="I51" s="76"/>
      <c r="J51" s="77">
        <f t="shared" ref="J51:U51" si="34">J16*J13</f>
        <v>0</v>
      </c>
      <c r="K51" s="77">
        <f t="shared" si="34"/>
        <v>0</v>
      </c>
      <c r="L51" s="77">
        <f t="shared" si="34"/>
        <v>0</v>
      </c>
      <c r="M51" s="77">
        <f t="shared" si="34"/>
        <v>0</v>
      </c>
      <c r="N51" s="77">
        <f t="shared" si="34"/>
        <v>0</v>
      </c>
      <c r="O51" s="77">
        <f t="shared" si="34"/>
        <v>0</v>
      </c>
      <c r="P51" s="77">
        <f t="shared" si="34"/>
        <v>0</v>
      </c>
      <c r="Q51" s="77">
        <f t="shared" si="34"/>
        <v>0</v>
      </c>
      <c r="R51" s="77">
        <f t="shared" si="34"/>
        <v>0</v>
      </c>
      <c r="S51" s="77">
        <f t="shared" si="34"/>
        <v>0</v>
      </c>
      <c r="T51" s="77">
        <f t="shared" si="34"/>
        <v>0</v>
      </c>
      <c r="U51" s="78">
        <f t="shared" si="34"/>
        <v>0</v>
      </c>
      <c r="W51" s="67">
        <f>SUM(J51:U51)</f>
        <v>0</v>
      </c>
    </row>
    <row r="52" spans="1:23" x14ac:dyDescent="0.25">
      <c r="A52" s="11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</row>
    <row r="53" spans="1:23" ht="15.75" thickBot="1" x14ac:dyDescent="0.3">
      <c r="A53" s="11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</row>
    <row r="54" spans="1:23" ht="15.75" thickBot="1" x14ac:dyDescent="0.3">
      <c r="A54" s="11"/>
      <c r="B54" s="71" t="s">
        <v>43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40"/>
    </row>
    <row r="55" spans="1:23" x14ac:dyDescent="0.25">
      <c r="A55" s="11"/>
      <c r="B55" s="41" t="s">
        <v>13</v>
      </c>
      <c r="C55" s="80" t="s">
        <v>44</v>
      </c>
      <c r="D55" s="42" t="s">
        <v>220</v>
      </c>
      <c r="E55" s="80" t="s">
        <v>45</v>
      </c>
      <c r="F55" s="80" t="s">
        <v>45</v>
      </c>
      <c r="G55" s="80" t="s">
        <v>46</v>
      </c>
      <c r="H55" s="81" t="s">
        <v>18</v>
      </c>
      <c r="I55" s="43"/>
      <c r="J55" s="178">
        <v>45658</v>
      </c>
      <c r="K55" s="178">
        <v>45689</v>
      </c>
      <c r="L55" s="178">
        <v>45717</v>
      </c>
      <c r="M55" s="178">
        <v>45748</v>
      </c>
      <c r="N55" s="178">
        <v>45778</v>
      </c>
      <c r="O55" s="178">
        <v>45809</v>
      </c>
      <c r="P55" s="178">
        <v>45839</v>
      </c>
      <c r="Q55" s="178">
        <v>45870</v>
      </c>
      <c r="R55" s="178">
        <v>45901</v>
      </c>
      <c r="S55" s="178">
        <v>45931</v>
      </c>
      <c r="T55" s="178">
        <v>45962</v>
      </c>
      <c r="U55" s="178">
        <v>45992</v>
      </c>
    </row>
    <row r="56" spans="1:23" x14ac:dyDescent="0.25">
      <c r="A56" s="11"/>
      <c r="B56" s="203" t="s">
        <v>20</v>
      </c>
      <c r="C56" s="321" t="s">
        <v>192</v>
      </c>
      <c r="D56" s="83" t="s">
        <v>47</v>
      </c>
      <c r="E56" s="393" t="s">
        <v>172</v>
      </c>
      <c r="F56" s="394"/>
      <c r="G56" s="360"/>
      <c r="H56" s="82">
        <f t="shared" ref="H56:H77" si="35">SUM(J56:U56)</f>
        <v>0</v>
      </c>
      <c r="I56" s="54"/>
      <c r="J56" s="325">
        <f t="shared" ref="J56:U56" si="36">IF($C20&gt;0,(J$16*$C20)*$G56,0)</f>
        <v>0</v>
      </c>
      <c r="K56" s="325">
        <f t="shared" si="36"/>
        <v>0</v>
      </c>
      <c r="L56" s="325">
        <f t="shared" si="36"/>
        <v>0</v>
      </c>
      <c r="M56" s="325">
        <f t="shared" si="36"/>
        <v>0</v>
      </c>
      <c r="N56" s="325">
        <f t="shared" si="36"/>
        <v>0</v>
      </c>
      <c r="O56" s="325">
        <f t="shared" si="36"/>
        <v>0</v>
      </c>
      <c r="P56" s="325">
        <f t="shared" si="36"/>
        <v>0</v>
      </c>
      <c r="Q56" s="325">
        <f t="shared" si="36"/>
        <v>0</v>
      </c>
      <c r="R56" s="325">
        <f t="shared" si="36"/>
        <v>0</v>
      </c>
      <c r="S56" s="325">
        <f t="shared" si="36"/>
        <v>0</v>
      </c>
      <c r="T56" s="325">
        <f t="shared" si="36"/>
        <v>0</v>
      </c>
      <c r="U56" s="326">
        <f t="shared" si="36"/>
        <v>0</v>
      </c>
    </row>
    <row r="57" spans="1:23" x14ac:dyDescent="0.25">
      <c r="A57" s="11"/>
      <c r="B57" s="102" t="s">
        <v>22</v>
      </c>
      <c r="C57" s="322" t="s">
        <v>192</v>
      </c>
      <c r="D57" s="207" t="s">
        <v>47</v>
      </c>
      <c r="E57" s="395" t="s">
        <v>172</v>
      </c>
      <c r="F57" s="361"/>
      <c r="G57" s="360"/>
      <c r="H57" s="82">
        <f t="shared" si="35"/>
        <v>0</v>
      </c>
      <c r="I57" s="54"/>
      <c r="J57" s="325">
        <f t="shared" ref="J57:U57" si="37">IF($C21&gt;0,(J$16*$C21)*$G57,0)</f>
        <v>0</v>
      </c>
      <c r="K57" s="325">
        <f t="shared" si="37"/>
        <v>0</v>
      </c>
      <c r="L57" s="325">
        <f t="shared" si="37"/>
        <v>0</v>
      </c>
      <c r="M57" s="325">
        <f t="shared" si="37"/>
        <v>0</v>
      </c>
      <c r="N57" s="325">
        <f t="shared" si="37"/>
        <v>0</v>
      </c>
      <c r="O57" s="325">
        <f t="shared" si="37"/>
        <v>0</v>
      </c>
      <c r="P57" s="325">
        <f t="shared" si="37"/>
        <v>0</v>
      </c>
      <c r="Q57" s="325">
        <f t="shared" si="37"/>
        <v>0</v>
      </c>
      <c r="R57" s="325">
        <f t="shared" si="37"/>
        <v>0</v>
      </c>
      <c r="S57" s="325">
        <f t="shared" si="37"/>
        <v>0</v>
      </c>
      <c r="T57" s="325">
        <f t="shared" si="37"/>
        <v>0</v>
      </c>
      <c r="U57" s="326">
        <f t="shared" si="37"/>
        <v>0</v>
      </c>
    </row>
    <row r="58" spans="1:23" x14ac:dyDescent="0.25">
      <c r="A58" s="11"/>
      <c r="B58" s="102" t="s">
        <v>25</v>
      </c>
      <c r="C58" s="322" t="s">
        <v>192</v>
      </c>
      <c r="D58" s="207" t="s">
        <v>47</v>
      </c>
      <c r="E58" s="395" t="s">
        <v>172</v>
      </c>
      <c r="F58" s="396"/>
      <c r="G58" s="360"/>
      <c r="H58" s="82">
        <f t="shared" si="35"/>
        <v>0</v>
      </c>
      <c r="I58" s="54"/>
      <c r="J58" s="325">
        <f t="shared" ref="J58:U58" si="38">IF($C22&gt;0,(J$16*$C22)*$G58,0)</f>
        <v>0</v>
      </c>
      <c r="K58" s="325">
        <f t="shared" si="38"/>
        <v>0</v>
      </c>
      <c r="L58" s="325">
        <f t="shared" si="38"/>
        <v>0</v>
      </c>
      <c r="M58" s="325">
        <f t="shared" si="38"/>
        <v>0</v>
      </c>
      <c r="N58" s="325">
        <f t="shared" si="38"/>
        <v>0</v>
      </c>
      <c r="O58" s="325">
        <f t="shared" si="38"/>
        <v>0</v>
      </c>
      <c r="P58" s="325">
        <f t="shared" si="38"/>
        <v>0</v>
      </c>
      <c r="Q58" s="325">
        <f t="shared" si="38"/>
        <v>0</v>
      </c>
      <c r="R58" s="325">
        <f t="shared" si="38"/>
        <v>0</v>
      </c>
      <c r="S58" s="325">
        <f t="shared" si="38"/>
        <v>0</v>
      </c>
      <c r="T58" s="325">
        <f t="shared" si="38"/>
        <v>0</v>
      </c>
      <c r="U58" s="326">
        <f t="shared" si="38"/>
        <v>0</v>
      </c>
    </row>
    <row r="59" spans="1:23" x14ac:dyDescent="0.25">
      <c r="A59" s="11"/>
      <c r="B59" s="102" t="s">
        <v>30</v>
      </c>
      <c r="C59" s="322" t="s">
        <v>192</v>
      </c>
      <c r="D59" s="207" t="s">
        <v>47</v>
      </c>
      <c r="E59" s="395" t="s">
        <v>172</v>
      </c>
      <c r="F59" s="396"/>
      <c r="G59" s="360"/>
      <c r="H59" s="82">
        <f t="shared" si="35"/>
        <v>0</v>
      </c>
      <c r="I59" s="54"/>
      <c r="J59" s="325">
        <f t="shared" ref="J59:U59" si="39">IF($C23&gt;0,(J$16*$C23)*$G59,0)</f>
        <v>0</v>
      </c>
      <c r="K59" s="325">
        <f t="shared" si="39"/>
        <v>0</v>
      </c>
      <c r="L59" s="325">
        <f t="shared" si="39"/>
        <v>0</v>
      </c>
      <c r="M59" s="325">
        <f t="shared" si="39"/>
        <v>0</v>
      </c>
      <c r="N59" s="325">
        <f t="shared" si="39"/>
        <v>0</v>
      </c>
      <c r="O59" s="325">
        <f t="shared" si="39"/>
        <v>0</v>
      </c>
      <c r="P59" s="325">
        <f t="shared" si="39"/>
        <v>0</v>
      </c>
      <c r="Q59" s="325">
        <f t="shared" si="39"/>
        <v>0</v>
      </c>
      <c r="R59" s="325">
        <f t="shared" si="39"/>
        <v>0</v>
      </c>
      <c r="S59" s="325">
        <f t="shared" si="39"/>
        <v>0</v>
      </c>
      <c r="T59" s="325">
        <f t="shared" si="39"/>
        <v>0</v>
      </c>
      <c r="U59" s="326">
        <f t="shared" si="39"/>
        <v>0</v>
      </c>
    </row>
    <row r="60" spans="1:23" x14ac:dyDescent="0.25">
      <c r="A60" s="11"/>
      <c r="B60" s="102" t="s">
        <v>222</v>
      </c>
      <c r="C60" s="322" t="s">
        <v>192</v>
      </c>
      <c r="D60" s="207" t="s">
        <v>47</v>
      </c>
      <c r="E60" s="395" t="s">
        <v>172</v>
      </c>
      <c r="F60" s="396"/>
      <c r="G60" s="360"/>
      <c r="H60" s="82">
        <f t="shared" si="35"/>
        <v>0</v>
      </c>
      <c r="I60" s="54"/>
      <c r="J60" s="325">
        <f t="shared" ref="J60:U60" si="40">IF($C24&gt;0,(J$16*$C24)*$G60,0)</f>
        <v>0</v>
      </c>
      <c r="K60" s="325">
        <f t="shared" si="40"/>
        <v>0</v>
      </c>
      <c r="L60" s="325">
        <f t="shared" si="40"/>
        <v>0</v>
      </c>
      <c r="M60" s="325">
        <f t="shared" si="40"/>
        <v>0</v>
      </c>
      <c r="N60" s="325">
        <f t="shared" si="40"/>
        <v>0</v>
      </c>
      <c r="O60" s="325">
        <f t="shared" si="40"/>
        <v>0</v>
      </c>
      <c r="P60" s="325">
        <f t="shared" si="40"/>
        <v>0</v>
      </c>
      <c r="Q60" s="325">
        <f t="shared" si="40"/>
        <v>0</v>
      </c>
      <c r="R60" s="325">
        <f t="shared" si="40"/>
        <v>0</v>
      </c>
      <c r="S60" s="325">
        <f t="shared" si="40"/>
        <v>0</v>
      </c>
      <c r="T60" s="325">
        <f t="shared" si="40"/>
        <v>0</v>
      </c>
      <c r="U60" s="326">
        <f t="shared" si="40"/>
        <v>0</v>
      </c>
    </row>
    <row r="61" spans="1:23" x14ac:dyDescent="0.25">
      <c r="A61" s="11"/>
      <c r="B61" s="102" t="s">
        <v>34</v>
      </c>
      <c r="C61" s="322" t="s">
        <v>192</v>
      </c>
      <c r="D61" s="207" t="s">
        <v>47</v>
      </c>
      <c r="E61" s="395" t="s">
        <v>172</v>
      </c>
      <c r="F61" s="396"/>
      <c r="G61" s="360"/>
      <c r="H61" s="82">
        <f t="shared" si="35"/>
        <v>0</v>
      </c>
      <c r="I61" s="54"/>
      <c r="J61" s="325">
        <f t="shared" ref="J61:U61" si="41">IF($C25&gt;0,(J$16*$C25)*$G61,0)</f>
        <v>0</v>
      </c>
      <c r="K61" s="325">
        <f t="shared" si="41"/>
        <v>0</v>
      </c>
      <c r="L61" s="325">
        <f t="shared" si="41"/>
        <v>0</v>
      </c>
      <c r="M61" s="325">
        <f t="shared" si="41"/>
        <v>0</v>
      </c>
      <c r="N61" s="325">
        <f t="shared" si="41"/>
        <v>0</v>
      </c>
      <c r="O61" s="325">
        <f t="shared" si="41"/>
        <v>0</v>
      </c>
      <c r="P61" s="325">
        <f t="shared" si="41"/>
        <v>0</v>
      </c>
      <c r="Q61" s="325">
        <f t="shared" si="41"/>
        <v>0</v>
      </c>
      <c r="R61" s="325">
        <f t="shared" si="41"/>
        <v>0</v>
      </c>
      <c r="S61" s="325">
        <f t="shared" si="41"/>
        <v>0</v>
      </c>
      <c r="T61" s="325">
        <f t="shared" si="41"/>
        <v>0</v>
      </c>
      <c r="U61" s="326">
        <f t="shared" si="41"/>
        <v>0</v>
      </c>
    </row>
    <row r="62" spans="1:23" x14ac:dyDescent="0.25">
      <c r="A62" s="11"/>
      <c r="B62" s="102" t="s">
        <v>37</v>
      </c>
      <c r="C62" s="322" t="s">
        <v>192</v>
      </c>
      <c r="D62" s="207" t="s">
        <v>47</v>
      </c>
      <c r="E62" s="395" t="s">
        <v>172</v>
      </c>
      <c r="F62" s="396"/>
      <c r="G62" s="360"/>
      <c r="H62" s="82">
        <f t="shared" si="35"/>
        <v>0</v>
      </c>
      <c r="I62" s="54"/>
      <c r="J62" s="325">
        <f t="shared" ref="J62:U62" si="42">IF($C26&gt;0,(J$16*$C26)*$G62,0)</f>
        <v>0</v>
      </c>
      <c r="K62" s="325">
        <f t="shared" si="42"/>
        <v>0</v>
      </c>
      <c r="L62" s="325">
        <f t="shared" si="42"/>
        <v>0</v>
      </c>
      <c r="M62" s="325">
        <f t="shared" si="42"/>
        <v>0</v>
      </c>
      <c r="N62" s="325">
        <f t="shared" si="42"/>
        <v>0</v>
      </c>
      <c r="O62" s="325">
        <f t="shared" si="42"/>
        <v>0</v>
      </c>
      <c r="P62" s="325">
        <f t="shared" si="42"/>
        <v>0</v>
      </c>
      <c r="Q62" s="325">
        <f t="shared" si="42"/>
        <v>0</v>
      </c>
      <c r="R62" s="325">
        <f t="shared" si="42"/>
        <v>0</v>
      </c>
      <c r="S62" s="325">
        <f t="shared" si="42"/>
        <v>0</v>
      </c>
      <c r="T62" s="325">
        <f t="shared" si="42"/>
        <v>0</v>
      </c>
      <c r="U62" s="326">
        <f t="shared" si="42"/>
        <v>0</v>
      </c>
    </row>
    <row r="63" spans="1:23" x14ac:dyDescent="0.25">
      <c r="A63" s="11"/>
      <c r="B63" s="102" t="s">
        <v>174</v>
      </c>
      <c r="C63" s="322" t="s">
        <v>192</v>
      </c>
      <c r="D63" s="207" t="s">
        <v>47</v>
      </c>
      <c r="E63" s="395" t="s">
        <v>172</v>
      </c>
      <c r="F63" s="396"/>
      <c r="G63" s="360"/>
      <c r="H63" s="82">
        <f t="shared" si="35"/>
        <v>0</v>
      </c>
      <c r="I63" s="54"/>
      <c r="J63" s="325">
        <f t="shared" ref="J63:U63" si="43">IF($C27&gt;0,(J$16*$C27)*$G63,0)</f>
        <v>0</v>
      </c>
      <c r="K63" s="325">
        <f t="shared" si="43"/>
        <v>0</v>
      </c>
      <c r="L63" s="325">
        <f t="shared" si="43"/>
        <v>0</v>
      </c>
      <c r="M63" s="325">
        <f t="shared" si="43"/>
        <v>0</v>
      </c>
      <c r="N63" s="325">
        <f t="shared" si="43"/>
        <v>0</v>
      </c>
      <c r="O63" s="325">
        <f t="shared" si="43"/>
        <v>0</v>
      </c>
      <c r="P63" s="325">
        <f t="shared" si="43"/>
        <v>0</v>
      </c>
      <c r="Q63" s="325">
        <f t="shared" si="43"/>
        <v>0</v>
      </c>
      <c r="R63" s="325">
        <f t="shared" si="43"/>
        <v>0</v>
      </c>
      <c r="S63" s="325">
        <f t="shared" si="43"/>
        <v>0</v>
      </c>
      <c r="T63" s="325">
        <f t="shared" si="43"/>
        <v>0</v>
      </c>
      <c r="U63" s="326">
        <f t="shared" si="43"/>
        <v>0</v>
      </c>
    </row>
    <row r="64" spans="1:23" x14ac:dyDescent="0.25">
      <c r="A64" s="11"/>
      <c r="B64" s="102" t="s">
        <v>175</v>
      </c>
      <c r="C64" s="322" t="s">
        <v>192</v>
      </c>
      <c r="D64" s="207" t="s">
        <v>47</v>
      </c>
      <c r="E64" s="395" t="s">
        <v>221</v>
      </c>
      <c r="F64" s="396"/>
      <c r="G64" s="360"/>
      <c r="H64" s="82">
        <f t="shared" si="35"/>
        <v>0</v>
      </c>
      <c r="I64" s="54"/>
      <c r="J64" s="325">
        <f t="shared" ref="J64:U64" si="44">IF($C28&gt;0,(J$16*$C28)*$G64,0)</f>
        <v>0</v>
      </c>
      <c r="K64" s="325">
        <f t="shared" si="44"/>
        <v>0</v>
      </c>
      <c r="L64" s="325">
        <f t="shared" si="44"/>
        <v>0</v>
      </c>
      <c r="M64" s="325">
        <f t="shared" si="44"/>
        <v>0</v>
      </c>
      <c r="N64" s="325">
        <f t="shared" si="44"/>
        <v>0</v>
      </c>
      <c r="O64" s="325">
        <f t="shared" si="44"/>
        <v>0</v>
      </c>
      <c r="P64" s="325">
        <f t="shared" si="44"/>
        <v>0</v>
      </c>
      <c r="Q64" s="325">
        <f t="shared" si="44"/>
        <v>0</v>
      </c>
      <c r="R64" s="325">
        <f t="shared" si="44"/>
        <v>0</v>
      </c>
      <c r="S64" s="325">
        <f t="shared" si="44"/>
        <v>0</v>
      </c>
      <c r="T64" s="325">
        <f t="shared" si="44"/>
        <v>0</v>
      </c>
      <c r="U64" s="326">
        <f t="shared" si="44"/>
        <v>0</v>
      </c>
    </row>
    <row r="65" spans="1:23" x14ac:dyDescent="0.25">
      <c r="A65" s="11"/>
      <c r="B65" s="102" t="s">
        <v>176</v>
      </c>
      <c r="C65" s="322" t="s">
        <v>192</v>
      </c>
      <c r="D65" s="207" t="s">
        <v>47</v>
      </c>
      <c r="E65" s="395" t="s">
        <v>221</v>
      </c>
      <c r="F65" s="396"/>
      <c r="G65" s="360"/>
      <c r="H65" s="82">
        <f t="shared" si="35"/>
        <v>0</v>
      </c>
      <c r="I65" s="54"/>
      <c r="J65" s="325">
        <f t="shared" ref="J65:U65" si="45">IF($C29&gt;0,(J$16*$C29)*$G65,0)</f>
        <v>0</v>
      </c>
      <c r="K65" s="325">
        <f t="shared" si="45"/>
        <v>0</v>
      </c>
      <c r="L65" s="325">
        <f t="shared" si="45"/>
        <v>0</v>
      </c>
      <c r="M65" s="325">
        <f t="shared" si="45"/>
        <v>0</v>
      </c>
      <c r="N65" s="325">
        <f t="shared" si="45"/>
        <v>0</v>
      </c>
      <c r="O65" s="325">
        <f t="shared" si="45"/>
        <v>0</v>
      </c>
      <c r="P65" s="325">
        <f t="shared" si="45"/>
        <v>0</v>
      </c>
      <c r="Q65" s="325">
        <f t="shared" si="45"/>
        <v>0</v>
      </c>
      <c r="R65" s="325">
        <f t="shared" si="45"/>
        <v>0</v>
      </c>
      <c r="S65" s="325">
        <f t="shared" si="45"/>
        <v>0</v>
      </c>
      <c r="T65" s="325">
        <f t="shared" si="45"/>
        <v>0</v>
      </c>
      <c r="U65" s="326">
        <f t="shared" si="45"/>
        <v>0</v>
      </c>
    </row>
    <row r="66" spans="1:23" x14ac:dyDescent="0.25">
      <c r="A66" s="11"/>
      <c r="B66" s="102" t="s">
        <v>23</v>
      </c>
      <c r="C66" s="322" t="s">
        <v>192</v>
      </c>
      <c r="D66" s="207" t="s">
        <v>47</v>
      </c>
      <c r="E66" s="395" t="s">
        <v>221</v>
      </c>
      <c r="F66" s="396"/>
      <c r="G66" s="360"/>
      <c r="H66" s="82">
        <f t="shared" si="35"/>
        <v>0</v>
      </c>
      <c r="I66" s="54"/>
      <c r="J66" s="325">
        <f t="shared" ref="J66:U66" si="46">IF($C30&gt;0,(J$16*$C30)*$G66,0)</f>
        <v>0</v>
      </c>
      <c r="K66" s="325">
        <f t="shared" si="46"/>
        <v>0</v>
      </c>
      <c r="L66" s="325">
        <f t="shared" si="46"/>
        <v>0</v>
      </c>
      <c r="M66" s="325">
        <f t="shared" si="46"/>
        <v>0</v>
      </c>
      <c r="N66" s="325">
        <f t="shared" si="46"/>
        <v>0</v>
      </c>
      <c r="O66" s="325">
        <f t="shared" si="46"/>
        <v>0</v>
      </c>
      <c r="P66" s="325">
        <f t="shared" si="46"/>
        <v>0</v>
      </c>
      <c r="Q66" s="325">
        <f t="shared" si="46"/>
        <v>0</v>
      </c>
      <c r="R66" s="325">
        <f t="shared" si="46"/>
        <v>0</v>
      </c>
      <c r="S66" s="325">
        <f t="shared" si="46"/>
        <v>0</v>
      </c>
      <c r="T66" s="325">
        <f t="shared" si="46"/>
        <v>0</v>
      </c>
      <c r="U66" s="326">
        <f t="shared" si="46"/>
        <v>0</v>
      </c>
    </row>
    <row r="67" spans="1:23" x14ac:dyDescent="0.25">
      <c r="A67" s="11"/>
      <c r="B67" s="102" t="s">
        <v>24</v>
      </c>
      <c r="C67" s="322" t="s">
        <v>192</v>
      </c>
      <c r="D67" s="207" t="s">
        <v>47</v>
      </c>
      <c r="E67" s="395" t="s">
        <v>221</v>
      </c>
      <c r="F67" s="396"/>
      <c r="G67" s="360"/>
      <c r="H67" s="82">
        <f t="shared" si="35"/>
        <v>0</v>
      </c>
      <c r="I67" s="54"/>
      <c r="J67" s="325">
        <f t="shared" ref="J67:U67" si="47">IF($C31&gt;0,(J$16*$C31)*$G67,0)</f>
        <v>0</v>
      </c>
      <c r="K67" s="325">
        <f t="shared" si="47"/>
        <v>0</v>
      </c>
      <c r="L67" s="325">
        <f t="shared" si="47"/>
        <v>0</v>
      </c>
      <c r="M67" s="325">
        <f t="shared" si="47"/>
        <v>0</v>
      </c>
      <c r="N67" s="325">
        <f t="shared" si="47"/>
        <v>0</v>
      </c>
      <c r="O67" s="325">
        <f t="shared" si="47"/>
        <v>0</v>
      </c>
      <c r="P67" s="325">
        <f t="shared" si="47"/>
        <v>0</v>
      </c>
      <c r="Q67" s="325">
        <f t="shared" si="47"/>
        <v>0</v>
      </c>
      <c r="R67" s="325">
        <f t="shared" si="47"/>
        <v>0</v>
      </c>
      <c r="S67" s="325">
        <f t="shared" si="47"/>
        <v>0</v>
      </c>
      <c r="T67" s="325">
        <f t="shared" si="47"/>
        <v>0</v>
      </c>
      <c r="U67" s="326">
        <f t="shared" si="47"/>
        <v>0</v>
      </c>
    </row>
    <row r="68" spans="1:23" x14ac:dyDescent="0.25">
      <c r="A68" s="11"/>
      <c r="B68" s="212" t="s">
        <v>26</v>
      </c>
      <c r="C68" s="322" t="s">
        <v>192</v>
      </c>
      <c r="D68" s="207" t="s">
        <v>47</v>
      </c>
      <c r="E68" s="395" t="s">
        <v>221</v>
      </c>
      <c r="F68" s="396"/>
      <c r="G68" s="360"/>
      <c r="H68" s="82">
        <f t="shared" si="35"/>
        <v>0</v>
      </c>
      <c r="I68" s="54"/>
      <c r="J68" s="325">
        <f t="shared" ref="J68:U68" si="48">IF($C32&gt;0,(J$16*$C32)*$G68,0)</f>
        <v>0</v>
      </c>
      <c r="K68" s="325">
        <f t="shared" si="48"/>
        <v>0</v>
      </c>
      <c r="L68" s="325">
        <f t="shared" si="48"/>
        <v>0</v>
      </c>
      <c r="M68" s="325">
        <f t="shared" si="48"/>
        <v>0</v>
      </c>
      <c r="N68" s="325">
        <f t="shared" si="48"/>
        <v>0</v>
      </c>
      <c r="O68" s="325">
        <f t="shared" si="48"/>
        <v>0</v>
      </c>
      <c r="P68" s="325">
        <f t="shared" si="48"/>
        <v>0</v>
      </c>
      <c r="Q68" s="325">
        <f t="shared" si="48"/>
        <v>0</v>
      </c>
      <c r="R68" s="325">
        <f t="shared" si="48"/>
        <v>0</v>
      </c>
      <c r="S68" s="325">
        <f t="shared" si="48"/>
        <v>0</v>
      </c>
      <c r="T68" s="325">
        <f t="shared" si="48"/>
        <v>0</v>
      </c>
      <c r="U68" s="326">
        <f t="shared" si="48"/>
        <v>0</v>
      </c>
    </row>
    <row r="69" spans="1:23" x14ac:dyDescent="0.25">
      <c r="A69" s="11"/>
      <c r="B69" s="102" t="s">
        <v>27</v>
      </c>
      <c r="C69" s="322" t="s">
        <v>192</v>
      </c>
      <c r="D69" s="207" t="s">
        <v>47</v>
      </c>
      <c r="E69" s="395" t="s">
        <v>221</v>
      </c>
      <c r="F69" s="396"/>
      <c r="G69" s="360"/>
      <c r="H69" s="82">
        <f t="shared" si="35"/>
        <v>0</v>
      </c>
      <c r="I69" s="54"/>
      <c r="J69" s="325">
        <f t="shared" ref="J69:U69" si="49">IF($C33&gt;0,(J$16*$C33)*$G69,0)</f>
        <v>0</v>
      </c>
      <c r="K69" s="325">
        <f t="shared" si="49"/>
        <v>0</v>
      </c>
      <c r="L69" s="325">
        <f t="shared" si="49"/>
        <v>0</v>
      </c>
      <c r="M69" s="325">
        <f t="shared" si="49"/>
        <v>0</v>
      </c>
      <c r="N69" s="325">
        <f t="shared" si="49"/>
        <v>0</v>
      </c>
      <c r="O69" s="325">
        <f t="shared" si="49"/>
        <v>0</v>
      </c>
      <c r="P69" s="325">
        <f t="shared" si="49"/>
        <v>0</v>
      </c>
      <c r="Q69" s="325">
        <f t="shared" si="49"/>
        <v>0</v>
      </c>
      <c r="R69" s="325">
        <f t="shared" si="49"/>
        <v>0</v>
      </c>
      <c r="S69" s="325">
        <f t="shared" si="49"/>
        <v>0</v>
      </c>
      <c r="T69" s="325">
        <f t="shared" si="49"/>
        <v>0</v>
      </c>
      <c r="U69" s="326">
        <f t="shared" si="49"/>
        <v>0</v>
      </c>
    </row>
    <row r="70" spans="1:23" x14ac:dyDescent="0.25">
      <c r="A70" s="11"/>
      <c r="B70" s="102" t="s">
        <v>28</v>
      </c>
      <c r="C70" s="322" t="s">
        <v>192</v>
      </c>
      <c r="D70" s="207" t="s">
        <v>47</v>
      </c>
      <c r="E70" s="395" t="s">
        <v>221</v>
      </c>
      <c r="F70" s="396"/>
      <c r="G70" s="360"/>
      <c r="H70" s="82">
        <f t="shared" si="35"/>
        <v>0</v>
      </c>
      <c r="I70" s="54"/>
      <c r="J70" s="325">
        <f t="shared" ref="J70:U70" si="50">IF($C34&gt;0,(J$16*$C34)*$G70,0)</f>
        <v>0</v>
      </c>
      <c r="K70" s="325">
        <f t="shared" si="50"/>
        <v>0</v>
      </c>
      <c r="L70" s="325">
        <f t="shared" si="50"/>
        <v>0</v>
      </c>
      <c r="M70" s="325">
        <f t="shared" si="50"/>
        <v>0</v>
      </c>
      <c r="N70" s="325">
        <f t="shared" si="50"/>
        <v>0</v>
      </c>
      <c r="O70" s="325">
        <f t="shared" si="50"/>
        <v>0</v>
      </c>
      <c r="P70" s="325">
        <f t="shared" si="50"/>
        <v>0</v>
      </c>
      <c r="Q70" s="325">
        <f t="shared" si="50"/>
        <v>0</v>
      </c>
      <c r="R70" s="325">
        <f t="shared" si="50"/>
        <v>0</v>
      </c>
      <c r="S70" s="325">
        <f t="shared" si="50"/>
        <v>0</v>
      </c>
      <c r="T70" s="325">
        <f t="shared" si="50"/>
        <v>0</v>
      </c>
      <c r="U70" s="326">
        <f t="shared" si="50"/>
        <v>0</v>
      </c>
    </row>
    <row r="71" spans="1:23" x14ac:dyDescent="0.25">
      <c r="A71" s="11"/>
      <c r="B71" s="212" t="s">
        <v>29</v>
      </c>
      <c r="C71" s="322" t="s">
        <v>192</v>
      </c>
      <c r="D71" s="207" t="s">
        <v>47</v>
      </c>
      <c r="E71" s="395" t="s">
        <v>221</v>
      </c>
      <c r="F71" s="396"/>
      <c r="G71" s="360"/>
      <c r="H71" s="82">
        <f t="shared" si="35"/>
        <v>0</v>
      </c>
      <c r="I71" s="54"/>
      <c r="J71" s="325">
        <f t="shared" ref="J71:U71" si="51">IF($C35&gt;0,(J$16*$C35)*$G71,0)</f>
        <v>0</v>
      </c>
      <c r="K71" s="325">
        <f t="shared" si="51"/>
        <v>0</v>
      </c>
      <c r="L71" s="325">
        <f t="shared" si="51"/>
        <v>0</v>
      </c>
      <c r="M71" s="325">
        <f t="shared" si="51"/>
        <v>0</v>
      </c>
      <c r="N71" s="325">
        <f t="shared" si="51"/>
        <v>0</v>
      </c>
      <c r="O71" s="325">
        <f t="shared" si="51"/>
        <v>0</v>
      </c>
      <c r="P71" s="325">
        <f t="shared" si="51"/>
        <v>0</v>
      </c>
      <c r="Q71" s="325">
        <f t="shared" si="51"/>
        <v>0</v>
      </c>
      <c r="R71" s="325">
        <f t="shared" si="51"/>
        <v>0</v>
      </c>
      <c r="S71" s="325">
        <f t="shared" si="51"/>
        <v>0</v>
      </c>
      <c r="T71" s="325">
        <f t="shared" si="51"/>
        <v>0</v>
      </c>
      <c r="U71" s="326">
        <f t="shared" si="51"/>
        <v>0</v>
      </c>
    </row>
    <row r="72" spans="1:23" x14ac:dyDescent="0.25">
      <c r="A72" s="11"/>
      <c r="B72" s="212" t="s">
        <v>31</v>
      </c>
      <c r="C72" s="322" t="s">
        <v>192</v>
      </c>
      <c r="D72" s="207" t="s">
        <v>47</v>
      </c>
      <c r="E72" s="395" t="s">
        <v>221</v>
      </c>
      <c r="F72" s="396"/>
      <c r="G72" s="360"/>
      <c r="H72" s="82">
        <f t="shared" si="35"/>
        <v>0</v>
      </c>
      <c r="I72" s="54"/>
      <c r="J72" s="325">
        <f t="shared" ref="J72:U72" si="52">IF($C36&gt;0,(J$16*$C36)*$G72,0)</f>
        <v>0</v>
      </c>
      <c r="K72" s="325">
        <f t="shared" si="52"/>
        <v>0</v>
      </c>
      <c r="L72" s="325">
        <f t="shared" si="52"/>
        <v>0</v>
      </c>
      <c r="M72" s="325">
        <f t="shared" si="52"/>
        <v>0</v>
      </c>
      <c r="N72" s="325">
        <f t="shared" si="52"/>
        <v>0</v>
      </c>
      <c r="O72" s="325">
        <f t="shared" si="52"/>
        <v>0</v>
      </c>
      <c r="P72" s="325">
        <f t="shared" si="52"/>
        <v>0</v>
      </c>
      <c r="Q72" s="325">
        <f t="shared" si="52"/>
        <v>0</v>
      </c>
      <c r="R72" s="325">
        <f t="shared" si="52"/>
        <v>0</v>
      </c>
      <c r="S72" s="325">
        <f t="shared" si="52"/>
        <v>0</v>
      </c>
      <c r="T72" s="325">
        <f t="shared" si="52"/>
        <v>0</v>
      </c>
      <c r="U72" s="326">
        <f t="shared" si="52"/>
        <v>0</v>
      </c>
    </row>
    <row r="73" spans="1:23" x14ac:dyDescent="0.25">
      <c r="A73" s="11"/>
      <c r="B73" s="212" t="s">
        <v>32</v>
      </c>
      <c r="C73" s="322" t="s">
        <v>192</v>
      </c>
      <c r="D73" s="207" t="s">
        <v>47</v>
      </c>
      <c r="E73" s="395" t="s">
        <v>221</v>
      </c>
      <c r="F73" s="396"/>
      <c r="G73" s="360"/>
      <c r="H73" s="82">
        <f t="shared" si="35"/>
        <v>0</v>
      </c>
      <c r="I73" s="54"/>
      <c r="J73" s="325">
        <f t="shared" ref="J73:U73" si="53">IF($C37&gt;0,(J$16*$C37)*$G73,0)</f>
        <v>0</v>
      </c>
      <c r="K73" s="325">
        <f t="shared" si="53"/>
        <v>0</v>
      </c>
      <c r="L73" s="325">
        <f t="shared" si="53"/>
        <v>0</v>
      </c>
      <c r="M73" s="325">
        <f t="shared" si="53"/>
        <v>0</v>
      </c>
      <c r="N73" s="325">
        <f t="shared" si="53"/>
        <v>0</v>
      </c>
      <c r="O73" s="325">
        <f t="shared" si="53"/>
        <v>0</v>
      </c>
      <c r="P73" s="325">
        <f t="shared" si="53"/>
        <v>0</v>
      </c>
      <c r="Q73" s="325">
        <f t="shared" si="53"/>
        <v>0</v>
      </c>
      <c r="R73" s="325">
        <f t="shared" si="53"/>
        <v>0</v>
      </c>
      <c r="S73" s="325">
        <f t="shared" si="53"/>
        <v>0</v>
      </c>
      <c r="T73" s="325">
        <f t="shared" si="53"/>
        <v>0</v>
      </c>
      <c r="U73" s="326">
        <f t="shared" si="53"/>
        <v>0</v>
      </c>
    </row>
    <row r="74" spans="1:23" x14ac:dyDescent="0.25">
      <c r="A74" s="11"/>
      <c r="B74" s="102" t="s">
        <v>33</v>
      </c>
      <c r="C74" s="322" t="s">
        <v>192</v>
      </c>
      <c r="D74" s="207" t="s">
        <v>47</v>
      </c>
      <c r="E74" s="395" t="s">
        <v>221</v>
      </c>
      <c r="F74" s="396"/>
      <c r="G74" s="360"/>
      <c r="H74" s="82">
        <f t="shared" si="35"/>
        <v>0</v>
      </c>
      <c r="I74" s="54"/>
      <c r="J74" s="325">
        <f t="shared" ref="J74:U74" si="54">IF($C38&gt;0,(J$16*$C38)*$G74,0)</f>
        <v>0</v>
      </c>
      <c r="K74" s="325">
        <f t="shared" si="54"/>
        <v>0</v>
      </c>
      <c r="L74" s="325">
        <f t="shared" si="54"/>
        <v>0</v>
      </c>
      <c r="M74" s="325">
        <f t="shared" si="54"/>
        <v>0</v>
      </c>
      <c r="N74" s="325">
        <f t="shared" si="54"/>
        <v>0</v>
      </c>
      <c r="O74" s="325">
        <f t="shared" si="54"/>
        <v>0</v>
      </c>
      <c r="P74" s="325">
        <f t="shared" si="54"/>
        <v>0</v>
      </c>
      <c r="Q74" s="325">
        <f t="shared" si="54"/>
        <v>0</v>
      </c>
      <c r="R74" s="325">
        <f t="shared" si="54"/>
        <v>0</v>
      </c>
      <c r="S74" s="325">
        <f t="shared" si="54"/>
        <v>0</v>
      </c>
      <c r="T74" s="325">
        <f t="shared" si="54"/>
        <v>0</v>
      </c>
      <c r="U74" s="326">
        <f t="shared" si="54"/>
        <v>0</v>
      </c>
    </row>
    <row r="75" spans="1:23" x14ac:dyDescent="0.25">
      <c r="A75" s="11"/>
      <c r="B75" s="212" t="s">
        <v>35</v>
      </c>
      <c r="C75" s="322" t="s">
        <v>192</v>
      </c>
      <c r="D75" s="207" t="s">
        <v>47</v>
      </c>
      <c r="E75" s="395" t="s">
        <v>221</v>
      </c>
      <c r="F75" s="362"/>
      <c r="G75" s="360"/>
      <c r="H75" s="82">
        <f t="shared" si="35"/>
        <v>0</v>
      </c>
      <c r="I75" s="54"/>
      <c r="J75" s="325">
        <f t="shared" ref="J75:U75" si="55">IF($C39&gt;0,(J$16*$C39)*$G75,0)</f>
        <v>0</v>
      </c>
      <c r="K75" s="325">
        <f t="shared" si="55"/>
        <v>0</v>
      </c>
      <c r="L75" s="325">
        <f t="shared" si="55"/>
        <v>0</v>
      </c>
      <c r="M75" s="325">
        <f t="shared" si="55"/>
        <v>0</v>
      </c>
      <c r="N75" s="325">
        <f t="shared" si="55"/>
        <v>0</v>
      </c>
      <c r="O75" s="325">
        <f t="shared" si="55"/>
        <v>0</v>
      </c>
      <c r="P75" s="325">
        <f t="shared" si="55"/>
        <v>0</v>
      </c>
      <c r="Q75" s="325">
        <f t="shared" si="55"/>
        <v>0</v>
      </c>
      <c r="R75" s="325">
        <f t="shared" si="55"/>
        <v>0</v>
      </c>
      <c r="S75" s="325">
        <f t="shared" si="55"/>
        <v>0</v>
      </c>
      <c r="T75" s="325">
        <f t="shared" si="55"/>
        <v>0</v>
      </c>
      <c r="U75" s="326">
        <f t="shared" si="55"/>
        <v>0</v>
      </c>
    </row>
    <row r="76" spans="1:23" x14ac:dyDescent="0.25">
      <c r="A76" s="11"/>
      <c r="B76" s="212" t="s">
        <v>36</v>
      </c>
      <c r="C76" s="322" t="s">
        <v>192</v>
      </c>
      <c r="D76" s="207" t="s">
        <v>47</v>
      </c>
      <c r="E76" s="395" t="s">
        <v>221</v>
      </c>
      <c r="F76" s="361"/>
      <c r="G76" s="360"/>
      <c r="H76" s="82">
        <f t="shared" si="35"/>
        <v>0</v>
      </c>
      <c r="I76" s="54"/>
      <c r="J76" s="325">
        <f t="shared" ref="J76:U76" si="56">IF($C40&gt;0,(J$16*$C40)*$G76,0)</f>
        <v>0</v>
      </c>
      <c r="K76" s="325">
        <f t="shared" si="56"/>
        <v>0</v>
      </c>
      <c r="L76" s="325">
        <f t="shared" si="56"/>
        <v>0</v>
      </c>
      <c r="M76" s="325">
        <f t="shared" si="56"/>
        <v>0</v>
      </c>
      <c r="N76" s="325">
        <f t="shared" si="56"/>
        <v>0</v>
      </c>
      <c r="O76" s="325">
        <f t="shared" si="56"/>
        <v>0</v>
      </c>
      <c r="P76" s="325">
        <f t="shared" si="56"/>
        <v>0</v>
      </c>
      <c r="Q76" s="325">
        <f t="shared" si="56"/>
        <v>0</v>
      </c>
      <c r="R76" s="325">
        <f t="shared" si="56"/>
        <v>0</v>
      </c>
      <c r="S76" s="325">
        <f t="shared" si="56"/>
        <v>0</v>
      </c>
      <c r="T76" s="325">
        <f t="shared" si="56"/>
        <v>0</v>
      </c>
      <c r="U76" s="326">
        <f t="shared" si="56"/>
        <v>0</v>
      </c>
    </row>
    <row r="77" spans="1:23" ht="15.75" thickBot="1" x14ac:dyDescent="0.3">
      <c r="A77" s="84"/>
      <c r="B77" s="214" t="s">
        <v>38</v>
      </c>
      <c r="C77" s="323" t="s">
        <v>192</v>
      </c>
      <c r="D77" s="215" t="s">
        <v>47</v>
      </c>
      <c r="E77" s="397" t="s">
        <v>221</v>
      </c>
      <c r="F77" s="363"/>
      <c r="G77" s="360"/>
      <c r="H77" s="82">
        <f t="shared" si="35"/>
        <v>0</v>
      </c>
      <c r="I77" s="54"/>
      <c r="J77" s="325">
        <f t="shared" ref="J77:U77" si="57">IF($C41&gt;0,(J$16*$C41)*$G77,0)</f>
        <v>0</v>
      </c>
      <c r="K77" s="325">
        <f t="shared" si="57"/>
        <v>0</v>
      </c>
      <c r="L77" s="325">
        <f t="shared" si="57"/>
        <v>0</v>
      </c>
      <c r="M77" s="325">
        <f t="shared" si="57"/>
        <v>0</v>
      </c>
      <c r="N77" s="325">
        <f t="shared" si="57"/>
        <v>0</v>
      </c>
      <c r="O77" s="325">
        <f t="shared" si="57"/>
        <v>0</v>
      </c>
      <c r="P77" s="325">
        <f t="shared" si="57"/>
        <v>0</v>
      </c>
      <c r="Q77" s="325">
        <f t="shared" si="57"/>
        <v>0</v>
      </c>
      <c r="R77" s="325">
        <f t="shared" si="57"/>
        <v>0</v>
      </c>
      <c r="S77" s="325">
        <f t="shared" si="57"/>
        <v>0</v>
      </c>
      <c r="T77" s="325">
        <f t="shared" si="57"/>
        <v>0</v>
      </c>
      <c r="U77" s="326">
        <f t="shared" si="57"/>
        <v>0</v>
      </c>
    </row>
    <row r="78" spans="1:23" ht="16.5" thickTop="1" thickBot="1" x14ac:dyDescent="0.3">
      <c r="A78" s="11"/>
      <c r="B78" s="85"/>
      <c r="C78" s="86"/>
      <c r="D78" s="86"/>
      <c r="E78" s="87"/>
      <c r="F78" s="88"/>
      <c r="G78" s="89" t="e">
        <f>H78/W16</f>
        <v>#DIV/0!</v>
      </c>
      <c r="H78" s="75">
        <f>SUM(H56:H77)</f>
        <v>0</v>
      </c>
      <c r="I78" s="76"/>
      <c r="J78" s="327">
        <f t="shared" ref="J78:U78" si="58">SUM(J56:J77)</f>
        <v>0</v>
      </c>
      <c r="K78" s="327">
        <f t="shared" si="58"/>
        <v>0</v>
      </c>
      <c r="L78" s="327">
        <f t="shared" si="58"/>
        <v>0</v>
      </c>
      <c r="M78" s="327">
        <f t="shared" si="58"/>
        <v>0</v>
      </c>
      <c r="N78" s="327">
        <f t="shared" si="58"/>
        <v>0</v>
      </c>
      <c r="O78" s="327">
        <f t="shared" si="58"/>
        <v>0</v>
      </c>
      <c r="P78" s="327">
        <f t="shared" si="58"/>
        <v>0</v>
      </c>
      <c r="Q78" s="327">
        <f t="shared" si="58"/>
        <v>0</v>
      </c>
      <c r="R78" s="327">
        <f t="shared" si="58"/>
        <v>0</v>
      </c>
      <c r="S78" s="327">
        <f t="shared" si="58"/>
        <v>0</v>
      </c>
      <c r="T78" s="327">
        <f t="shared" si="58"/>
        <v>0</v>
      </c>
      <c r="U78" s="328">
        <f t="shared" si="58"/>
        <v>0</v>
      </c>
      <c r="W78" s="67">
        <f>SUM(J78:U78)</f>
        <v>0</v>
      </c>
    </row>
    <row r="79" spans="1:23" ht="15.75" thickBot="1" x14ac:dyDescent="0.3">
      <c r="A79" s="11"/>
      <c r="B79" s="84"/>
      <c r="C79" s="84"/>
      <c r="D79" s="84"/>
      <c r="E79" s="52"/>
      <c r="F79" s="90"/>
      <c r="G79" s="91"/>
      <c r="H79" s="92"/>
      <c r="I79" s="46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</row>
    <row r="80" spans="1:23" ht="15.75" thickBot="1" x14ac:dyDescent="0.3">
      <c r="A80" s="11"/>
      <c r="B80" s="93" t="s">
        <v>48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40"/>
    </row>
    <row r="81" spans="1:21" x14ac:dyDescent="0.25">
      <c r="A81" s="11"/>
      <c r="B81" s="94" t="s">
        <v>49</v>
      </c>
      <c r="C81" s="80" t="s">
        <v>44</v>
      </c>
      <c r="D81" s="42" t="s">
        <v>220</v>
      </c>
      <c r="E81" s="80" t="s">
        <v>50</v>
      </c>
      <c r="F81" s="80" t="s">
        <v>51</v>
      </c>
      <c r="G81" s="42" t="s">
        <v>239</v>
      </c>
      <c r="H81" s="42" t="s">
        <v>18</v>
      </c>
      <c r="I81" s="43"/>
      <c r="J81" s="178">
        <v>45658</v>
      </c>
      <c r="K81" s="178">
        <v>45689</v>
      </c>
      <c r="L81" s="178">
        <v>45717</v>
      </c>
      <c r="M81" s="178">
        <v>45748</v>
      </c>
      <c r="N81" s="178">
        <v>45778</v>
      </c>
      <c r="O81" s="178">
        <v>45809</v>
      </c>
      <c r="P81" s="178">
        <v>45839</v>
      </c>
      <c r="Q81" s="178">
        <v>45870</v>
      </c>
      <c r="R81" s="178">
        <v>45901</v>
      </c>
      <c r="S81" s="178">
        <v>45931</v>
      </c>
      <c r="T81" s="178">
        <v>45962</v>
      </c>
      <c r="U81" s="178">
        <v>45992</v>
      </c>
    </row>
    <row r="82" spans="1:21" x14ac:dyDescent="0.25">
      <c r="A82" s="11"/>
      <c r="B82" s="95" t="s">
        <v>52</v>
      </c>
      <c r="C82" s="330" t="s">
        <v>212</v>
      </c>
      <c r="D82" s="97" t="s">
        <v>53</v>
      </c>
      <c r="E82" s="98"/>
      <c r="F82" s="98"/>
      <c r="G82" s="96"/>
      <c r="H82" s="99">
        <f t="shared" ref="H82:H105" si="59">SUM(J82:U82)</f>
        <v>0</v>
      </c>
      <c r="J82" s="364"/>
      <c r="K82" s="364"/>
      <c r="L82" s="364"/>
      <c r="M82" s="364"/>
      <c r="N82" s="364"/>
      <c r="O82" s="364"/>
      <c r="P82" s="364"/>
      <c r="Q82" s="364"/>
      <c r="R82" s="364"/>
      <c r="S82" s="364"/>
      <c r="T82" s="364"/>
      <c r="U82" s="365"/>
    </row>
    <row r="83" spans="1:21" x14ac:dyDescent="0.25">
      <c r="A83" s="11"/>
      <c r="B83" s="102" t="s">
        <v>227</v>
      </c>
      <c r="C83" s="331" t="s">
        <v>213</v>
      </c>
      <c r="D83" s="104" t="s">
        <v>53</v>
      </c>
      <c r="E83" s="103">
        <v>699</v>
      </c>
      <c r="F83" s="103">
        <v>3675</v>
      </c>
      <c r="G83" s="103"/>
      <c r="H83" s="99">
        <f t="shared" si="59"/>
        <v>0</v>
      </c>
      <c r="I83" s="46"/>
      <c r="J83" s="364"/>
      <c r="K83" s="364"/>
      <c r="L83" s="364"/>
      <c r="M83" s="364"/>
      <c r="N83" s="364"/>
      <c r="O83" s="364"/>
      <c r="P83" s="364"/>
      <c r="Q83" s="364"/>
      <c r="R83" s="364"/>
      <c r="S83" s="364"/>
      <c r="T83" s="364"/>
      <c r="U83" s="365"/>
    </row>
    <row r="84" spans="1:21" x14ac:dyDescent="0.25">
      <c r="A84" s="11"/>
      <c r="B84" s="102" t="s">
        <v>54</v>
      </c>
      <c r="C84" s="331" t="s">
        <v>216</v>
      </c>
      <c r="D84" s="104" t="s">
        <v>53</v>
      </c>
      <c r="E84" s="103">
        <v>699</v>
      </c>
      <c r="F84" s="103">
        <v>3691</v>
      </c>
      <c r="G84" s="103"/>
      <c r="H84" s="99">
        <f t="shared" si="59"/>
        <v>0</v>
      </c>
      <c r="I84" s="46"/>
      <c r="J84" s="364"/>
      <c r="K84" s="364"/>
      <c r="L84" s="364"/>
      <c r="M84" s="364"/>
      <c r="N84" s="364"/>
      <c r="O84" s="364"/>
      <c r="P84" s="364"/>
      <c r="Q84" s="364"/>
      <c r="R84" s="364"/>
      <c r="S84" s="364"/>
      <c r="T84" s="364"/>
      <c r="U84" s="365"/>
    </row>
    <row r="85" spans="1:21" x14ac:dyDescent="0.25">
      <c r="A85" s="11"/>
      <c r="B85" s="102" t="s">
        <v>55</v>
      </c>
      <c r="C85" s="331" t="s">
        <v>217</v>
      </c>
      <c r="D85" s="104" t="s">
        <v>53</v>
      </c>
      <c r="E85" s="103">
        <v>699</v>
      </c>
      <c r="F85" s="103">
        <v>3677</v>
      </c>
      <c r="G85" s="103"/>
      <c r="H85" s="99">
        <f t="shared" si="59"/>
        <v>0</v>
      </c>
      <c r="I85" s="46"/>
      <c r="J85" s="364"/>
      <c r="K85" s="364"/>
      <c r="L85" s="364"/>
      <c r="M85" s="364"/>
      <c r="N85" s="364"/>
      <c r="O85" s="364"/>
      <c r="P85" s="364"/>
      <c r="Q85" s="364"/>
      <c r="R85" s="364"/>
      <c r="S85" s="364"/>
      <c r="T85" s="364"/>
      <c r="U85" s="365"/>
    </row>
    <row r="86" spans="1:21" x14ac:dyDescent="0.25">
      <c r="A86" s="11"/>
      <c r="B86" s="105" t="s">
        <v>228</v>
      </c>
      <c r="C86" s="103">
        <v>721</v>
      </c>
      <c r="D86" s="104" t="s">
        <v>53</v>
      </c>
      <c r="E86" s="103">
        <v>699</v>
      </c>
      <c r="F86" s="103">
        <v>3671</v>
      </c>
      <c r="G86" s="103"/>
      <c r="H86" s="99">
        <f t="shared" si="59"/>
        <v>0</v>
      </c>
      <c r="J86" s="364"/>
      <c r="K86" s="364"/>
      <c r="L86" s="364"/>
      <c r="M86" s="364"/>
      <c r="N86" s="364"/>
      <c r="O86" s="364"/>
      <c r="P86" s="364"/>
      <c r="Q86" s="364"/>
      <c r="R86" s="364"/>
      <c r="S86" s="364"/>
      <c r="T86" s="364"/>
      <c r="U86" s="365"/>
    </row>
    <row r="87" spans="1:21" x14ac:dyDescent="0.25">
      <c r="A87" s="11"/>
      <c r="B87" s="105" t="s">
        <v>56</v>
      </c>
      <c r="C87" s="331" t="s">
        <v>218</v>
      </c>
      <c r="D87" s="104" t="s">
        <v>53</v>
      </c>
      <c r="E87" s="103">
        <v>699</v>
      </c>
      <c r="F87" s="103">
        <v>3669</v>
      </c>
      <c r="G87" s="103"/>
      <c r="H87" s="99">
        <f t="shared" si="59"/>
        <v>0</v>
      </c>
      <c r="J87" s="364"/>
      <c r="K87" s="364"/>
      <c r="L87" s="364"/>
      <c r="M87" s="364"/>
      <c r="N87" s="364"/>
      <c r="O87" s="364"/>
      <c r="P87" s="364"/>
      <c r="Q87" s="364"/>
      <c r="R87" s="364"/>
      <c r="S87" s="364"/>
      <c r="T87" s="364"/>
      <c r="U87" s="365"/>
    </row>
    <row r="88" spans="1:21" x14ac:dyDescent="0.25">
      <c r="A88" s="11"/>
      <c r="B88" s="105" t="s">
        <v>57</v>
      </c>
      <c r="C88" s="331" t="s">
        <v>219</v>
      </c>
      <c r="D88" s="104" t="s">
        <v>53</v>
      </c>
      <c r="E88" s="103">
        <v>699</v>
      </c>
      <c r="F88" s="103">
        <v>3665</v>
      </c>
      <c r="G88" s="103"/>
      <c r="H88" s="99">
        <f t="shared" si="59"/>
        <v>0</v>
      </c>
      <c r="J88" s="364"/>
      <c r="K88" s="364"/>
      <c r="L88" s="364"/>
      <c r="M88" s="364"/>
      <c r="N88" s="364"/>
      <c r="O88" s="364"/>
      <c r="P88" s="364"/>
      <c r="Q88" s="364"/>
      <c r="R88" s="364"/>
      <c r="S88" s="364"/>
      <c r="T88" s="364"/>
      <c r="U88" s="365"/>
    </row>
    <row r="89" spans="1:21" x14ac:dyDescent="0.25">
      <c r="A89" s="11"/>
      <c r="B89" s="105" t="s">
        <v>229</v>
      </c>
      <c r="C89" s="331" t="s">
        <v>215</v>
      </c>
      <c r="D89" s="104" t="s">
        <v>53</v>
      </c>
      <c r="E89" s="103">
        <v>699</v>
      </c>
      <c r="F89" s="103">
        <v>3963</v>
      </c>
      <c r="G89" s="103"/>
      <c r="H89" s="99">
        <f t="shared" si="59"/>
        <v>0</v>
      </c>
      <c r="J89" s="364"/>
      <c r="K89" s="364"/>
      <c r="L89" s="364"/>
      <c r="M89" s="364"/>
      <c r="N89" s="364"/>
      <c r="O89" s="364"/>
      <c r="P89" s="364"/>
      <c r="Q89" s="364"/>
      <c r="R89" s="364"/>
      <c r="S89" s="364"/>
      <c r="T89" s="364"/>
      <c r="U89" s="365"/>
    </row>
    <row r="90" spans="1:21" x14ac:dyDescent="0.25">
      <c r="A90" s="11"/>
      <c r="B90" s="105" t="s">
        <v>238</v>
      </c>
      <c r="C90" s="331" t="s">
        <v>214</v>
      </c>
      <c r="D90" s="332" t="s">
        <v>59</v>
      </c>
      <c r="E90" s="103"/>
      <c r="F90" s="103"/>
      <c r="G90" s="103"/>
      <c r="H90" s="99">
        <f t="shared" si="59"/>
        <v>0</v>
      </c>
      <c r="J90" s="347"/>
      <c r="K90" s="347"/>
      <c r="L90" s="347"/>
      <c r="M90" s="347"/>
      <c r="N90" s="347"/>
      <c r="O90" s="347"/>
      <c r="P90" s="347"/>
      <c r="Q90" s="347"/>
      <c r="R90" s="347"/>
      <c r="S90" s="347"/>
      <c r="T90" s="347"/>
      <c r="U90" s="348"/>
    </row>
    <row r="91" spans="1:21" x14ac:dyDescent="0.25">
      <c r="A91" s="11"/>
      <c r="B91" s="105" t="s">
        <v>225</v>
      </c>
      <c r="C91" s="103">
        <v>720</v>
      </c>
      <c r="D91" s="332" t="s">
        <v>59</v>
      </c>
      <c r="E91" s="103"/>
      <c r="F91" s="103"/>
      <c r="G91" s="103"/>
      <c r="H91" s="99">
        <f t="shared" si="59"/>
        <v>0</v>
      </c>
      <c r="I91" s="46"/>
      <c r="J91" s="47">
        <f t="shared" ref="J91:U91" si="60">J115</f>
        <v>0</v>
      </c>
      <c r="K91" s="47">
        <f t="shared" si="60"/>
        <v>0</v>
      </c>
      <c r="L91" s="47">
        <f t="shared" si="60"/>
        <v>0</v>
      </c>
      <c r="M91" s="47">
        <f t="shared" si="60"/>
        <v>0</v>
      </c>
      <c r="N91" s="47">
        <f t="shared" si="60"/>
        <v>0</v>
      </c>
      <c r="O91" s="47">
        <f t="shared" si="60"/>
        <v>0</v>
      </c>
      <c r="P91" s="47">
        <f t="shared" si="60"/>
        <v>0</v>
      </c>
      <c r="Q91" s="47">
        <f t="shared" si="60"/>
        <v>0</v>
      </c>
      <c r="R91" s="47">
        <f t="shared" si="60"/>
        <v>0</v>
      </c>
      <c r="S91" s="47">
        <f t="shared" si="60"/>
        <v>0</v>
      </c>
      <c r="T91" s="47">
        <f t="shared" si="60"/>
        <v>0</v>
      </c>
      <c r="U91" s="48">
        <f t="shared" si="60"/>
        <v>0</v>
      </c>
    </row>
    <row r="92" spans="1:21" x14ac:dyDescent="0.25">
      <c r="A92" s="11"/>
      <c r="B92" s="105" t="s">
        <v>226</v>
      </c>
      <c r="C92" s="103">
        <v>720</v>
      </c>
      <c r="D92" s="332" t="s">
        <v>59</v>
      </c>
      <c r="E92" s="103"/>
      <c r="F92" s="103"/>
      <c r="G92" s="103"/>
      <c r="H92" s="99">
        <f t="shared" si="59"/>
        <v>0</v>
      </c>
      <c r="I92" s="46"/>
      <c r="J92" s="47">
        <f t="shared" ref="J92:U92" si="61">J114</f>
        <v>0</v>
      </c>
      <c r="K92" s="47">
        <f t="shared" si="61"/>
        <v>0</v>
      </c>
      <c r="L92" s="47">
        <f t="shared" si="61"/>
        <v>0</v>
      </c>
      <c r="M92" s="47">
        <f t="shared" si="61"/>
        <v>0</v>
      </c>
      <c r="N92" s="47">
        <f t="shared" si="61"/>
        <v>0</v>
      </c>
      <c r="O92" s="47">
        <f t="shared" si="61"/>
        <v>0</v>
      </c>
      <c r="P92" s="47">
        <f t="shared" si="61"/>
        <v>0</v>
      </c>
      <c r="Q92" s="47">
        <f t="shared" si="61"/>
        <v>0</v>
      </c>
      <c r="R92" s="47">
        <f t="shared" si="61"/>
        <v>0</v>
      </c>
      <c r="S92" s="47">
        <f t="shared" si="61"/>
        <v>0</v>
      </c>
      <c r="T92" s="47">
        <f t="shared" si="61"/>
        <v>0</v>
      </c>
      <c r="U92" s="48">
        <f t="shared" si="61"/>
        <v>0</v>
      </c>
    </row>
    <row r="93" spans="1:21" x14ac:dyDescent="0.25">
      <c r="A93" s="11"/>
      <c r="B93" s="105" t="s">
        <v>205</v>
      </c>
      <c r="C93" s="103">
        <v>720</v>
      </c>
      <c r="D93" s="332" t="s">
        <v>59</v>
      </c>
      <c r="E93" s="103"/>
      <c r="F93" s="103"/>
      <c r="G93" s="103"/>
      <c r="H93" s="99">
        <f t="shared" si="59"/>
        <v>0</v>
      </c>
      <c r="I93" s="46"/>
      <c r="J93" s="47">
        <f t="shared" ref="J93:U93" si="62">J118</f>
        <v>0</v>
      </c>
      <c r="K93" s="47">
        <f t="shared" si="62"/>
        <v>0</v>
      </c>
      <c r="L93" s="47">
        <f t="shared" si="62"/>
        <v>0</v>
      </c>
      <c r="M93" s="47">
        <f t="shared" si="62"/>
        <v>0</v>
      </c>
      <c r="N93" s="47">
        <f t="shared" si="62"/>
        <v>0</v>
      </c>
      <c r="O93" s="47">
        <f t="shared" si="62"/>
        <v>0</v>
      </c>
      <c r="P93" s="47">
        <f t="shared" si="62"/>
        <v>0</v>
      </c>
      <c r="Q93" s="47">
        <f t="shared" si="62"/>
        <v>0</v>
      </c>
      <c r="R93" s="47">
        <f t="shared" si="62"/>
        <v>0</v>
      </c>
      <c r="S93" s="47">
        <f t="shared" si="62"/>
        <v>0</v>
      </c>
      <c r="T93" s="47">
        <f t="shared" si="62"/>
        <v>0</v>
      </c>
      <c r="U93" s="48">
        <f t="shared" si="62"/>
        <v>0</v>
      </c>
    </row>
    <row r="94" spans="1:21" x14ac:dyDescent="0.25">
      <c r="A94" s="11"/>
      <c r="B94" s="105" t="s">
        <v>60</v>
      </c>
      <c r="C94" s="331" t="s">
        <v>194</v>
      </c>
      <c r="D94" s="332" t="s">
        <v>59</v>
      </c>
      <c r="E94" s="103"/>
      <c r="F94" s="103"/>
      <c r="G94" s="103"/>
      <c r="H94" s="99">
        <f t="shared" si="59"/>
        <v>0</v>
      </c>
      <c r="J94" s="47">
        <f t="shared" ref="J94:U94" si="63">J119</f>
        <v>0</v>
      </c>
      <c r="K94" s="47">
        <f t="shared" si="63"/>
        <v>0</v>
      </c>
      <c r="L94" s="47">
        <f t="shared" si="63"/>
        <v>0</v>
      </c>
      <c r="M94" s="47">
        <f t="shared" si="63"/>
        <v>0</v>
      </c>
      <c r="N94" s="47">
        <f t="shared" si="63"/>
        <v>0</v>
      </c>
      <c r="O94" s="47">
        <f t="shared" si="63"/>
        <v>0</v>
      </c>
      <c r="P94" s="47">
        <f t="shared" si="63"/>
        <v>0</v>
      </c>
      <c r="Q94" s="47">
        <f t="shared" si="63"/>
        <v>0</v>
      </c>
      <c r="R94" s="47">
        <f t="shared" si="63"/>
        <v>0</v>
      </c>
      <c r="S94" s="47">
        <f t="shared" si="63"/>
        <v>0</v>
      </c>
      <c r="T94" s="47">
        <f t="shared" si="63"/>
        <v>0</v>
      </c>
      <c r="U94" s="48">
        <f t="shared" si="63"/>
        <v>0</v>
      </c>
    </row>
    <row r="95" spans="1:21" x14ac:dyDescent="0.25">
      <c r="A95" s="11"/>
      <c r="B95" s="105" t="s">
        <v>80</v>
      </c>
      <c r="C95" s="331" t="s">
        <v>194</v>
      </c>
      <c r="D95" s="332" t="s">
        <v>59</v>
      </c>
      <c r="E95" s="103"/>
      <c r="F95" s="103"/>
      <c r="G95" s="103"/>
      <c r="H95" s="99">
        <f t="shared" si="59"/>
        <v>0</v>
      </c>
      <c r="J95" s="47">
        <f t="shared" ref="J95:U95" si="64">J120</f>
        <v>0</v>
      </c>
      <c r="K95" s="47">
        <f t="shared" si="64"/>
        <v>0</v>
      </c>
      <c r="L95" s="47">
        <f t="shared" si="64"/>
        <v>0</v>
      </c>
      <c r="M95" s="47">
        <f t="shared" si="64"/>
        <v>0</v>
      </c>
      <c r="N95" s="47">
        <f t="shared" si="64"/>
        <v>0</v>
      </c>
      <c r="O95" s="47">
        <f t="shared" si="64"/>
        <v>0</v>
      </c>
      <c r="P95" s="47">
        <f t="shared" si="64"/>
        <v>0</v>
      </c>
      <c r="Q95" s="47">
        <f t="shared" si="64"/>
        <v>0</v>
      </c>
      <c r="R95" s="47">
        <f t="shared" si="64"/>
        <v>0</v>
      </c>
      <c r="S95" s="47">
        <f t="shared" si="64"/>
        <v>0</v>
      </c>
      <c r="T95" s="47">
        <f t="shared" si="64"/>
        <v>0</v>
      </c>
      <c r="U95" s="48">
        <f t="shared" si="64"/>
        <v>0</v>
      </c>
    </row>
    <row r="96" spans="1:21" x14ac:dyDescent="0.25">
      <c r="A96" s="11"/>
      <c r="B96" s="105" t="s">
        <v>230</v>
      </c>
      <c r="C96" s="104">
        <v>305</v>
      </c>
      <c r="D96" s="332" t="s">
        <v>61</v>
      </c>
      <c r="E96" s="103"/>
      <c r="F96" s="103"/>
      <c r="G96" s="103"/>
      <c r="H96" s="99">
        <f t="shared" si="59"/>
        <v>0</v>
      </c>
      <c r="J96" s="364"/>
      <c r="K96" s="364"/>
      <c r="L96" s="364"/>
      <c r="M96" s="364"/>
      <c r="N96" s="364"/>
      <c r="O96" s="364"/>
      <c r="P96" s="364"/>
      <c r="Q96" s="364"/>
      <c r="R96" s="364"/>
      <c r="S96" s="364"/>
      <c r="T96" s="364"/>
      <c r="U96" s="365"/>
    </row>
    <row r="97" spans="1:23" x14ac:dyDescent="0.25">
      <c r="A97" s="11"/>
      <c r="B97" s="105" t="s">
        <v>231</v>
      </c>
      <c r="C97" s="104">
        <v>306</v>
      </c>
      <c r="D97" s="332" t="s">
        <v>61</v>
      </c>
      <c r="E97" s="4"/>
      <c r="F97" s="103"/>
      <c r="G97" s="103"/>
      <c r="H97" s="99">
        <f t="shared" si="59"/>
        <v>0</v>
      </c>
      <c r="J97" s="364"/>
      <c r="K97" s="364"/>
      <c r="L97" s="364"/>
      <c r="M97" s="364"/>
      <c r="N97" s="364"/>
      <c r="O97" s="364"/>
      <c r="P97" s="364"/>
      <c r="Q97" s="364"/>
      <c r="R97" s="364"/>
      <c r="S97" s="364"/>
      <c r="T97" s="364"/>
      <c r="U97" s="365"/>
    </row>
    <row r="98" spans="1:23" x14ac:dyDescent="0.25">
      <c r="A98" s="11"/>
      <c r="B98" s="105" t="s">
        <v>232</v>
      </c>
      <c r="C98" s="334" t="s">
        <v>195</v>
      </c>
      <c r="D98" s="332" t="s">
        <v>62</v>
      </c>
      <c r="E98" s="103"/>
      <c r="F98" s="103"/>
      <c r="G98" s="103"/>
      <c r="H98" s="99">
        <f t="shared" si="59"/>
        <v>0</v>
      </c>
      <c r="J98" s="364"/>
      <c r="K98" s="364"/>
      <c r="L98" s="364"/>
      <c r="M98" s="364"/>
      <c r="N98" s="364"/>
      <c r="O98" s="364"/>
      <c r="P98" s="364"/>
      <c r="Q98" s="364"/>
      <c r="R98" s="364"/>
      <c r="S98" s="364"/>
      <c r="T98" s="364"/>
      <c r="U98" s="365"/>
    </row>
    <row r="99" spans="1:23" x14ac:dyDescent="0.25">
      <c r="A99" s="11"/>
      <c r="B99" s="105" t="s">
        <v>233</v>
      </c>
      <c r="C99" s="334" t="s">
        <v>196</v>
      </c>
      <c r="D99" s="332" t="s">
        <v>62</v>
      </c>
      <c r="E99" s="103"/>
      <c r="F99" s="103"/>
      <c r="G99" s="103"/>
      <c r="H99" s="99">
        <f t="shared" si="59"/>
        <v>0</v>
      </c>
      <c r="J99" s="364"/>
      <c r="K99" s="364"/>
      <c r="L99" s="364"/>
      <c r="M99" s="364"/>
      <c r="N99" s="364"/>
      <c r="O99" s="364"/>
      <c r="P99" s="364"/>
      <c r="Q99" s="364"/>
      <c r="R99" s="364"/>
      <c r="S99" s="364"/>
      <c r="T99" s="364"/>
      <c r="U99" s="365"/>
    </row>
    <row r="100" spans="1:23" x14ac:dyDescent="0.25">
      <c r="A100" s="11"/>
      <c r="B100" s="105" t="s">
        <v>235</v>
      </c>
      <c r="C100" s="334" t="s">
        <v>197</v>
      </c>
      <c r="D100" s="332" t="s">
        <v>63</v>
      </c>
      <c r="E100" s="103"/>
      <c r="F100" s="103"/>
      <c r="G100" s="103"/>
      <c r="H100" s="99">
        <f t="shared" si="59"/>
        <v>0</v>
      </c>
      <c r="J100" s="364"/>
      <c r="K100" s="364"/>
      <c r="L100" s="364"/>
      <c r="M100" s="364"/>
      <c r="N100" s="364"/>
      <c r="O100" s="364"/>
      <c r="P100" s="364"/>
      <c r="Q100" s="364"/>
      <c r="R100" s="364"/>
      <c r="S100" s="364"/>
      <c r="T100" s="364"/>
      <c r="U100" s="365"/>
    </row>
    <row r="101" spans="1:23" x14ac:dyDescent="0.25">
      <c r="A101" s="11"/>
      <c r="B101" s="105" t="s">
        <v>64</v>
      </c>
      <c r="C101" s="334" t="s">
        <v>198</v>
      </c>
      <c r="D101" s="332" t="s">
        <v>63</v>
      </c>
      <c r="E101" s="104"/>
      <c r="F101" s="103"/>
      <c r="G101" s="400" t="e">
        <f>H101/$W$16</f>
        <v>#DIV/0!</v>
      </c>
      <c r="H101" s="99">
        <f t="shared" si="59"/>
        <v>0</v>
      </c>
      <c r="J101" s="364"/>
      <c r="K101" s="364"/>
      <c r="L101" s="364"/>
      <c r="M101" s="364"/>
      <c r="N101" s="364"/>
      <c r="O101" s="364"/>
      <c r="P101" s="364"/>
      <c r="Q101" s="364"/>
      <c r="R101" s="364"/>
      <c r="S101" s="364"/>
      <c r="T101" s="364"/>
      <c r="U101" s="365"/>
    </row>
    <row r="102" spans="1:23" x14ac:dyDescent="0.25">
      <c r="A102" s="11"/>
      <c r="B102" s="105" t="s">
        <v>65</v>
      </c>
      <c r="C102" s="334" t="s">
        <v>199</v>
      </c>
      <c r="D102" s="332" t="s">
        <v>63</v>
      </c>
      <c r="E102" s="104">
        <v>365</v>
      </c>
      <c r="F102" s="103"/>
      <c r="G102" s="103"/>
      <c r="H102" s="99">
        <f t="shared" si="59"/>
        <v>0</v>
      </c>
      <c r="J102" s="364"/>
      <c r="K102" s="364"/>
      <c r="L102" s="364"/>
      <c r="M102" s="364"/>
      <c r="N102" s="364"/>
      <c r="O102" s="364"/>
      <c r="P102" s="364"/>
      <c r="Q102" s="364"/>
      <c r="R102" s="364"/>
      <c r="S102" s="364"/>
      <c r="T102" s="364"/>
      <c r="U102" s="365"/>
    </row>
    <row r="103" spans="1:23" x14ac:dyDescent="0.25">
      <c r="A103" s="11"/>
      <c r="B103" s="105" t="s">
        <v>66</v>
      </c>
      <c r="C103" s="334" t="s">
        <v>200</v>
      </c>
      <c r="D103" s="332" t="s">
        <v>67</v>
      </c>
      <c r="E103" s="103">
        <v>338</v>
      </c>
      <c r="F103" s="103"/>
      <c r="G103" s="398">
        <v>0.33</v>
      </c>
      <c r="H103" s="99">
        <f t="shared" si="59"/>
        <v>0</v>
      </c>
      <c r="I103" s="46"/>
      <c r="J103" s="47">
        <f t="shared" ref="J103:U103" si="65">$G$103*J16</f>
        <v>0</v>
      </c>
      <c r="K103" s="47">
        <f t="shared" si="65"/>
        <v>0</v>
      </c>
      <c r="L103" s="47">
        <f t="shared" si="65"/>
        <v>0</v>
      </c>
      <c r="M103" s="47">
        <f t="shared" si="65"/>
        <v>0</v>
      </c>
      <c r="N103" s="47">
        <f t="shared" si="65"/>
        <v>0</v>
      </c>
      <c r="O103" s="47">
        <f t="shared" si="65"/>
        <v>0</v>
      </c>
      <c r="P103" s="47">
        <f t="shared" si="65"/>
        <v>0</v>
      </c>
      <c r="Q103" s="47">
        <f t="shared" si="65"/>
        <v>0</v>
      </c>
      <c r="R103" s="47">
        <f t="shared" si="65"/>
        <v>0</v>
      </c>
      <c r="S103" s="47">
        <f t="shared" si="65"/>
        <v>0</v>
      </c>
      <c r="T103" s="47">
        <f t="shared" si="65"/>
        <v>0</v>
      </c>
      <c r="U103" s="48">
        <f t="shared" si="65"/>
        <v>0</v>
      </c>
    </row>
    <row r="104" spans="1:23" x14ac:dyDescent="0.25">
      <c r="A104" s="11"/>
      <c r="B104" s="105" t="s">
        <v>234</v>
      </c>
      <c r="C104" s="104">
        <v>351</v>
      </c>
      <c r="D104" s="332" t="s">
        <v>67</v>
      </c>
      <c r="E104" s="103">
        <v>324</v>
      </c>
      <c r="F104" s="103"/>
      <c r="G104" s="399">
        <v>1.6000000000000001E-3</v>
      </c>
      <c r="H104" s="99">
        <f t="shared" si="59"/>
        <v>0</v>
      </c>
      <c r="J104" s="47">
        <f t="shared" ref="J104:U104" si="66">$G$104*J46/100</f>
        <v>0</v>
      </c>
      <c r="K104" s="47">
        <f t="shared" si="66"/>
        <v>0</v>
      </c>
      <c r="L104" s="47">
        <f t="shared" si="66"/>
        <v>0</v>
      </c>
      <c r="M104" s="47">
        <f t="shared" si="66"/>
        <v>0</v>
      </c>
      <c r="N104" s="47">
        <f t="shared" si="66"/>
        <v>0</v>
      </c>
      <c r="O104" s="47">
        <f t="shared" si="66"/>
        <v>0</v>
      </c>
      <c r="P104" s="47">
        <f t="shared" si="66"/>
        <v>0</v>
      </c>
      <c r="Q104" s="47">
        <f t="shared" si="66"/>
        <v>0</v>
      </c>
      <c r="R104" s="47">
        <f t="shared" si="66"/>
        <v>0</v>
      </c>
      <c r="S104" s="47">
        <f t="shared" si="66"/>
        <v>0</v>
      </c>
      <c r="T104" s="47">
        <f t="shared" si="66"/>
        <v>0</v>
      </c>
      <c r="U104" s="48">
        <f t="shared" si="66"/>
        <v>0</v>
      </c>
    </row>
    <row r="105" spans="1:23" ht="15.75" thickBot="1" x14ac:dyDescent="0.3">
      <c r="A105" s="11"/>
      <c r="B105" s="106" t="s">
        <v>68</v>
      </c>
      <c r="C105" s="333" t="s">
        <v>201</v>
      </c>
      <c r="D105" s="335" t="s">
        <v>67</v>
      </c>
      <c r="E105" s="108"/>
      <c r="F105" s="108"/>
      <c r="G105" s="398">
        <v>4.5</v>
      </c>
      <c r="H105" s="99">
        <f t="shared" si="59"/>
        <v>0</v>
      </c>
      <c r="J105" s="350">
        <f t="shared" ref="J105:U105" si="67">$G$105*J16</f>
        <v>0</v>
      </c>
      <c r="K105" s="350">
        <f t="shared" si="67"/>
        <v>0</v>
      </c>
      <c r="L105" s="350">
        <f t="shared" si="67"/>
        <v>0</v>
      </c>
      <c r="M105" s="350">
        <f t="shared" si="67"/>
        <v>0</v>
      </c>
      <c r="N105" s="350">
        <f t="shared" si="67"/>
        <v>0</v>
      </c>
      <c r="O105" s="350">
        <f t="shared" si="67"/>
        <v>0</v>
      </c>
      <c r="P105" s="350">
        <f t="shared" si="67"/>
        <v>0</v>
      </c>
      <c r="Q105" s="350">
        <f t="shared" si="67"/>
        <v>0</v>
      </c>
      <c r="R105" s="350">
        <f t="shared" si="67"/>
        <v>0</v>
      </c>
      <c r="S105" s="350">
        <f t="shared" si="67"/>
        <v>0</v>
      </c>
      <c r="T105" s="350">
        <f t="shared" si="67"/>
        <v>0</v>
      </c>
      <c r="U105" s="351">
        <f t="shared" si="67"/>
        <v>0</v>
      </c>
    </row>
    <row r="106" spans="1:23" x14ac:dyDescent="0.25">
      <c r="B106" s="11"/>
      <c r="U106" s="109"/>
    </row>
    <row r="107" spans="1:23" ht="15.75" thickBot="1" x14ac:dyDescent="0.3">
      <c r="A107" s="11"/>
      <c r="B107" s="110" t="s">
        <v>69</v>
      </c>
      <c r="C107" s="33"/>
      <c r="D107" s="33"/>
      <c r="E107" s="33"/>
      <c r="F107" s="33"/>
      <c r="G107" s="111" t="e">
        <f>H107/B127</f>
        <v>#DIV/0!</v>
      </c>
      <c r="H107" s="64">
        <f>SUM(H82:H105)</f>
        <v>0</v>
      </c>
      <c r="I107" s="112"/>
      <c r="J107" s="64">
        <f t="shared" ref="J107:U107" si="68">SUM(J82:J105)</f>
        <v>0</v>
      </c>
      <c r="K107" s="64">
        <f t="shared" si="68"/>
        <v>0</v>
      </c>
      <c r="L107" s="64">
        <f t="shared" si="68"/>
        <v>0</v>
      </c>
      <c r="M107" s="64">
        <f t="shared" si="68"/>
        <v>0</v>
      </c>
      <c r="N107" s="64">
        <f t="shared" si="68"/>
        <v>0</v>
      </c>
      <c r="O107" s="64">
        <f t="shared" si="68"/>
        <v>0</v>
      </c>
      <c r="P107" s="64">
        <f t="shared" si="68"/>
        <v>0</v>
      </c>
      <c r="Q107" s="64">
        <f t="shared" si="68"/>
        <v>0</v>
      </c>
      <c r="R107" s="64">
        <f t="shared" si="68"/>
        <v>0</v>
      </c>
      <c r="S107" s="64">
        <f t="shared" si="68"/>
        <v>0</v>
      </c>
      <c r="T107" s="64">
        <f t="shared" si="68"/>
        <v>0</v>
      </c>
      <c r="U107" s="66">
        <f t="shared" si="68"/>
        <v>0</v>
      </c>
    </row>
    <row r="108" spans="1:23" ht="15.75" thickBot="1" x14ac:dyDescent="0.3"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</row>
    <row r="109" spans="1:23" ht="16.5" thickTop="1" thickBot="1" x14ac:dyDescent="0.3">
      <c r="B109" s="113" t="s">
        <v>70</v>
      </c>
      <c r="C109" s="114"/>
      <c r="D109" s="114"/>
      <c r="E109" s="114"/>
      <c r="F109" s="114"/>
      <c r="G109" s="115"/>
      <c r="H109" s="116">
        <f>H51+H78+H107</f>
        <v>0</v>
      </c>
      <c r="I109" s="115"/>
      <c r="J109" s="116">
        <f t="shared" ref="J109:U109" si="69">J51+J78+J107</f>
        <v>0</v>
      </c>
      <c r="K109" s="116">
        <f t="shared" si="69"/>
        <v>0</v>
      </c>
      <c r="L109" s="116">
        <f t="shared" si="69"/>
        <v>0</v>
      </c>
      <c r="M109" s="116">
        <f t="shared" si="69"/>
        <v>0</v>
      </c>
      <c r="N109" s="116">
        <f t="shared" si="69"/>
        <v>0</v>
      </c>
      <c r="O109" s="116">
        <f t="shared" si="69"/>
        <v>0</v>
      </c>
      <c r="P109" s="116">
        <f t="shared" si="69"/>
        <v>0</v>
      </c>
      <c r="Q109" s="116">
        <f t="shared" si="69"/>
        <v>0</v>
      </c>
      <c r="R109" s="116">
        <f t="shared" si="69"/>
        <v>0</v>
      </c>
      <c r="S109" s="116">
        <f t="shared" si="69"/>
        <v>0</v>
      </c>
      <c r="T109" s="116">
        <f t="shared" si="69"/>
        <v>0</v>
      </c>
      <c r="U109" s="117">
        <f t="shared" si="69"/>
        <v>0</v>
      </c>
      <c r="W109" s="67">
        <f>SUM(J109:U109)</f>
        <v>0</v>
      </c>
    </row>
    <row r="110" spans="1:23" ht="15.75" thickBot="1" x14ac:dyDescent="0.3"/>
    <row r="111" spans="1:23" ht="16.5" thickTop="1" thickBot="1" x14ac:dyDescent="0.3">
      <c r="B111" s="113" t="s">
        <v>71</v>
      </c>
      <c r="C111" s="114"/>
      <c r="D111" s="114"/>
      <c r="E111" s="114"/>
      <c r="F111" s="114"/>
      <c r="G111" s="114"/>
      <c r="H111" s="116">
        <f>H46-H109</f>
        <v>0</v>
      </c>
      <c r="I111" s="115"/>
      <c r="J111" s="116">
        <f t="shared" ref="J111:U111" si="70">J46-J109</f>
        <v>0</v>
      </c>
      <c r="K111" s="116">
        <f t="shared" si="70"/>
        <v>0</v>
      </c>
      <c r="L111" s="116">
        <f t="shared" si="70"/>
        <v>0</v>
      </c>
      <c r="M111" s="116">
        <f t="shared" si="70"/>
        <v>0</v>
      </c>
      <c r="N111" s="116">
        <f t="shared" si="70"/>
        <v>0</v>
      </c>
      <c r="O111" s="116">
        <f t="shared" si="70"/>
        <v>0</v>
      </c>
      <c r="P111" s="116">
        <f t="shared" si="70"/>
        <v>0</v>
      </c>
      <c r="Q111" s="116">
        <f t="shared" si="70"/>
        <v>0</v>
      </c>
      <c r="R111" s="116">
        <f t="shared" si="70"/>
        <v>0</v>
      </c>
      <c r="S111" s="116">
        <f t="shared" si="70"/>
        <v>0</v>
      </c>
      <c r="T111" s="116">
        <f t="shared" si="70"/>
        <v>0</v>
      </c>
      <c r="U111" s="117">
        <f t="shared" si="70"/>
        <v>0</v>
      </c>
      <c r="W111" s="67">
        <f>SUM(J111:U111)</f>
        <v>0</v>
      </c>
    </row>
    <row r="112" spans="1:23" ht="15.75" thickBot="1" x14ac:dyDescent="0.3"/>
    <row r="113" spans="2:21" x14ac:dyDescent="0.25">
      <c r="B113" s="71" t="s">
        <v>72</v>
      </c>
      <c r="C113" s="80" t="s">
        <v>44</v>
      </c>
      <c r="D113" s="42" t="s">
        <v>220</v>
      </c>
      <c r="E113" s="42" t="s">
        <v>203</v>
      </c>
      <c r="F113" s="42" t="s">
        <v>240</v>
      </c>
      <c r="G113" s="42" t="s">
        <v>239</v>
      </c>
      <c r="H113" s="9"/>
      <c r="I113" s="118"/>
      <c r="J113" s="448" t="s">
        <v>73</v>
      </c>
      <c r="K113" s="448"/>
      <c r="L113" s="448"/>
      <c r="M113" s="448"/>
      <c r="N113" s="448"/>
      <c r="O113" s="448"/>
      <c r="P113" s="448"/>
      <c r="Q113" s="448"/>
      <c r="R113" s="448"/>
      <c r="S113" s="448"/>
      <c r="T113" s="448"/>
      <c r="U113" s="449"/>
    </row>
    <row r="114" spans="2:21" x14ac:dyDescent="0.25">
      <c r="B114" s="119" t="s">
        <v>74</v>
      </c>
      <c r="C114" s="340">
        <v>720</v>
      </c>
      <c r="D114" s="120" t="s">
        <v>59</v>
      </c>
      <c r="E114" s="121" t="s">
        <v>75</v>
      </c>
      <c r="F114" s="401"/>
      <c r="G114" s="345">
        <f t="shared" ref="G114:G122" si="71">IFERROR(H114/F114,0)</f>
        <v>0</v>
      </c>
      <c r="H114" s="345">
        <f t="shared" ref="H114:H122" si="72">SUM(J114:U114)</f>
        <v>0</v>
      </c>
      <c r="J114" s="366"/>
      <c r="K114" s="366"/>
      <c r="L114" s="366"/>
      <c r="M114" s="366"/>
      <c r="N114" s="366"/>
      <c r="O114" s="366"/>
      <c r="P114" s="366"/>
      <c r="Q114" s="366"/>
      <c r="R114" s="366"/>
      <c r="S114" s="366"/>
      <c r="T114" s="366"/>
      <c r="U114" s="367"/>
    </row>
    <row r="115" spans="2:21" x14ac:dyDescent="0.25">
      <c r="B115" s="119" t="s">
        <v>76</v>
      </c>
      <c r="C115" s="340">
        <v>720</v>
      </c>
      <c r="D115" s="120" t="s">
        <v>59</v>
      </c>
      <c r="E115" s="121" t="s">
        <v>75</v>
      </c>
      <c r="F115" s="401"/>
      <c r="G115" s="345">
        <f t="shared" si="71"/>
        <v>0</v>
      </c>
      <c r="H115" s="345">
        <f t="shared" si="72"/>
        <v>0</v>
      </c>
      <c r="J115" s="366"/>
      <c r="K115" s="366"/>
      <c r="L115" s="366"/>
      <c r="M115" s="366"/>
      <c r="N115" s="366"/>
      <c r="O115" s="366"/>
      <c r="P115" s="366"/>
      <c r="Q115" s="366"/>
      <c r="R115" s="366"/>
      <c r="S115" s="366"/>
      <c r="T115" s="366"/>
      <c r="U115" s="368"/>
    </row>
    <row r="116" spans="2:21" x14ac:dyDescent="0.25">
      <c r="B116" s="119" t="s">
        <v>77</v>
      </c>
      <c r="C116" s="340">
        <v>720</v>
      </c>
      <c r="D116" s="120" t="s">
        <v>59</v>
      </c>
      <c r="E116" s="121" t="s">
        <v>75</v>
      </c>
      <c r="F116" s="401"/>
      <c r="G116" s="345">
        <f t="shared" si="71"/>
        <v>0</v>
      </c>
      <c r="H116" s="345">
        <f t="shared" si="72"/>
        <v>0</v>
      </c>
      <c r="J116" s="366"/>
      <c r="K116" s="366"/>
      <c r="L116" s="366"/>
      <c r="M116" s="366"/>
      <c r="N116" s="366"/>
      <c r="O116" s="366"/>
      <c r="P116" s="366"/>
      <c r="Q116" s="366"/>
      <c r="R116" s="366"/>
      <c r="S116" s="366"/>
      <c r="T116" s="366"/>
      <c r="U116" s="368"/>
    </row>
    <row r="117" spans="2:21" x14ac:dyDescent="0.25">
      <c r="B117" s="119" t="s">
        <v>78</v>
      </c>
      <c r="C117" s="340">
        <v>720</v>
      </c>
      <c r="D117" s="120" t="s">
        <v>59</v>
      </c>
      <c r="E117" s="121" t="s">
        <v>75</v>
      </c>
      <c r="F117" s="401"/>
      <c r="G117" s="345">
        <f t="shared" si="71"/>
        <v>0</v>
      </c>
      <c r="H117" s="345">
        <f t="shared" si="72"/>
        <v>0</v>
      </c>
      <c r="J117" s="366"/>
      <c r="K117" s="366"/>
      <c r="L117" s="366"/>
      <c r="M117" s="366"/>
      <c r="N117" s="366"/>
      <c r="O117" s="366"/>
      <c r="P117" s="366"/>
      <c r="Q117" s="366"/>
      <c r="R117" s="366"/>
      <c r="S117" s="366"/>
      <c r="T117" s="366"/>
      <c r="U117" s="368"/>
    </row>
    <row r="118" spans="2:21" x14ac:dyDescent="0.25">
      <c r="B118" s="119" t="s">
        <v>205</v>
      </c>
      <c r="C118" s="340">
        <v>720</v>
      </c>
      <c r="D118" s="120" t="s">
        <v>59</v>
      </c>
      <c r="E118" s="121" t="s">
        <v>206</v>
      </c>
      <c r="F118" s="401"/>
      <c r="G118" s="345">
        <f t="shared" si="71"/>
        <v>0</v>
      </c>
      <c r="H118" s="345">
        <f t="shared" si="72"/>
        <v>0</v>
      </c>
      <c r="J118" s="366"/>
      <c r="K118" s="366"/>
      <c r="L118" s="366"/>
      <c r="M118" s="366"/>
      <c r="N118" s="366"/>
      <c r="O118" s="366"/>
      <c r="P118" s="366"/>
      <c r="Q118" s="366"/>
      <c r="R118" s="366"/>
      <c r="S118" s="366"/>
      <c r="T118" s="366"/>
      <c r="U118" s="368"/>
    </row>
    <row r="119" spans="2:21" x14ac:dyDescent="0.25">
      <c r="B119" s="119" t="s">
        <v>60</v>
      </c>
      <c r="C119" s="341" t="s">
        <v>194</v>
      </c>
      <c r="D119" s="120" t="s">
        <v>59</v>
      </c>
      <c r="E119" s="121" t="s">
        <v>79</v>
      </c>
      <c r="F119" s="401"/>
      <c r="G119" s="345">
        <f t="shared" si="71"/>
        <v>0</v>
      </c>
      <c r="H119" s="345">
        <f t="shared" si="72"/>
        <v>0</v>
      </c>
      <c r="J119" s="366"/>
      <c r="K119" s="366"/>
      <c r="L119" s="366"/>
      <c r="M119" s="366"/>
      <c r="N119" s="366"/>
      <c r="O119" s="366"/>
      <c r="P119" s="366"/>
      <c r="Q119" s="366"/>
      <c r="R119" s="366"/>
      <c r="S119" s="366"/>
      <c r="T119" s="366"/>
      <c r="U119" s="368"/>
    </row>
    <row r="120" spans="2:21" x14ac:dyDescent="0.25">
      <c r="B120" s="119" t="s">
        <v>80</v>
      </c>
      <c r="C120" s="341" t="s">
        <v>194</v>
      </c>
      <c r="D120" s="120" t="s">
        <v>59</v>
      </c>
      <c r="E120" s="121" t="s">
        <v>81</v>
      </c>
      <c r="F120" s="401"/>
      <c r="G120" s="345">
        <f t="shared" si="71"/>
        <v>0</v>
      </c>
      <c r="H120" s="345">
        <f t="shared" si="72"/>
        <v>0</v>
      </c>
      <c r="J120" s="366"/>
      <c r="K120" s="366"/>
      <c r="L120" s="366"/>
      <c r="M120" s="366"/>
      <c r="N120" s="366"/>
      <c r="O120" s="366"/>
      <c r="P120" s="366"/>
      <c r="Q120" s="366"/>
      <c r="R120" s="366"/>
      <c r="S120" s="366"/>
      <c r="T120" s="366"/>
      <c r="U120" s="368"/>
    </row>
    <row r="121" spans="2:21" x14ac:dyDescent="0.25">
      <c r="B121" s="336" t="s">
        <v>237</v>
      </c>
      <c r="C121" s="342" t="s">
        <v>195</v>
      </c>
      <c r="D121" s="337" t="s">
        <v>62</v>
      </c>
      <c r="E121" s="338" t="s">
        <v>79</v>
      </c>
      <c r="F121" s="402"/>
      <c r="G121" s="345">
        <f t="shared" si="71"/>
        <v>0</v>
      </c>
      <c r="H121" s="345">
        <f t="shared" si="72"/>
        <v>0</v>
      </c>
      <c r="J121" s="366"/>
      <c r="K121" s="366"/>
      <c r="L121" s="366"/>
      <c r="M121" s="366"/>
      <c r="N121" s="366"/>
      <c r="O121" s="366"/>
      <c r="P121" s="366"/>
      <c r="Q121" s="366"/>
      <c r="R121" s="366"/>
      <c r="S121" s="366"/>
      <c r="T121" s="366"/>
      <c r="U121" s="369"/>
    </row>
    <row r="122" spans="2:21" ht="15.75" thickBot="1" x14ac:dyDescent="0.3">
      <c r="B122" s="125" t="s">
        <v>236</v>
      </c>
      <c r="C122" s="343" t="s">
        <v>195</v>
      </c>
      <c r="D122" s="126" t="s">
        <v>62</v>
      </c>
      <c r="E122" s="127" t="s">
        <v>81</v>
      </c>
      <c r="F122" s="403"/>
      <c r="G122" s="437">
        <f t="shared" si="71"/>
        <v>0</v>
      </c>
      <c r="H122" s="346">
        <f t="shared" si="72"/>
        <v>0</v>
      </c>
      <c r="I122" s="33"/>
      <c r="J122" s="370"/>
      <c r="K122" s="370"/>
      <c r="L122" s="370"/>
      <c r="M122" s="370"/>
      <c r="N122" s="370"/>
      <c r="O122" s="370"/>
      <c r="P122" s="370"/>
      <c r="Q122" s="370"/>
      <c r="R122" s="370"/>
      <c r="S122" s="370"/>
      <c r="T122" s="370"/>
      <c r="U122" s="371"/>
    </row>
    <row r="123" spans="2:21" x14ac:dyDescent="0.25">
      <c r="J123" s="131"/>
      <c r="K123" s="131"/>
      <c r="L123" s="131"/>
      <c r="M123" s="131"/>
      <c r="N123" s="131"/>
      <c r="O123" s="131"/>
      <c r="P123" s="131"/>
      <c r="Q123" s="131"/>
      <c r="R123" s="131"/>
      <c r="S123" s="131"/>
      <c r="T123" s="131"/>
      <c r="U123" s="131"/>
    </row>
    <row r="124" spans="2:21" ht="15.75" thickBot="1" x14ac:dyDescent="0.3">
      <c r="J124" s="131"/>
      <c r="K124" s="131"/>
      <c r="L124" s="131"/>
      <c r="M124" s="131"/>
      <c r="N124" s="131"/>
      <c r="O124" s="131"/>
      <c r="P124" s="131"/>
      <c r="Q124" s="131"/>
      <c r="R124" s="131"/>
      <c r="S124" s="131"/>
      <c r="T124" s="131"/>
      <c r="U124" s="131"/>
    </row>
    <row r="125" spans="2:21" x14ac:dyDescent="0.25">
      <c r="B125" s="71" t="s">
        <v>82</v>
      </c>
      <c r="C125" s="9"/>
      <c r="D125" s="9"/>
      <c r="E125" s="9"/>
      <c r="F125" s="9"/>
      <c r="G125" s="40"/>
      <c r="J125" s="131"/>
      <c r="K125" s="131"/>
      <c r="L125" s="131"/>
      <c r="M125" s="131"/>
      <c r="N125" s="131"/>
      <c r="O125" s="131"/>
      <c r="P125" s="131"/>
      <c r="Q125" s="131"/>
      <c r="R125" s="131"/>
      <c r="S125" s="131"/>
      <c r="T125" s="131"/>
      <c r="U125" s="131"/>
    </row>
    <row r="126" spans="2:21" x14ac:dyDescent="0.25">
      <c r="B126" s="132" t="s">
        <v>83</v>
      </c>
      <c r="C126" s="43" t="s">
        <v>84</v>
      </c>
      <c r="D126"/>
      <c r="E126"/>
      <c r="F126" s="450" t="s">
        <v>85</v>
      </c>
      <c r="G126" s="451"/>
      <c r="I126" s="131"/>
      <c r="J126" s="131"/>
      <c r="K126" s="131"/>
      <c r="L126" s="131"/>
      <c r="M126" s="131"/>
      <c r="N126" s="131"/>
      <c r="O126" s="131"/>
      <c r="P126" s="131"/>
      <c r="Q126" s="131"/>
      <c r="R126" s="131"/>
      <c r="S126" s="131"/>
      <c r="T126" s="131"/>
    </row>
    <row r="127" spans="2:21" ht="18.75" x14ac:dyDescent="0.3">
      <c r="B127" s="133">
        <f>W16</f>
        <v>0</v>
      </c>
      <c r="C127" s="134"/>
      <c r="D127" s="134"/>
      <c r="E127" s="134"/>
      <c r="F127" s="135"/>
      <c r="G127" s="136"/>
      <c r="I127" s="131"/>
      <c r="J127" s="131"/>
      <c r="K127" s="131"/>
      <c r="L127" s="131"/>
      <c r="M127" s="131"/>
      <c r="N127" s="131"/>
      <c r="O127" s="131"/>
      <c r="P127" s="131"/>
      <c r="Q127" s="131"/>
      <c r="R127" s="131"/>
      <c r="S127" s="131"/>
      <c r="T127" s="131"/>
    </row>
    <row r="128" spans="2:21" x14ac:dyDescent="0.25">
      <c r="B128" s="137" t="s">
        <v>86</v>
      </c>
      <c r="C128" s="134"/>
      <c r="D128" s="134"/>
      <c r="E128" s="138">
        <f>H46</f>
        <v>0</v>
      </c>
      <c r="F128" s="135"/>
      <c r="G128" s="139" t="e">
        <f>E128/$B$127</f>
        <v>#DIV/0!</v>
      </c>
      <c r="I128" s="131"/>
      <c r="J128" s="131"/>
      <c r="K128" s="131"/>
      <c r="L128" s="131"/>
      <c r="M128" s="131"/>
      <c r="N128" s="131"/>
      <c r="O128" s="131"/>
      <c r="P128" s="131"/>
      <c r="Q128" s="131"/>
      <c r="R128" s="131"/>
      <c r="S128" s="131"/>
      <c r="T128" s="131"/>
    </row>
    <row r="129" spans="2:21" ht="9" customHeight="1" x14ac:dyDescent="0.25">
      <c r="B129" s="11"/>
      <c r="C129" s="134"/>
      <c r="D129" s="134"/>
      <c r="E129" s="134"/>
      <c r="F129" s="135"/>
      <c r="G129" s="136"/>
      <c r="I129" s="131"/>
      <c r="J129" s="131"/>
      <c r="K129" s="131"/>
      <c r="L129" s="131"/>
      <c r="M129" s="131"/>
      <c r="N129" s="131"/>
      <c r="O129" s="131"/>
      <c r="P129" s="131"/>
      <c r="Q129" s="131"/>
      <c r="R129" s="131"/>
      <c r="S129" s="131"/>
      <c r="T129" s="131"/>
    </row>
    <row r="130" spans="2:21" x14ac:dyDescent="0.25">
      <c r="B130" s="137" t="s">
        <v>87</v>
      </c>
      <c r="C130" s="134"/>
      <c r="D130" s="134"/>
      <c r="E130" s="134"/>
      <c r="F130" s="135"/>
      <c r="G130" s="136"/>
      <c r="I130" s="131"/>
      <c r="J130" s="131"/>
      <c r="K130" s="131"/>
      <c r="L130" s="131"/>
      <c r="M130" s="131"/>
      <c r="N130" s="131"/>
      <c r="O130" s="131"/>
      <c r="P130" s="131"/>
      <c r="Q130" s="131"/>
      <c r="R130" s="131"/>
      <c r="S130" s="131"/>
      <c r="T130" s="131"/>
    </row>
    <row r="131" spans="2:21" x14ac:dyDescent="0.25">
      <c r="B131" s="24" t="s">
        <v>88</v>
      </c>
      <c r="C131" s="138">
        <f>H51+SUM(H82:H89)</f>
        <v>0</v>
      </c>
      <c r="D131" s="138"/>
      <c r="E131" s="134"/>
      <c r="F131" s="140" t="e">
        <f t="shared" ref="F131:F138" si="73">C131/$B$127</f>
        <v>#DIV/0!</v>
      </c>
      <c r="G131" s="136"/>
      <c r="I131" s="131"/>
      <c r="J131" s="131"/>
      <c r="K131" s="131"/>
      <c r="L131" s="131"/>
      <c r="M131" s="131"/>
      <c r="N131" s="131"/>
      <c r="O131" s="131"/>
      <c r="P131" s="131"/>
      <c r="Q131" s="131"/>
      <c r="R131" s="131"/>
      <c r="S131" s="131"/>
      <c r="T131" s="131"/>
    </row>
    <row r="132" spans="2:21" x14ac:dyDescent="0.25">
      <c r="B132" s="24" t="s">
        <v>89</v>
      </c>
      <c r="C132" s="138">
        <f>H78</f>
        <v>0</v>
      </c>
      <c r="D132" s="138"/>
      <c r="E132" s="134"/>
      <c r="F132" s="140" t="e">
        <f t="shared" si="73"/>
        <v>#DIV/0!</v>
      </c>
      <c r="G132" s="136"/>
      <c r="I132" s="131"/>
      <c r="J132" s="131"/>
      <c r="K132" s="131"/>
      <c r="L132" s="131"/>
      <c r="M132" s="131"/>
      <c r="N132" s="131"/>
      <c r="O132" s="131"/>
      <c r="P132" s="131"/>
      <c r="Q132" s="131"/>
      <c r="R132" s="131"/>
      <c r="S132" s="131"/>
      <c r="T132" s="131"/>
    </row>
    <row r="133" spans="2:21" x14ac:dyDescent="0.25">
      <c r="B133" s="24" t="s">
        <v>59</v>
      </c>
      <c r="C133" s="138">
        <f>SUM(H90:H95)</f>
        <v>0</v>
      </c>
      <c r="D133" s="138"/>
      <c r="E133" s="134"/>
      <c r="F133" s="140" t="e">
        <f t="shared" si="73"/>
        <v>#DIV/0!</v>
      </c>
      <c r="G133" s="136"/>
      <c r="I133" s="131"/>
      <c r="J133" s="131"/>
      <c r="K133" s="131"/>
      <c r="L133" s="131"/>
      <c r="M133" s="131"/>
      <c r="N133" s="131"/>
      <c r="O133" s="131"/>
      <c r="P133" s="131"/>
      <c r="Q133" s="148"/>
      <c r="R133" s="131"/>
      <c r="S133" s="131"/>
      <c r="T133" s="131"/>
    </row>
    <row r="134" spans="2:21" x14ac:dyDescent="0.25">
      <c r="B134" s="24" t="s">
        <v>90</v>
      </c>
      <c r="C134" s="138">
        <f>SUM(H96:H97)</f>
        <v>0</v>
      </c>
      <c r="D134" s="138"/>
      <c r="E134" s="134"/>
      <c r="F134" s="140" t="e">
        <f t="shared" si="73"/>
        <v>#DIV/0!</v>
      </c>
      <c r="G134" s="136"/>
      <c r="I134" s="131"/>
      <c r="J134" s="131"/>
      <c r="K134" s="131"/>
      <c r="L134" s="131"/>
      <c r="M134" s="131"/>
      <c r="N134" s="131"/>
      <c r="O134" s="131"/>
      <c r="P134" s="131"/>
      <c r="Q134" s="131"/>
      <c r="R134" s="131"/>
      <c r="S134" s="131"/>
      <c r="T134" s="131"/>
    </row>
    <row r="135" spans="2:21" x14ac:dyDescent="0.25">
      <c r="B135" s="24" t="s">
        <v>91</v>
      </c>
      <c r="C135" s="138">
        <f>SUM(H98:H99)</f>
        <v>0</v>
      </c>
      <c r="D135" s="138"/>
      <c r="E135" s="134"/>
      <c r="F135" s="140" t="e">
        <f t="shared" si="73"/>
        <v>#DIV/0!</v>
      </c>
      <c r="G135" s="136"/>
      <c r="I135" s="131"/>
      <c r="J135" s="131"/>
      <c r="K135" s="131"/>
      <c r="L135" s="131"/>
      <c r="M135" s="131"/>
      <c r="N135" s="131"/>
      <c r="O135" s="131"/>
      <c r="P135" s="131"/>
      <c r="Q135" s="131"/>
      <c r="R135" s="131"/>
      <c r="S135" s="131"/>
      <c r="T135" s="131"/>
    </row>
    <row r="136" spans="2:21" x14ac:dyDescent="0.25">
      <c r="B136" s="24" t="s">
        <v>63</v>
      </c>
      <c r="C136" s="138">
        <f>SUM(H100:H102)</f>
        <v>0</v>
      </c>
      <c r="D136" s="138"/>
      <c r="E136" s="134"/>
      <c r="F136" s="140" t="e">
        <f t="shared" si="73"/>
        <v>#DIV/0!</v>
      </c>
      <c r="G136" s="136"/>
      <c r="I136" s="131"/>
      <c r="J136" s="131"/>
      <c r="K136" s="131"/>
      <c r="L136" s="131"/>
      <c r="M136" s="131"/>
      <c r="N136" s="131"/>
      <c r="O136" s="131"/>
      <c r="P136" s="131"/>
      <c r="Q136" s="131"/>
      <c r="R136" s="131"/>
      <c r="S136" s="131"/>
      <c r="T136" s="131"/>
    </row>
    <row r="137" spans="2:21" x14ac:dyDescent="0.25">
      <c r="B137" s="24" t="s">
        <v>68</v>
      </c>
      <c r="C137" s="138">
        <f>H105</f>
        <v>0</v>
      </c>
      <c r="D137" s="138"/>
      <c r="E137" s="134"/>
      <c r="F137" s="140" t="e">
        <f t="shared" si="73"/>
        <v>#DIV/0!</v>
      </c>
      <c r="G137" s="136"/>
      <c r="I137" s="131"/>
      <c r="J137" s="131"/>
      <c r="K137" s="131"/>
      <c r="L137" s="131"/>
      <c r="M137" s="131"/>
      <c r="N137" s="131"/>
      <c r="O137" s="131"/>
      <c r="P137" s="131"/>
      <c r="Q137" s="131"/>
      <c r="R137" s="131"/>
      <c r="S137" s="131"/>
      <c r="T137" s="131"/>
    </row>
    <row r="138" spans="2:21" x14ac:dyDescent="0.25">
      <c r="B138" s="24" t="s">
        <v>92</v>
      </c>
      <c r="C138" s="141">
        <f>SUM(H103:H104)</f>
        <v>0</v>
      </c>
      <c r="D138" s="141"/>
      <c r="E138" s="141">
        <f>SUM(C131:C138)</f>
        <v>0</v>
      </c>
      <c r="F138" s="142" t="e">
        <f t="shared" si="73"/>
        <v>#DIV/0!</v>
      </c>
      <c r="G138" s="143" t="e">
        <f>SUM(F131:F138)</f>
        <v>#DIV/0!</v>
      </c>
      <c r="I138" s="131"/>
      <c r="J138" s="131"/>
      <c r="K138" s="131"/>
      <c r="L138" s="131"/>
      <c r="M138" s="131"/>
      <c r="N138" s="131"/>
      <c r="O138" s="131"/>
      <c r="P138" s="131"/>
      <c r="Q138" s="131"/>
      <c r="R138" s="131"/>
      <c r="S138" s="131"/>
      <c r="T138" s="131"/>
    </row>
    <row r="139" spans="2:21" ht="19.5" thickBot="1" x14ac:dyDescent="0.35">
      <c r="B139" s="32"/>
      <c r="C139" s="144"/>
      <c r="D139" s="144"/>
      <c r="E139" s="145">
        <f>E128-E138</f>
        <v>0</v>
      </c>
      <c r="F139" s="146"/>
      <c r="G139" s="147" t="e">
        <f>G128-G138</f>
        <v>#DIV/0!</v>
      </c>
      <c r="I139" s="131"/>
      <c r="J139" s="131"/>
      <c r="K139" s="131"/>
      <c r="L139" s="131"/>
      <c r="M139" s="131"/>
      <c r="N139" s="131"/>
      <c r="O139" s="131"/>
      <c r="P139" s="131"/>
      <c r="Q139" s="131"/>
      <c r="R139" s="131"/>
      <c r="S139" s="131"/>
      <c r="T139" s="131"/>
    </row>
    <row r="140" spans="2:21" x14ac:dyDescent="0.25">
      <c r="J140" s="131"/>
      <c r="K140" s="131"/>
      <c r="L140" s="131"/>
      <c r="M140" s="131"/>
      <c r="N140" s="131"/>
      <c r="O140" s="131"/>
      <c r="P140" s="131"/>
      <c r="Q140" s="131"/>
      <c r="R140" s="131"/>
      <c r="S140" s="131"/>
      <c r="T140" s="131"/>
      <c r="U140" s="131"/>
    </row>
    <row r="141" spans="2:21" x14ac:dyDescent="0.25">
      <c r="J141" s="131"/>
      <c r="K141" s="131"/>
      <c r="L141" s="131"/>
      <c r="M141" s="131"/>
      <c r="N141" s="131"/>
      <c r="O141" s="131"/>
      <c r="P141" s="131"/>
      <c r="Q141" s="131"/>
      <c r="R141" s="131"/>
      <c r="S141" s="131"/>
      <c r="T141" s="131"/>
      <c r="U141" s="131"/>
    </row>
    <row r="142" spans="2:21" x14ac:dyDescent="0.25">
      <c r="J142" s="131"/>
      <c r="K142" s="131"/>
      <c r="L142" s="131"/>
      <c r="M142" s="148"/>
      <c r="N142" s="131"/>
      <c r="O142" s="131"/>
      <c r="P142" s="131"/>
      <c r="Q142" s="131"/>
      <c r="R142" s="131"/>
      <c r="S142" s="131"/>
      <c r="T142" s="131"/>
      <c r="U142" s="131"/>
    </row>
  </sheetData>
  <sheetProtection algorithmName="SHA-512" hashValue="5dsDswEjLX8f7nc8Fzr3GHZ/38FaEMjRFtFvdDdwvQgZ8KuP6pq/Z0xt58F2Eth09hcJTKuH9AqIAob/85UjwA==" saltValue="E46O69LCIRUZ/dY3AB4yIA==" spinCount="100000" sheet="1" objects="1" scenarios="1" selectLockedCells="1"/>
  <protectedRanges>
    <protectedRange sqref="J7:U13" name="Production_1"/>
    <protectedRange sqref="J4:U6" name="Production_1_1"/>
    <protectedRange sqref="F41:G41" name="JAS converions_1"/>
    <protectedRange sqref="G56:G77" name="Log transport costs_1"/>
    <protectedRange sqref="C20:C40" name="Grade mix_1"/>
    <protectedRange sqref="F20:G40" name="JAS converions_1_1"/>
  </protectedRanges>
  <mergeCells count="6">
    <mergeCell ref="J113:U113"/>
    <mergeCell ref="F126:G126"/>
    <mergeCell ref="I10:I12"/>
    <mergeCell ref="I13:I16"/>
    <mergeCell ref="I4:I6"/>
    <mergeCell ref="I7:I9"/>
  </mergeCells>
  <conditionalFormatting sqref="C42">
    <cfRule type="cellIs" dxfId="7" priority="1" operator="greaterThan">
      <formula>0.99</formula>
    </cfRule>
  </conditionalFormatting>
  <dataValidations count="1">
    <dataValidation type="whole" errorStyle="warning" allowBlank="1" showInputMessage="1" showErrorMessage="1" errorTitle="High number of skids" error="Are you sure you are going to build this many skids?" sqref="J119:U122" xr:uid="{760956B9-831B-487B-BA2A-87A522EC74DC}">
      <formula1>0</formula1>
      <formula2>10</formula2>
    </dataValidation>
  </dataValidations>
  <pageMargins left="0.70866141732283472" right="0.70866141732283472" top="0.74803149606299213" bottom="0.74803149606299213" header="0.31496062992125984" footer="0.31496062992125984"/>
  <pageSetup paperSize="8" scale="36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B1D61-9BD8-46B1-998A-729B35E971ED}">
  <sheetPr codeName="Sheet17">
    <tabColor rgb="FFFFC000"/>
    <pageSetUpPr fitToPage="1"/>
  </sheetPr>
  <dimension ref="A1:X173"/>
  <sheetViews>
    <sheetView zoomScale="80" zoomScaleNormal="80" workbookViewId="0">
      <pane xSplit="8" ySplit="19" topLeftCell="I52" activePane="bottomRight" state="frozen"/>
      <selection activeCell="I2" sqref="I2"/>
      <selection pane="topRight" activeCell="I2" sqref="I2"/>
      <selection pane="bottomLeft" activeCell="I2" sqref="I2"/>
      <selection pane="bottomRight" activeCell="I2" sqref="I2"/>
    </sheetView>
  </sheetViews>
  <sheetFormatPr defaultColWidth="9" defaultRowHeight="15" x14ac:dyDescent="0.25"/>
  <cols>
    <col min="1" max="1" width="2.28515625" style="1" customWidth="1"/>
    <col min="2" max="2" width="39.7109375" style="1" customWidth="1"/>
    <col min="3" max="3" width="13.85546875" style="1" customWidth="1"/>
    <col min="4" max="4" width="14.7109375" style="1" customWidth="1"/>
    <col min="5" max="5" width="19.7109375" style="1" customWidth="1"/>
    <col min="6" max="6" width="12.42578125" style="1" customWidth="1"/>
    <col min="7" max="7" width="13.28515625" style="1" bestFit="1" customWidth="1"/>
    <col min="8" max="8" width="20.42578125" style="1" customWidth="1"/>
    <col min="9" max="9" width="8.7109375" style="1" customWidth="1"/>
    <col min="10" max="21" width="15.7109375" style="1" bestFit="1" customWidth="1"/>
    <col min="22" max="22" width="5" style="1" customWidth="1"/>
    <col min="23" max="23" width="15.28515625" style="4" bestFit="1" customWidth="1"/>
    <col min="24" max="24" width="17.5703125" style="1" customWidth="1"/>
    <col min="25" max="16384" width="9" style="1"/>
  </cols>
  <sheetData>
    <row r="1" spans="2:24" ht="15.75" thickBot="1" x14ac:dyDescent="0.3">
      <c r="C1" s="2">
        <f>'Rangatira Utiku Block Budget'!C1</f>
        <v>2025</v>
      </c>
      <c r="D1" s="3" t="s">
        <v>0</v>
      </c>
    </row>
    <row r="2" spans="2:24" ht="27" thickBot="1" x14ac:dyDescent="0.45">
      <c r="B2" s="5" t="str">
        <f>'Rangatira Utiku Block Budget'!B2</f>
        <v>Rangatira Utiku Block</v>
      </c>
      <c r="H2" s="43" t="s">
        <v>209</v>
      </c>
      <c r="I2" s="404"/>
      <c r="W2" s="6"/>
      <c r="X2" s="7"/>
    </row>
    <row r="3" spans="2:24" ht="15.75" x14ac:dyDescent="0.25">
      <c r="B3" s="8" t="s">
        <v>1</v>
      </c>
      <c r="C3" s="9"/>
      <c r="D3" s="9"/>
      <c r="E3" s="9"/>
      <c r="F3" s="9"/>
      <c r="G3" s="9" t="s">
        <v>241</v>
      </c>
      <c r="H3" s="10"/>
      <c r="I3" s="304">
        <f>IF(NOT(ISBLANK(J5)), J5, IF(NOT(ISBLANK(J8)), J8, IF(NOT(ISBLANK(J11)), J11, 0)))+IF(NOT(ISBLANK(K5)), K5, IF(NOT(ISBLANK(K8)), K8, IF(NOT(ISBLANK(K11)), K11, 0)))+IF(NOT(ISBLANK(L5)), L5, IF(NOT(ISBLANK(L8)), L8, IF(NOT(ISBLANK(L11)), L11, 0)))+IF(NOT(ISBLANK(M5)), M5, IF(NOT(ISBLANK(M8)), M8, IF(NOT(ISBLANK(M11)), M11, 0)))+IF(NOT(ISBLANK(N5)), N5, IF(NOT(ISBLANK(N8)), N8, IF(NOT(ISBLANK(N11)), N11, 0)))+IF(NOT(ISBLANK(O5)), O5, IF(NOT(ISBLANK(O8)), O8, IF(NOT(ISBLANK(O11)), O11, 0)))+IF(NOT(ISBLANK(P5)), P5, IF(NOT(ISBLANK(P8)), P8, IF(NOT(ISBLANK(P11)), P11, 0)))+IF(NOT(ISBLANK(Q5)), Q5, IF(NOT(ISBLANK(Q8)), Q8, IF(NOT(ISBLANK(Q11)), Q11, 0)))+IF(NOT(ISBLANK(R5)), R5, IF(NOT(ISBLANK(R8)), R8, IF(NOT(ISBLANK(R11)), R11, 0)))+IF(NOT(ISBLANK(S5)), S5, IF(NOT(ISBLANK(S8)), S8, IF(NOT(ISBLANK(S11)), S11, 0)))+IF(NOT(ISBLANK(T5)), T5, IF(NOT(ISBLANK(T8)), T8, IF(NOT(ISBLANK(T11)), T11, 0)))+IF(NOT(ISBLANK(U5)), U5, IF(NOT(ISBLANK(U8)), U8, IF(NOT(ISBLANK(U11)), U11, 0)))</f>
        <v>0</v>
      </c>
      <c r="J3" s="178">
        <v>45658</v>
      </c>
      <c r="K3" s="178">
        <v>45689</v>
      </c>
      <c r="L3" s="178">
        <v>45717</v>
      </c>
      <c r="M3" s="178">
        <v>45748</v>
      </c>
      <c r="N3" s="178">
        <v>45778</v>
      </c>
      <c r="O3" s="178">
        <v>45809</v>
      </c>
      <c r="P3" s="178">
        <v>45839</v>
      </c>
      <c r="Q3" s="178">
        <v>45870</v>
      </c>
      <c r="R3" s="178">
        <v>45901</v>
      </c>
      <c r="S3" s="178">
        <v>45931</v>
      </c>
      <c r="T3" s="178">
        <v>45962</v>
      </c>
      <c r="U3" s="178">
        <v>45992</v>
      </c>
      <c r="W3" s="6"/>
      <c r="X3" s="7"/>
    </row>
    <row r="4" spans="2:24" x14ac:dyDescent="0.25">
      <c r="B4" s="11"/>
      <c r="G4" s="12" t="s">
        <v>3</v>
      </c>
      <c r="H4" s="301" t="s">
        <v>242</v>
      </c>
      <c r="I4" s="458">
        <f>IFERROR(SUM(J4:U4)/$W$16,0)</f>
        <v>0</v>
      </c>
      <c r="J4" s="13"/>
      <c r="K4" s="13"/>
      <c r="L4" s="13"/>
      <c r="M4" s="14"/>
      <c r="N4" s="14"/>
      <c r="O4" s="14"/>
      <c r="P4" s="14"/>
      <c r="Q4" s="14"/>
      <c r="R4" s="14"/>
      <c r="S4" s="14"/>
      <c r="T4" s="14"/>
      <c r="U4" s="15"/>
      <c r="W4" s="6"/>
      <c r="X4" s="7"/>
    </row>
    <row r="5" spans="2:24" x14ac:dyDescent="0.25">
      <c r="B5" s="11"/>
      <c r="G5" s="16"/>
      <c r="H5" s="1" t="s">
        <v>5</v>
      </c>
      <c r="I5" s="459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5"/>
      <c r="W5" s="6"/>
      <c r="X5" s="7"/>
    </row>
    <row r="6" spans="2:24" ht="15.75" thickBot="1" x14ac:dyDescent="0.3">
      <c r="B6" s="11"/>
      <c r="G6" s="17"/>
      <c r="H6" s="302" t="s">
        <v>6</v>
      </c>
      <c r="I6" s="460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380"/>
      <c r="W6" s="6"/>
      <c r="X6" s="7"/>
    </row>
    <row r="7" spans="2:24" x14ac:dyDescent="0.25">
      <c r="B7" s="11"/>
      <c r="G7" s="12" t="s">
        <v>7</v>
      </c>
      <c r="H7" s="301" t="s">
        <v>242</v>
      </c>
      <c r="I7" s="458">
        <f>IFERROR(SUM(J7:U7)/$W$16,0)</f>
        <v>0</v>
      </c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20"/>
      <c r="W7" s="6"/>
      <c r="X7" s="7"/>
    </row>
    <row r="8" spans="2:24" x14ac:dyDescent="0.25">
      <c r="B8" s="11"/>
      <c r="G8" s="16"/>
      <c r="H8" s="1" t="s">
        <v>5</v>
      </c>
      <c r="I8" s="459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5"/>
      <c r="W8" s="6"/>
      <c r="X8" s="7"/>
    </row>
    <row r="9" spans="2:24" ht="15.75" thickBot="1" x14ac:dyDescent="0.3">
      <c r="B9" s="11"/>
      <c r="G9" s="17"/>
      <c r="H9" s="302" t="s">
        <v>6</v>
      </c>
      <c r="I9" s="460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2"/>
      <c r="W9" s="6"/>
      <c r="X9" s="7"/>
    </row>
    <row r="10" spans="2:24" x14ac:dyDescent="0.25">
      <c r="B10" s="11"/>
      <c r="G10" s="12" t="s">
        <v>8</v>
      </c>
      <c r="H10" s="301" t="s">
        <v>242</v>
      </c>
      <c r="I10" s="458">
        <f>IFERROR(SUM(J10:U10)/$W$16,0)</f>
        <v>0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5"/>
      <c r="W10" s="6"/>
      <c r="X10" s="7"/>
    </row>
    <row r="11" spans="2:24" x14ac:dyDescent="0.25">
      <c r="B11" s="11"/>
      <c r="G11" s="16"/>
      <c r="H11" s="1" t="s">
        <v>5</v>
      </c>
      <c r="I11" s="459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5"/>
      <c r="W11" s="6"/>
      <c r="X11" s="7"/>
    </row>
    <row r="12" spans="2:24" ht="15.75" thickBot="1" x14ac:dyDescent="0.3">
      <c r="B12" s="11"/>
      <c r="G12" s="17"/>
      <c r="H12" s="302" t="s">
        <v>6</v>
      </c>
      <c r="I12" s="460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2"/>
      <c r="V12" s="7"/>
      <c r="W12" s="6"/>
      <c r="X12" s="7"/>
    </row>
    <row r="13" spans="2:24" x14ac:dyDescent="0.25">
      <c r="B13" s="11"/>
      <c r="G13" s="1" t="s">
        <v>2</v>
      </c>
      <c r="H13" s="1" t="s">
        <v>244</v>
      </c>
      <c r="I13" s="461">
        <f>SUM(I4:I12)</f>
        <v>0</v>
      </c>
      <c r="J13" s="412">
        <f t="shared" ref="J13:U13" si="0">J4+J7+J10</f>
        <v>0</v>
      </c>
      <c r="K13" s="412">
        <f t="shared" si="0"/>
        <v>0</v>
      </c>
      <c r="L13" s="412">
        <f t="shared" si="0"/>
        <v>0</v>
      </c>
      <c r="M13" s="412">
        <f t="shared" si="0"/>
        <v>0</v>
      </c>
      <c r="N13" s="412">
        <f t="shared" si="0"/>
        <v>0</v>
      </c>
      <c r="O13" s="412">
        <f t="shared" si="0"/>
        <v>0</v>
      </c>
      <c r="P13" s="412">
        <f t="shared" si="0"/>
        <v>0</v>
      </c>
      <c r="Q13" s="412">
        <f t="shared" si="0"/>
        <v>0</v>
      </c>
      <c r="R13" s="412">
        <f t="shared" si="0"/>
        <v>0</v>
      </c>
      <c r="S13" s="412">
        <f t="shared" si="0"/>
        <v>0</v>
      </c>
      <c r="T13" s="412">
        <f t="shared" si="0"/>
        <v>0</v>
      </c>
      <c r="U13" s="413">
        <f t="shared" si="0"/>
        <v>0</v>
      </c>
      <c r="V13" s="7"/>
      <c r="W13" s="28">
        <f>I3</f>
        <v>0</v>
      </c>
      <c r="X13" s="306" t="s">
        <v>208</v>
      </c>
    </row>
    <row r="14" spans="2:24" x14ac:dyDescent="0.25">
      <c r="B14" s="24"/>
      <c r="C14" s="25"/>
      <c r="D14" s="26"/>
      <c r="H14" t="s">
        <v>245</v>
      </c>
      <c r="I14" s="462"/>
      <c r="J14" s="414">
        <f t="shared" ref="J14:U14" si="1">J13-J16</f>
        <v>0</v>
      </c>
      <c r="K14" s="414">
        <f t="shared" si="1"/>
        <v>0</v>
      </c>
      <c r="L14" s="414">
        <f t="shared" si="1"/>
        <v>0</v>
      </c>
      <c r="M14" s="414">
        <f t="shared" si="1"/>
        <v>0</v>
      </c>
      <c r="N14" s="414">
        <f t="shared" si="1"/>
        <v>0</v>
      </c>
      <c r="O14" s="414">
        <f t="shared" si="1"/>
        <v>0</v>
      </c>
      <c r="P14" s="414">
        <f t="shared" si="1"/>
        <v>0</v>
      </c>
      <c r="Q14" s="414">
        <f t="shared" si="1"/>
        <v>0</v>
      </c>
      <c r="R14" s="414">
        <f t="shared" si="1"/>
        <v>0</v>
      </c>
      <c r="S14" s="414">
        <f t="shared" si="1"/>
        <v>0</v>
      </c>
      <c r="T14" s="414">
        <f t="shared" si="1"/>
        <v>0</v>
      </c>
      <c r="U14" s="415">
        <f t="shared" si="1"/>
        <v>0</v>
      </c>
      <c r="W14" s="28">
        <f>SUM(J14:U14)</f>
        <v>0</v>
      </c>
      <c r="X14" s="306" t="str">
        <f>H14</f>
        <v>Variance Tones</v>
      </c>
    </row>
    <row r="15" spans="2:24" x14ac:dyDescent="0.25">
      <c r="B15" s="24"/>
      <c r="C15" s="29"/>
      <c r="D15" s="30"/>
      <c r="G15" s="1" t="s">
        <v>2</v>
      </c>
      <c r="H15" s="1" t="s">
        <v>207</v>
      </c>
      <c r="I15" s="462"/>
      <c r="J15" s="412">
        <f t="shared" ref="J15:U15" si="2">IFERROR(J13/$I$2,0)</f>
        <v>0</v>
      </c>
      <c r="K15" s="412">
        <f t="shared" si="2"/>
        <v>0</v>
      </c>
      <c r="L15" s="412">
        <f t="shared" si="2"/>
        <v>0</v>
      </c>
      <c r="M15" s="412">
        <f t="shared" si="2"/>
        <v>0</v>
      </c>
      <c r="N15" s="412">
        <f t="shared" si="2"/>
        <v>0</v>
      </c>
      <c r="O15" s="412">
        <f t="shared" si="2"/>
        <v>0</v>
      </c>
      <c r="P15" s="412">
        <f t="shared" si="2"/>
        <v>0</v>
      </c>
      <c r="Q15" s="412">
        <f t="shared" si="2"/>
        <v>0</v>
      </c>
      <c r="R15" s="412">
        <f t="shared" si="2"/>
        <v>0</v>
      </c>
      <c r="S15" s="412">
        <f t="shared" si="2"/>
        <v>0</v>
      </c>
      <c r="T15" s="412">
        <f t="shared" si="2"/>
        <v>0</v>
      </c>
      <c r="U15" s="413">
        <f t="shared" si="2"/>
        <v>0</v>
      </c>
      <c r="V15" s="31"/>
      <c r="W15" s="28">
        <f>SUM(J15:U15)</f>
        <v>0</v>
      </c>
      <c r="X15" s="306" t="str">
        <f>H15</f>
        <v>Hectare (ha)</v>
      </c>
    </row>
    <row r="16" spans="2:24" ht="15.75" thickBot="1" x14ac:dyDescent="0.3">
      <c r="B16" s="32"/>
      <c r="C16" s="33"/>
      <c r="D16" s="33"/>
      <c r="E16" s="33"/>
      <c r="F16" s="33"/>
      <c r="G16" s="33" t="s">
        <v>2</v>
      </c>
      <c r="H16" s="33" t="s">
        <v>243</v>
      </c>
      <c r="I16" s="463"/>
      <c r="J16" s="416">
        <f>Volume_7!D27</f>
        <v>0</v>
      </c>
      <c r="K16" s="416">
        <f>Volume_7!H27</f>
        <v>0</v>
      </c>
      <c r="L16" s="416">
        <f>Volume_7!L27</f>
        <v>0</v>
      </c>
      <c r="M16" s="416">
        <f>Volume_7!P27</f>
        <v>0</v>
      </c>
      <c r="N16" s="416">
        <f>Volume_7!T27</f>
        <v>0</v>
      </c>
      <c r="O16" s="416">
        <f>Volume_7!X27</f>
        <v>0</v>
      </c>
      <c r="P16" s="416">
        <f>Volume_7!AB27</f>
        <v>0</v>
      </c>
      <c r="Q16" s="416">
        <f>Volume_7!AF27</f>
        <v>0</v>
      </c>
      <c r="R16" s="416">
        <f>Volume_7!AJ27</f>
        <v>0</v>
      </c>
      <c r="S16" s="416">
        <f>Volume_7!AN27</f>
        <v>0</v>
      </c>
      <c r="T16" s="416">
        <f>Volume_7!AR27</f>
        <v>0</v>
      </c>
      <c r="U16" s="417">
        <f>Volume_7!AV27</f>
        <v>0</v>
      </c>
      <c r="W16" s="28">
        <f>SUM(J16:U16)</f>
        <v>0</v>
      </c>
      <c r="X16" s="35" t="str">
        <f>H16</f>
        <v>Invoice Tonnes</v>
      </c>
    </row>
    <row r="17" spans="1:24" ht="25.5" customHeight="1" thickBot="1" x14ac:dyDescent="0.3">
      <c r="C17" s="7"/>
      <c r="D17" s="7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7"/>
      <c r="W17" s="38"/>
    </row>
    <row r="18" spans="1:24" ht="16.5" thickBot="1" x14ac:dyDescent="0.3">
      <c r="B18" s="8" t="s">
        <v>12</v>
      </c>
      <c r="C18" s="9"/>
      <c r="D18" s="9"/>
      <c r="E18" s="9"/>
      <c r="F18" s="9"/>
      <c r="G18" s="9"/>
      <c r="H18" s="9"/>
      <c r="I18" s="9"/>
      <c r="J18" s="39"/>
      <c r="K18" s="9"/>
      <c r="L18" s="9"/>
      <c r="M18" s="9"/>
      <c r="N18" s="9"/>
      <c r="O18" s="9"/>
      <c r="P18" s="9"/>
      <c r="Q18" s="9"/>
      <c r="R18" s="9"/>
      <c r="S18" s="9"/>
      <c r="T18" s="9"/>
      <c r="U18" s="40"/>
    </row>
    <row r="19" spans="1:24" x14ac:dyDescent="0.25">
      <c r="B19" s="41" t="s">
        <v>13</v>
      </c>
      <c r="C19" s="42" t="s">
        <v>14</v>
      </c>
      <c r="D19" s="42" t="s">
        <v>210</v>
      </c>
      <c r="E19" s="42" t="s">
        <v>15</v>
      </c>
      <c r="F19" s="42" t="s">
        <v>16</v>
      </c>
      <c r="G19" s="42" t="s">
        <v>17</v>
      </c>
      <c r="H19" s="42" t="s">
        <v>18</v>
      </c>
      <c r="I19" s="43"/>
      <c r="J19" s="178">
        <v>45658</v>
      </c>
      <c r="K19" s="178">
        <v>45689</v>
      </c>
      <c r="L19" s="178">
        <v>45717</v>
      </c>
      <c r="M19" s="178">
        <v>45748</v>
      </c>
      <c r="N19" s="178">
        <v>45778</v>
      </c>
      <c r="O19" s="178">
        <v>45809</v>
      </c>
      <c r="P19" s="178">
        <v>45839</v>
      </c>
      <c r="Q19" s="178">
        <v>45870</v>
      </c>
      <c r="R19" s="178">
        <v>45901</v>
      </c>
      <c r="S19" s="178">
        <v>45931</v>
      </c>
      <c r="T19" s="178">
        <v>45962</v>
      </c>
      <c r="U19" s="178">
        <v>45992</v>
      </c>
    </row>
    <row r="20" spans="1:24" x14ac:dyDescent="0.25">
      <c r="A20" s="11"/>
      <c r="B20" s="239" t="s">
        <v>20</v>
      </c>
      <c r="C20" s="240"/>
      <c r="D20" s="240"/>
      <c r="E20" s="409" t="s">
        <v>21</v>
      </c>
      <c r="F20" s="241"/>
      <c r="G20" s="241"/>
      <c r="H20" s="418">
        <f t="shared" ref="H20:H41" si="3">SUM(J20:U20)</f>
        <v>0</v>
      </c>
      <c r="I20" s="419"/>
      <c r="J20" s="420">
        <f>Volume_7!G4</f>
        <v>0</v>
      </c>
      <c r="K20" s="420">
        <f>Volume_7!K4</f>
        <v>0</v>
      </c>
      <c r="L20" s="420">
        <f>Volume_7!O4</f>
        <v>0</v>
      </c>
      <c r="M20" s="420">
        <f>Volume_7!S4</f>
        <v>0</v>
      </c>
      <c r="N20" s="420">
        <f>Volume_7!W4</f>
        <v>0</v>
      </c>
      <c r="O20" s="420">
        <f>Volume_7!AA4</f>
        <v>0</v>
      </c>
      <c r="P20" s="420">
        <f>Volume_7!AE4</f>
        <v>0</v>
      </c>
      <c r="Q20" s="420">
        <f>Volume_7!AI4</f>
        <v>0</v>
      </c>
      <c r="R20" s="420">
        <f>Volume_7!AM4</f>
        <v>0</v>
      </c>
      <c r="S20" s="420">
        <f>Volume_7!AQ4</f>
        <v>0</v>
      </c>
      <c r="T20" s="420">
        <f>Volume_7!AU4</f>
        <v>0</v>
      </c>
      <c r="U20" s="420">
        <f>Volume_7!AY4</f>
        <v>0</v>
      </c>
      <c r="W20" s="38"/>
    </row>
    <row r="21" spans="1:24" x14ac:dyDescent="0.25">
      <c r="A21" s="11"/>
      <c r="B21" s="239" t="s">
        <v>22</v>
      </c>
      <c r="C21" s="240"/>
      <c r="D21" s="240"/>
      <c r="E21" s="409" t="s">
        <v>21</v>
      </c>
      <c r="F21" s="241"/>
      <c r="G21" s="241"/>
      <c r="H21" s="418">
        <f t="shared" si="3"/>
        <v>0</v>
      </c>
      <c r="I21" s="419"/>
      <c r="J21" s="420">
        <f>Volume_7!G5</f>
        <v>0</v>
      </c>
      <c r="K21" s="420">
        <f>Volume_7!K5</f>
        <v>0</v>
      </c>
      <c r="L21" s="420">
        <f>Volume_7!O5</f>
        <v>0</v>
      </c>
      <c r="M21" s="420">
        <f>Volume_7!S5</f>
        <v>0</v>
      </c>
      <c r="N21" s="420">
        <f>Volume_7!W5</f>
        <v>0</v>
      </c>
      <c r="O21" s="420">
        <f>Volume_7!AA5</f>
        <v>0</v>
      </c>
      <c r="P21" s="420">
        <f>Volume_7!AE5</f>
        <v>0</v>
      </c>
      <c r="Q21" s="420">
        <f>Volume_7!AI5</f>
        <v>0</v>
      </c>
      <c r="R21" s="420">
        <f>Volume_7!AM5</f>
        <v>0</v>
      </c>
      <c r="S21" s="420">
        <f>Volume_7!AQ5</f>
        <v>0</v>
      </c>
      <c r="T21" s="420">
        <f>Volume_7!AU5</f>
        <v>0</v>
      </c>
      <c r="U21" s="420">
        <f>Volume_7!AY5</f>
        <v>0</v>
      </c>
      <c r="W21" s="38"/>
    </row>
    <row r="22" spans="1:24" x14ac:dyDescent="0.25">
      <c r="A22" s="11"/>
      <c r="B22" s="239" t="s">
        <v>25</v>
      </c>
      <c r="C22" s="240"/>
      <c r="D22" s="240"/>
      <c r="E22" s="409" t="s">
        <v>21</v>
      </c>
      <c r="F22" s="241"/>
      <c r="G22" s="241"/>
      <c r="H22" s="418">
        <f t="shared" si="3"/>
        <v>0</v>
      </c>
      <c r="I22" s="419"/>
      <c r="J22" s="420">
        <f>Volume_7!G6</f>
        <v>0</v>
      </c>
      <c r="K22" s="420">
        <f>Volume_7!K6</f>
        <v>0</v>
      </c>
      <c r="L22" s="420">
        <f>Volume_7!O6</f>
        <v>0</v>
      </c>
      <c r="M22" s="420">
        <f>Volume_7!S6</f>
        <v>0</v>
      </c>
      <c r="N22" s="420">
        <f>Volume_7!W6</f>
        <v>0</v>
      </c>
      <c r="O22" s="420">
        <f>Volume_7!AA6</f>
        <v>0</v>
      </c>
      <c r="P22" s="420">
        <f>Volume_7!AE6</f>
        <v>0</v>
      </c>
      <c r="Q22" s="420">
        <f>Volume_7!AI6</f>
        <v>0</v>
      </c>
      <c r="R22" s="420">
        <f>Volume_7!AM6</f>
        <v>0</v>
      </c>
      <c r="S22" s="420">
        <f>Volume_7!AQ6</f>
        <v>0</v>
      </c>
      <c r="T22" s="420">
        <f>Volume_7!AU6</f>
        <v>0</v>
      </c>
      <c r="U22" s="420">
        <f>Volume_7!AY6</f>
        <v>0</v>
      </c>
      <c r="W22" s="38"/>
      <c r="X22"/>
    </row>
    <row r="23" spans="1:24" x14ac:dyDescent="0.25">
      <c r="A23" s="11"/>
      <c r="B23" s="242" t="s">
        <v>30</v>
      </c>
      <c r="C23" s="240"/>
      <c r="D23" s="240"/>
      <c r="E23" s="409" t="s">
        <v>21</v>
      </c>
      <c r="F23" s="241"/>
      <c r="G23" s="241"/>
      <c r="H23" s="418">
        <f t="shared" si="3"/>
        <v>0</v>
      </c>
      <c r="I23" s="419"/>
      <c r="J23" s="420">
        <f>Volume_7!G7</f>
        <v>0</v>
      </c>
      <c r="K23" s="420">
        <f>Volume_7!K7</f>
        <v>0</v>
      </c>
      <c r="L23" s="420">
        <f>Volume_7!O7</f>
        <v>0</v>
      </c>
      <c r="M23" s="420">
        <f>Volume_7!S7</f>
        <v>0</v>
      </c>
      <c r="N23" s="420">
        <f>Volume_7!W7</f>
        <v>0</v>
      </c>
      <c r="O23" s="420">
        <f>Volume_7!AA7</f>
        <v>0</v>
      </c>
      <c r="P23" s="420">
        <f>Volume_7!AE7</f>
        <v>0</v>
      </c>
      <c r="Q23" s="420">
        <f>Volume_7!AI7</f>
        <v>0</v>
      </c>
      <c r="R23" s="420">
        <f>Volume_7!AM7</f>
        <v>0</v>
      </c>
      <c r="S23" s="420">
        <f>Volume_7!AQ7</f>
        <v>0</v>
      </c>
      <c r="T23" s="420">
        <f>Volume_7!AU7</f>
        <v>0</v>
      </c>
      <c r="U23" s="420">
        <f>Volume_7!AY7</f>
        <v>0</v>
      </c>
      <c r="W23" s="38"/>
    </row>
    <row r="24" spans="1:24" x14ac:dyDescent="0.25">
      <c r="A24" s="11"/>
      <c r="B24" s="242" t="s">
        <v>222</v>
      </c>
      <c r="C24" s="240"/>
      <c r="D24" s="240"/>
      <c r="E24" s="409" t="s">
        <v>21</v>
      </c>
      <c r="F24" s="241"/>
      <c r="G24" s="241"/>
      <c r="H24" s="418">
        <f t="shared" si="3"/>
        <v>0</v>
      </c>
      <c r="I24" s="419"/>
      <c r="J24" s="420">
        <f>Volume_7!G8</f>
        <v>0</v>
      </c>
      <c r="K24" s="420">
        <f>Volume_7!K8</f>
        <v>0</v>
      </c>
      <c r="L24" s="420">
        <f>Volume_7!O8</f>
        <v>0</v>
      </c>
      <c r="M24" s="420">
        <f>Volume_7!S8</f>
        <v>0</v>
      </c>
      <c r="N24" s="420">
        <f>Volume_7!W8</f>
        <v>0</v>
      </c>
      <c r="O24" s="420">
        <f>Volume_7!AA8</f>
        <v>0</v>
      </c>
      <c r="P24" s="420">
        <f>Volume_7!AE8</f>
        <v>0</v>
      </c>
      <c r="Q24" s="420">
        <f>Volume_7!AI8</f>
        <v>0</v>
      </c>
      <c r="R24" s="420">
        <f>Volume_7!AM8</f>
        <v>0</v>
      </c>
      <c r="S24" s="420">
        <f>Volume_7!AQ8</f>
        <v>0</v>
      </c>
      <c r="T24" s="420">
        <f>Volume_7!AU8</f>
        <v>0</v>
      </c>
      <c r="U24" s="420">
        <f>Volume_7!AY8</f>
        <v>0</v>
      </c>
      <c r="W24" s="38"/>
    </row>
    <row r="25" spans="1:24" x14ac:dyDescent="0.25">
      <c r="A25" s="11"/>
      <c r="B25" s="242" t="s">
        <v>34</v>
      </c>
      <c r="C25" s="240"/>
      <c r="D25" s="240"/>
      <c r="E25" s="409" t="s">
        <v>21</v>
      </c>
      <c r="F25" s="241"/>
      <c r="G25" s="241"/>
      <c r="H25" s="418">
        <f t="shared" si="3"/>
        <v>0</v>
      </c>
      <c r="I25" s="419"/>
      <c r="J25" s="420">
        <f>Volume_7!G9</f>
        <v>0</v>
      </c>
      <c r="K25" s="420">
        <f>Volume_7!K9</f>
        <v>0</v>
      </c>
      <c r="L25" s="420">
        <f>Volume_7!O9</f>
        <v>0</v>
      </c>
      <c r="M25" s="420">
        <f>Volume_7!S9</f>
        <v>0</v>
      </c>
      <c r="N25" s="420">
        <f>Volume_7!W9</f>
        <v>0</v>
      </c>
      <c r="O25" s="420">
        <f>Volume_7!AA9</f>
        <v>0</v>
      </c>
      <c r="P25" s="420">
        <f>Volume_7!AE9</f>
        <v>0</v>
      </c>
      <c r="Q25" s="420">
        <f>Volume_7!AI9</f>
        <v>0</v>
      </c>
      <c r="R25" s="420">
        <f>Volume_7!AM9</f>
        <v>0</v>
      </c>
      <c r="S25" s="420">
        <f>Volume_7!AQ9</f>
        <v>0</v>
      </c>
      <c r="T25" s="420">
        <f>Volume_7!AU9</f>
        <v>0</v>
      </c>
      <c r="U25" s="420">
        <f>Volume_7!AY9</f>
        <v>0</v>
      </c>
      <c r="W25" s="38"/>
    </row>
    <row r="26" spans="1:24" x14ac:dyDescent="0.25">
      <c r="A26" s="11"/>
      <c r="B26" s="242" t="s">
        <v>37</v>
      </c>
      <c r="C26" s="240"/>
      <c r="D26" s="240"/>
      <c r="E26" s="409" t="s">
        <v>21</v>
      </c>
      <c r="F26" s="241"/>
      <c r="G26" s="241"/>
      <c r="H26" s="418">
        <f t="shared" si="3"/>
        <v>0</v>
      </c>
      <c r="I26" s="419"/>
      <c r="J26" s="420">
        <f>Volume_7!G10</f>
        <v>0</v>
      </c>
      <c r="K26" s="420">
        <f>Volume_7!K10</f>
        <v>0</v>
      </c>
      <c r="L26" s="420">
        <f>Volume_7!O10</f>
        <v>0</v>
      </c>
      <c r="M26" s="420">
        <f>Volume_7!S10</f>
        <v>0</v>
      </c>
      <c r="N26" s="420">
        <f>Volume_7!W10</f>
        <v>0</v>
      </c>
      <c r="O26" s="420">
        <f>Volume_7!AA10</f>
        <v>0</v>
      </c>
      <c r="P26" s="420">
        <f>Volume_7!AE10</f>
        <v>0</v>
      </c>
      <c r="Q26" s="420">
        <f>Volume_7!AI10</f>
        <v>0</v>
      </c>
      <c r="R26" s="420">
        <f>Volume_7!AM10</f>
        <v>0</v>
      </c>
      <c r="S26" s="420">
        <f>Volume_7!AQ10</f>
        <v>0</v>
      </c>
      <c r="T26" s="420">
        <f>Volume_7!AU10</f>
        <v>0</v>
      </c>
      <c r="U26" s="420">
        <f>Volume_7!AY10</f>
        <v>0</v>
      </c>
      <c r="W26" s="38"/>
    </row>
    <row r="27" spans="1:24" x14ac:dyDescent="0.25">
      <c r="A27" s="11"/>
      <c r="B27" s="242" t="s">
        <v>174</v>
      </c>
      <c r="C27" s="240"/>
      <c r="D27" s="240"/>
      <c r="E27" s="409" t="s">
        <v>21</v>
      </c>
      <c r="F27" s="241"/>
      <c r="G27" s="241"/>
      <c r="H27" s="418">
        <f t="shared" si="3"/>
        <v>0</v>
      </c>
      <c r="I27" s="419"/>
      <c r="J27" s="420">
        <f>Volume_7!G11</f>
        <v>0</v>
      </c>
      <c r="K27" s="420">
        <f>Volume_7!K11</f>
        <v>0</v>
      </c>
      <c r="L27" s="420">
        <f>Volume_7!O11</f>
        <v>0</v>
      </c>
      <c r="M27" s="420">
        <f>Volume_7!S11</f>
        <v>0</v>
      </c>
      <c r="N27" s="420">
        <f>Volume_7!W11</f>
        <v>0</v>
      </c>
      <c r="O27" s="420">
        <f>Volume_7!AA11</f>
        <v>0</v>
      </c>
      <c r="P27" s="420">
        <f>Volume_7!AE11</f>
        <v>0</v>
      </c>
      <c r="Q27" s="420">
        <f>Volume_7!AI11</f>
        <v>0</v>
      </c>
      <c r="R27" s="420">
        <f>Volume_7!AM11</f>
        <v>0</v>
      </c>
      <c r="S27" s="420">
        <f>Volume_7!AQ11</f>
        <v>0</v>
      </c>
      <c r="T27" s="420">
        <f>Volume_7!AU11</f>
        <v>0</v>
      </c>
      <c r="U27" s="420">
        <f>Volume_7!AY11</f>
        <v>0</v>
      </c>
      <c r="W27" s="38"/>
    </row>
    <row r="28" spans="1:24" x14ac:dyDescent="0.25">
      <c r="A28" s="11"/>
      <c r="B28" s="376" t="s">
        <v>202</v>
      </c>
      <c r="C28" s="377"/>
      <c r="D28" s="377"/>
      <c r="E28" s="390" t="s">
        <v>21</v>
      </c>
      <c r="F28" s="44"/>
      <c r="G28" s="44"/>
      <c r="H28" s="418">
        <f t="shared" si="3"/>
        <v>0</v>
      </c>
      <c r="I28" s="419"/>
      <c r="J28" s="420">
        <f>Volume_7!G12</f>
        <v>0</v>
      </c>
      <c r="K28" s="420">
        <f>Volume_7!K12</f>
        <v>0</v>
      </c>
      <c r="L28" s="420">
        <f>Volume_7!O12</f>
        <v>0</v>
      </c>
      <c r="M28" s="420">
        <f>Volume_7!S12</f>
        <v>0</v>
      </c>
      <c r="N28" s="420">
        <f>Volume_7!W12</f>
        <v>0</v>
      </c>
      <c r="O28" s="420">
        <f>Volume_7!AA12</f>
        <v>0</v>
      </c>
      <c r="P28" s="420">
        <f>Volume_7!AE12</f>
        <v>0</v>
      </c>
      <c r="Q28" s="420">
        <f>Volume_7!AI12</f>
        <v>0</v>
      </c>
      <c r="R28" s="420">
        <f>Volume_7!AM12</f>
        <v>0</v>
      </c>
      <c r="S28" s="420">
        <f>Volume_7!AQ12</f>
        <v>0</v>
      </c>
      <c r="T28" s="420">
        <f>Volume_7!AU12</f>
        <v>0</v>
      </c>
      <c r="U28" s="420">
        <f>Volume_7!AY12</f>
        <v>0</v>
      </c>
      <c r="W28" s="38"/>
    </row>
    <row r="29" spans="1:24" x14ac:dyDescent="0.25">
      <c r="A29" s="11"/>
      <c r="B29" s="243" t="s">
        <v>175</v>
      </c>
      <c r="C29" s="244"/>
      <c r="D29" s="244"/>
      <c r="E29" s="410" t="s">
        <v>19</v>
      </c>
      <c r="F29" s="245"/>
      <c r="G29" s="245"/>
      <c r="H29" s="418">
        <f t="shared" si="3"/>
        <v>0</v>
      </c>
      <c r="I29" s="419"/>
      <c r="J29" s="420">
        <f>Volume_7!G13</f>
        <v>0</v>
      </c>
      <c r="K29" s="420">
        <f>Volume_7!K13</f>
        <v>0</v>
      </c>
      <c r="L29" s="420">
        <f>Volume_7!O13</f>
        <v>0</v>
      </c>
      <c r="M29" s="420">
        <f>Volume_7!S13</f>
        <v>0</v>
      </c>
      <c r="N29" s="420">
        <f>Volume_7!W13</f>
        <v>0</v>
      </c>
      <c r="O29" s="420">
        <f>Volume_7!AA13</f>
        <v>0</v>
      </c>
      <c r="P29" s="420">
        <f>Volume_7!AE13</f>
        <v>0</v>
      </c>
      <c r="Q29" s="420">
        <f>Volume_7!AI13</f>
        <v>0</v>
      </c>
      <c r="R29" s="420">
        <f>Volume_7!AM13</f>
        <v>0</v>
      </c>
      <c r="S29" s="420">
        <f>Volume_7!AQ13</f>
        <v>0</v>
      </c>
      <c r="T29" s="420">
        <f>Volume_7!AU13</f>
        <v>0</v>
      </c>
      <c r="U29" s="420">
        <f>Volume_7!AY13</f>
        <v>0</v>
      </c>
      <c r="W29" s="38"/>
    </row>
    <row r="30" spans="1:24" x14ac:dyDescent="0.25">
      <c r="A30" s="11"/>
      <c r="B30" s="243" t="s">
        <v>176</v>
      </c>
      <c r="C30" s="244"/>
      <c r="D30" s="244"/>
      <c r="E30" s="410" t="s">
        <v>19</v>
      </c>
      <c r="F30" s="245"/>
      <c r="G30" s="245"/>
      <c r="H30" s="418">
        <f t="shared" si="3"/>
        <v>0</v>
      </c>
      <c r="I30" s="419"/>
      <c r="J30" s="420">
        <f>Volume_7!G14</f>
        <v>0</v>
      </c>
      <c r="K30" s="420">
        <f>Volume_7!K14</f>
        <v>0</v>
      </c>
      <c r="L30" s="420">
        <f>Volume_7!O14</f>
        <v>0</v>
      </c>
      <c r="M30" s="420">
        <f>Volume_7!S14</f>
        <v>0</v>
      </c>
      <c r="N30" s="420">
        <f>Volume_7!W14</f>
        <v>0</v>
      </c>
      <c r="O30" s="420">
        <f>Volume_7!AA14</f>
        <v>0</v>
      </c>
      <c r="P30" s="420">
        <f>Volume_7!AE14</f>
        <v>0</v>
      </c>
      <c r="Q30" s="420">
        <f>Volume_7!AI14</f>
        <v>0</v>
      </c>
      <c r="R30" s="420">
        <f>Volume_7!AM14</f>
        <v>0</v>
      </c>
      <c r="S30" s="420">
        <f>Volume_7!AQ14</f>
        <v>0</v>
      </c>
      <c r="T30" s="420">
        <f>Volume_7!AU14</f>
        <v>0</v>
      </c>
      <c r="U30" s="420">
        <f>Volume_7!AY14</f>
        <v>0</v>
      </c>
      <c r="W30" s="38"/>
    </row>
    <row r="31" spans="1:24" x14ac:dyDescent="0.25">
      <c r="A31" s="11"/>
      <c r="B31" s="243" t="s">
        <v>23</v>
      </c>
      <c r="C31" s="244"/>
      <c r="D31" s="244"/>
      <c r="E31" s="411" t="s">
        <v>19</v>
      </c>
      <c r="F31" s="245"/>
      <c r="G31" s="245"/>
      <c r="H31" s="418">
        <f t="shared" si="3"/>
        <v>0</v>
      </c>
      <c r="I31" s="419"/>
      <c r="J31" s="420">
        <f>Volume_7!G15</f>
        <v>0</v>
      </c>
      <c r="K31" s="420">
        <f>Volume_7!K15</f>
        <v>0</v>
      </c>
      <c r="L31" s="420">
        <f>Volume_7!O15</f>
        <v>0</v>
      </c>
      <c r="M31" s="420">
        <f>Volume_7!S15</f>
        <v>0</v>
      </c>
      <c r="N31" s="420">
        <f>Volume_7!W15</f>
        <v>0</v>
      </c>
      <c r="O31" s="420">
        <f>Volume_7!AA15</f>
        <v>0</v>
      </c>
      <c r="P31" s="420">
        <f>Volume_7!AE15</f>
        <v>0</v>
      </c>
      <c r="Q31" s="420">
        <f>Volume_7!AI15</f>
        <v>0</v>
      </c>
      <c r="R31" s="420">
        <f>Volume_7!AM15</f>
        <v>0</v>
      </c>
      <c r="S31" s="420">
        <f>Volume_7!AQ15</f>
        <v>0</v>
      </c>
      <c r="T31" s="420">
        <f>Volume_7!AU15</f>
        <v>0</v>
      </c>
      <c r="U31" s="420">
        <f>Volume_7!AY15</f>
        <v>0</v>
      </c>
      <c r="W31" s="38"/>
    </row>
    <row r="32" spans="1:24" x14ac:dyDescent="0.25">
      <c r="A32" s="11"/>
      <c r="B32" s="246" t="s">
        <v>24</v>
      </c>
      <c r="C32" s="244"/>
      <c r="D32" s="244"/>
      <c r="E32" s="411" t="s">
        <v>19</v>
      </c>
      <c r="F32" s="245"/>
      <c r="G32" s="245"/>
      <c r="H32" s="418">
        <f t="shared" si="3"/>
        <v>0</v>
      </c>
      <c r="I32" s="419"/>
      <c r="J32" s="420">
        <f>Volume_7!G16</f>
        <v>0</v>
      </c>
      <c r="K32" s="420">
        <f>Volume_7!K16</f>
        <v>0</v>
      </c>
      <c r="L32" s="420">
        <f>Volume_7!O16</f>
        <v>0</v>
      </c>
      <c r="M32" s="420">
        <f>Volume_7!S16</f>
        <v>0</v>
      </c>
      <c r="N32" s="420">
        <f>Volume_7!W16</f>
        <v>0</v>
      </c>
      <c r="O32" s="420">
        <f>Volume_7!AA16</f>
        <v>0</v>
      </c>
      <c r="P32" s="420">
        <f>Volume_7!AE16</f>
        <v>0</v>
      </c>
      <c r="Q32" s="420">
        <f>Volume_7!AI16</f>
        <v>0</v>
      </c>
      <c r="R32" s="420">
        <f>Volume_7!AM16</f>
        <v>0</v>
      </c>
      <c r="S32" s="420">
        <f>Volume_7!AQ16</f>
        <v>0</v>
      </c>
      <c r="T32" s="420">
        <f>Volume_7!AU16</f>
        <v>0</v>
      </c>
      <c r="U32" s="420">
        <f>Volume_7!AY16</f>
        <v>0</v>
      </c>
      <c r="W32" s="38"/>
    </row>
    <row r="33" spans="1:23" x14ac:dyDescent="0.25">
      <c r="A33" s="11"/>
      <c r="B33" s="246" t="s">
        <v>26</v>
      </c>
      <c r="C33" s="244"/>
      <c r="D33" s="244"/>
      <c r="E33" s="411" t="s">
        <v>19</v>
      </c>
      <c r="F33" s="245"/>
      <c r="G33" s="245"/>
      <c r="H33" s="418">
        <f t="shared" si="3"/>
        <v>0</v>
      </c>
      <c r="I33" s="419"/>
      <c r="J33" s="420">
        <f>Volume_7!G17</f>
        <v>0</v>
      </c>
      <c r="K33" s="420">
        <f>Volume_7!K17</f>
        <v>0</v>
      </c>
      <c r="L33" s="420">
        <f>Volume_7!O17</f>
        <v>0</v>
      </c>
      <c r="M33" s="420">
        <f>Volume_7!S17</f>
        <v>0</v>
      </c>
      <c r="N33" s="420">
        <f>Volume_7!W17</f>
        <v>0</v>
      </c>
      <c r="O33" s="420">
        <f>Volume_7!AA17</f>
        <v>0</v>
      </c>
      <c r="P33" s="420">
        <f>Volume_7!AE17</f>
        <v>0</v>
      </c>
      <c r="Q33" s="420">
        <f>Volume_7!AI17</f>
        <v>0</v>
      </c>
      <c r="R33" s="420">
        <f>Volume_7!AM17</f>
        <v>0</v>
      </c>
      <c r="S33" s="420">
        <f>Volume_7!AQ17</f>
        <v>0</v>
      </c>
      <c r="T33" s="420">
        <f>Volume_7!AU17</f>
        <v>0</v>
      </c>
      <c r="U33" s="420">
        <f>Volume_7!AY17</f>
        <v>0</v>
      </c>
      <c r="W33" s="38"/>
    </row>
    <row r="34" spans="1:23" x14ac:dyDescent="0.25">
      <c r="A34" s="11"/>
      <c r="B34" s="246" t="s">
        <v>27</v>
      </c>
      <c r="C34" s="244"/>
      <c r="D34" s="244"/>
      <c r="E34" s="410" t="s">
        <v>19</v>
      </c>
      <c r="F34" s="245"/>
      <c r="G34" s="245"/>
      <c r="H34" s="418">
        <f t="shared" si="3"/>
        <v>0</v>
      </c>
      <c r="I34" s="419"/>
      <c r="J34" s="420">
        <f>Volume_7!G18</f>
        <v>0</v>
      </c>
      <c r="K34" s="420">
        <f>Volume_7!K18</f>
        <v>0</v>
      </c>
      <c r="L34" s="420">
        <f>Volume_7!O18</f>
        <v>0</v>
      </c>
      <c r="M34" s="420">
        <f>Volume_7!S18</f>
        <v>0</v>
      </c>
      <c r="N34" s="420">
        <f>Volume_7!W18</f>
        <v>0</v>
      </c>
      <c r="O34" s="420">
        <f>Volume_7!AA18</f>
        <v>0</v>
      </c>
      <c r="P34" s="420">
        <f>Volume_7!AE18</f>
        <v>0</v>
      </c>
      <c r="Q34" s="420">
        <f>Volume_7!AI18</f>
        <v>0</v>
      </c>
      <c r="R34" s="420">
        <f>Volume_7!AM18</f>
        <v>0</v>
      </c>
      <c r="S34" s="420">
        <f>Volume_7!AQ18</f>
        <v>0</v>
      </c>
      <c r="T34" s="420">
        <f>Volume_7!AU18</f>
        <v>0</v>
      </c>
      <c r="U34" s="420">
        <f>Volume_7!AY18</f>
        <v>0</v>
      </c>
      <c r="W34" s="38"/>
    </row>
    <row r="35" spans="1:23" x14ac:dyDescent="0.25">
      <c r="A35" s="11"/>
      <c r="B35" s="243" t="s">
        <v>29</v>
      </c>
      <c r="C35" s="244"/>
      <c r="D35" s="244"/>
      <c r="E35" s="411" t="s">
        <v>19</v>
      </c>
      <c r="F35" s="245"/>
      <c r="G35" s="245"/>
      <c r="H35" s="418">
        <f t="shared" si="3"/>
        <v>0</v>
      </c>
      <c r="I35" s="419"/>
      <c r="J35" s="420">
        <f>Volume_7!G19</f>
        <v>0</v>
      </c>
      <c r="K35" s="420">
        <f>Volume_7!K19</f>
        <v>0</v>
      </c>
      <c r="L35" s="420">
        <f>Volume_7!O19</f>
        <v>0</v>
      </c>
      <c r="M35" s="420">
        <f>Volume_7!S19</f>
        <v>0</v>
      </c>
      <c r="N35" s="420">
        <f>Volume_7!W19</f>
        <v>0</v>
      </c>
      <c r="O35" s="420">
        <f>Volume_7!AA19</f>
        <v>0</v>
      </c>
      <c r="P35" s="420">
        <f>Volume_7!AE19</f>
        <v>0</v>
      </c>
      <c r="Q35" s="420">
        <f>Volume_7!AI19</f>
        <v>0</v>
      </c>
      <c r="R35" s="420">
        <f>Volume_7!AM19</f>
        <v>0</v>
      </c>
      <c r="S35" s="420">
        <f>Volume_7!AQ19</f>
        <v>0</v>
      </c>
      <c r="T35" s="420">
        <f>Volume_7!AU19</f>
        <v>0</v>
      </c>
      <c r="U35" s="420">
        <f>Volume_7!AY19</f>
        <v>0</v>
      </c>
      <c r="W35" s="38"/>
    </row>
    <row r="36" spans="1:23" x14ac:dyDescent="0.25">
      <c r="A36" s="11"/>
      <c r="B36" s="243" t="s">
        <v>28</v>
      </c>
      <c r="C36" s="244"/>
      <c r="D36" s="244"/>
      <c r="E36" s="411" t="s">
        <v>19</v>
      </c>
      <c r="F36" s="245"/>
      <c r="G36" s="245"/>
      <c r="H36" s="418">
        <f t="shared" si="3"/>
        <v>0</v>
      </c>
      <c r="I36" s="419"/>
      <c r="J36" s="420">
        <f>Volume_7!G20</f>
        <v>0</v>
      </c>
      <c r="K36" s="420">
        <f>Volume_7!K20</f>
        <v>0</v>
      </c>
      <c r="L36" s="420">
        <f>Volume_7!O20</f>
        <v>0</v>
      </c>
      <c r="M36" s="420">
        <f>Volume_7!S20</f>
        <v>0</v>
      </c>
      <c r="N36" s="420">
        <f>Volume_7!W20</f>
        <v>0</v>
      </c>
      <c r="O36" s="420">
        <f>Volume_7!AA20</f>
        <v>0</v>
      </c>
      <c r="P36" s="420">
        <f>Volume_7!AE20</f>
        <v>0</v>
      </c>
      <c r="Q36" s="420">
        <f>Volume_7!AI20</f>
        <v>0</v>
      </c>
      <c r="R36" s="420">
        <f>Volume_7!AM20</f>
        <v>0</v>
      </c>
      <c r="S36" s="420">
        <f>Volume_7!AQ20</f>
        <v>0</v>
      </c>
      <c r="T36" s="420">
        <f>Volume_7!AU20</f>
        <v>0</v>
      </c>
      <c r="U36" s="420">
        <f>Volume_7!AY20</f>
        <v>0</v>
      </c>
      <c r="W36" s="38"/>
    </row>
    <row r="37" spans="1:23" x14ac:dyDescent="0.25">
      <c r="A37" s="11"/>
      <c r="B37" s="246" t="s">
        <v>31</v>
      </c>
      <c r="C37" s="244"/>
      <c r="D37" s="244"/>
      <c r="E37" s="411" t="s">
        <v>19</v>
      </c>
      <c r="F37" s="245"/>
      <c r="G37" s="245"/>
      <c r="H37" s="418">
        <f t="shared" si="3"/>
        <v>0</v>
      </c>
      <c r="I37" s="419"/>
      <c r="J37" s="420">
        <f>Volume_7!G21</f>
        <v>0</v>
      </c>
      <c r="K37" s="420">
        <f>Volume_7!K21</f>
        <v>0</v>
      </c>
      <c r="L37" s="420">
        <f>Volume_7!O21</f>
        <v>0</v>
      </c>
      <c r="M37" s="420">
        <f>Volume_7!S21</f>
        <v>0</v>
      </c>
      <c r="N37" s="420">
        <f>Volume_7!W21</f>
        <v>0</v>
      </c>
      <c r="O37" s="420">
        <f>Volume_7!AA21</f>
        <v>0</v>
      </c>
      <c r="P37" s="420">
        <f>Volume_7!AE21</f>
        <v>0</v>
      </c>
      <c r="Q37" s="420">
        <f>Volume_7!AI21</f>
        <v>0</v>
      </c>
      <c r="R37" s="420">
        <f>Volume_7!AM21</f>
        <v>0</v>
      </c>
      <c r="S37" s="420">
        <f>Volume_7!AQ21</f>
        <v>0</v>
      </c>
      <c r="T37" s="420">
        <f>Volume_7!AU21</f>
        <v>0</v>
      </c>
      <c r="U37" s="420">
        <f>Volume_7!AY21</f>
        <v>0</v>
      </c>
      <c r="W37" s="38"/>
    </row>
    <row r="38" spans="1:23" x14ac:dyDescent="0.25">
      <c r="A38" s="11"/>
      <c r="B38" s="246" t="s">
        <v>32</v>
      </c>
      <c r="C38" s="244"/>
      <c r="D38" s="244"/>
      <c r="E38" s="411" t="s">
        <v>19</v>
      </c>
      <c r="F38" s="245"/>
      <c r="G38" s="245"/>
      <c r="H38" s="418">
        <f t="shared" si="3"/>
        <v>0</v>
      </c>
      <c r="I38" s="419"/>
      <c r="J38" s="420">
        <f>Volume_7!G22</f>
        <v>0</v>
      </c>
      <c r="K38" s="420">
        <f>Volume_7!K22</f>
        <v>0</v>
      </c>
      <c r="L38" s="420">
        <f>Volume_7!O22</f>
        <v>0</v>
      </c>
      <c r="M38" s="420">
        <f>Volume_7!S22</f>
        <v>0</v>
      </c>
      <c r="N38" s="420">
        <f>Volume_7!W22</f>
        <v>0</v>
      </c>
      <c r="O38" s="420">
        <f>Volume_7!AA22</f>
        <v>0</v>
      </c>
      <c r="P38" s="420">
        <f>Volume_7!AE22</f>
        <v>0</v>
      </c>
      <c r="Q38" s="420">
        <f>Volume_7!AI22</f>
        <v>0</v>
      </c>
      <c r="R38" s="420">
        <f>Volume_7!AM22</f>
        <v>0</v>
      </c>
      <c r="S38" s="420">
        <f>Volume_7!AQ22</f>
        <v>0</v>
      </c>
      <c r="T38" s="420">
        <f>Volume_7!AU22</f>
        <v>0</v>
      </c>
      <c r="U38" s="420">
        <f>Volume_7!AY22</f>
        <v>0</v>
      </c>
      <c r="W38" s="38"/>
    </row>
    <row r="39" spans="1:23" x14ac:dyDescent="0.25">
      <c r="A39" s="11"/>
      <c r="B39" s="246" t="s">
        <v>33</v>
      </c>
      <c r="C39" s="244"/>
      <c r="D39" s="244"/>
      <c r="E39" s="411" t="s">
        <v>19</v>
      </c>
      <c r="F39" s="245"/>
      <c r="G39" s="245"/>
      <c r="H39" s="418">
        <f t="shared" si="3"/>
        <v>0</v>
      </c>
      <c r="I39" s="419"/>
      <c r="J39" s="420">
        <f>Volume_7!G23</f>
        <v>0</v>
      </c>
      <c r="K39" s="420">
        <f>Volume_7!K23</f>
        <v>0</v>
      </c>
      <c r="L39" s="420">
        <f>Volume_7!O23</f>
        <v>0</v>
      </c>
      <c r="M39" s="420">
        <f>Volume_7!S23</f>
        <v>0</v>
      </c>
      <c r="N39" s="420">
        <f>Volume_7!W23</f>
        <v>0</v>
      </c>
      <c r="O39" s="420">
        <f>Volume_7!AA23</f>
        <v>0</v>
      </c>
      <c r="P39" s="420">
        <f>Volume_7!AE23</f>
        <v>0</v>
      </c>
      <c r="Q39" s="420">
        <f>Volume_7!AI23</f>
        <v>0</v>
      </c>
      <c r="R39" s="420">
        <f>Volume_7!AM23</f>
        <v>0</v>
      </c>
      <c r="S39" s="420">
        <f>Volume_7!AQ23</f>
        <v>0</v>
      </c>
      <c r="T39" s="420">
        <f>Volume_7!AU23</f>
        <v>0</v>
      </c>
      <c r="U39" s="420">
        <f>Volume_7!AY23</f>
        <v>0</v>
      </c>
      <c r="W39" s="38"/>
    </row>
    <row r="40" spans="1:23" x14ac:dyDescent="0.25">
      <c r="A40" s="11"/>
      <c r="B40" s="246" t="s">
        <v>35</v>
      </c>
      <c r="C40" s="244"/>
      <c r="D40" s="244"/>
      <c r="E40" s="411" t="s">
        <v>19</v>
      </c>
      <c r="F40" s="245"/>
      <c r="G40" s="245"/>
      <c r="H40" s="418">
        <f t="shared" si="3"/>
        <v>0</v>
      </c>
      <c r="I40" s="419"/>
      <c r="J40" s="420">
        <f>Volume_7!G24</f>
        <v>0</v>
      </c>
      <c r="K40" s="420">
        <f>Volume_7!K24</f>
        <v>0</v>
      </c>
      <c r="L40" s="420">
        <f>Volume_7!O24</f>
        <v>0</v>
      </c>
      <c r="M40" s="420">
        <f>Volume_7!S24</f>
        <v>0</v>
      </c>
      <c r="N40" s="420">
        <f>Volume_7!W24</f>
        <v>0</v>
      </c>
      <c r="O40" s="420">
        <f>Volume_7!AA24</f>
        <v>0</v>
      </c>
      <c r="P40" s="420">
        <f>Volume_7!AE24</f>
        <v>0</v>
      </c>
      <c r="Q40" s="420">
        <f>Volume_7!AI24</f>
        <v>0</v>
      </c>
      <c r="R40" s="420">
        <f>Volume_7!AM24</f>
        <v>0</v>
      </c>
      <c r="S40" s="420">
        <f>Volume_7!AQ24</f>
        <v>0</v>
      </c>
      <c r="T40" s="420">
        <f>Volume_7!AU24</f>
        <v>0</v>
      </c>
      <c r="U40" s="420">
        <f>Volume_7!AY24</f>
        <v>0</v>
      </c>
      <c r="W40" s="38"/>
    </row>
    <row r="41" spans="1:23" x14ac:dyDescent="0.25">
      <c r="A41" s="11"/>
      <c r="B41" s="243" t="s">
        <v>36</v>
      </c>
      <c r="C41" s="244"/>
      <c r="D41" s="244"/>
      <c r="E41" s="411" t="s">
        <v>19</v>
      </c>
      <c r="F41" s="245"/>
      <c r="G41" s="245"/>
      <c r="H41" s="418">
        <f t="shared" si="3"/>
        <v>0</v>
      </c>
      <c r="I41" s="419"/>
      <c r="J41" s="420">
        <f>Volume_7!G25</f>
        <v>0</v>
      </c>
      <c r="K41" s="420">
        <f>Volume_7!K25</f>
        <v>0</v>
      </c>
      <c r="L41" s="420">
        <f>Volume_7!O25</f>
        <v>0</v>
      </c>
      <c r="M41" s="420">
        <f>Volume_7!S25</f>
        <v>0</v>
      </c>
      <c r="N41" s="420">
        <f>Volume_7!W25</f>
        <v>0</v>
      </c>
      <c r="O41" s="420">
        <f>Volume_7!AA25</f>
        <v>0</v>
      </c>
      <c r="P41" s="420">
        <f>Volume_7!AE25</f>
        <v>0</v>
      </c>
      <c r="Q41" s="420">
        <f>Volume_7!AI25</f>
        <v>0</v>
      </c>
      <c r="R41" s="420">
        <f>Volume_7!AM25</f>
        <v>0</v>
      </c>
      <c r="S41" s="420">
        <f>Volume_7!AQ25</f>
        <v>0</v>
      </c>
      <c r="T41" s="420">
        <f>Volume_7!AU25</f>
        <v>0</v>
      </c>
      <c r="U41" s="420">
        <f>Volume_7!AY25</f>
        <v>0</v>
      </c>
      <c r="W41" s="38"/>
    </row>
    <row r="42" spans="1:23" ht="15.75" thickBot="1" x14ac:dyDescent="0.3">
      <c r="A42" s="11"/>
      <c r="B42" s="49"/>
      <c r="C42" s="50">
        <f>SUM(C20:C41)</f>
        <v>0</v>
      </c>
      <c r="D42" s="51"/>
      <c r="E42" s="52"/>
      <c r="F42" s="53"/>
      <c r="G42" s="54"/>
      <c r="H42" s="421"/>
      <c r="I42" s="419"/>
      <c r="J42" s="419"/>
      <c r="K42" s="419"/>
      <c r="L42" s="419"/>
      <c r="M42" s="419"/>
      <c r="N42" s="419"/>
      <c r="O42" s="419"/>
      <c r="P42" s="419"/>
      <c r="Q42" s="419"/>
      <c r="R42" s="419"/>
      <c r="S42" s="419"/>
      <c r="T42" s="419"/>
      <c r="U42" s="422"/>
    </row>
    <row r="43" spans="1:23" ht="15.75" thickTop="1" x14ac:dyDescent="0.25">
      <c r="A43" s="11"/>
      <c r="B43" s="55" t="s">
        <v>39</v>
      </c>
      <c r="C43" s="51">
        <f>SUMIF(E20:E41,"JAS",C20:C41)</f>
        <v>0</v>
      </c>
      <c r="D43" s="51"/>
      <c r="E43" s="52"/>
      <c r="F43" s="53"/>
      <c r="G43" s="421"/>
      <c r="H43" s="418">
        <f>SUM(J43:U43)</f>
        <v>0</v>
      </c>
      <c r="I43" s="419"/>
      <c r="J43" s="423">
        <f t="shared" ref="J43:U43" si="4">SUM(J28:J41)</f>
        <v>0</v>
      </c>
      <c r="K43" s="423">
        <f t="shared" si="4"/>
        <v>0</v>
      </c>
      <c r="L43" s="423">
        <f t="shared" si="4"/>
        <v>0</v>
      </c>
      <c r="M43" s="423">
        <f t="shared" si="4"/>
        <v>0</v>
      </c>
      <c r="N43" s="423">
        <f t="shared" si="4"/>
        <v>0</v>
      </c>
      <c r="O43" s="423">
        <f t="shared" si="4"/>
        <v>0</v>
      </c>
      <c r="P43" s="423">
        <f t="shared" si="4"/>
        <v>0</v>
      </c>
      <c r="Q43" s="423">
        <f t="shared" si="4"/>
        <v>0</v>
      </c>
      <c r="R43" s="423">
        <f t="shared" si="4"/>
        <v>0</v>
      </c>
      <c r="S43" s="423">
        <f t="shared" si="4"/>
        <v>0</v>
      </c>
      <c r="T43" s="423">
        <f t="shared" si="4"/>
        <v>0</v>
      </c>
      <c r="U43" s="423">
        <f t="shared" si="4"/>
        <v>0</v>
      </c>
      <c r="W43" s="38"/>
    </row>
    <row r="44" spans="1:23" x14ac:dyDescent="0.25">
      <c r="A44" s="11"/>
      <c r="B44" s="55" t="s">
        <v>40</v>
      </c>
      <c r="C44" s="51">
        <f>SUMIF(E20:E41,"Tonnes",C20:C41)</f>
        <v>0</v>
      </c>
      <c r="D44" s="51"/>
      <c r="E44" s="52"/>
      <c r="F44" s="53"/>
      <c r="G44" s="421"/>
      <c r="H44" s="418">
        <f>SUM(J44:U44)</f>
        <v>0</v>
      </c>
      <c r="I44" s="419"/>
      <c r="J44" s="423">
        <f t="shared" ref="J44:U44" si="5">SUM(J20:J27)</f>
        <v>0</v>
      </c>
      <c r="K44" s="423">
        <f t="shared" si="5"/>
        <v>0</v>
      </c>
      <c r="L44" s="423">
        <f t="shared" si="5"/>
        <v>0</v>
      </c>
      <c r="M44" s="423">
        <f t="shared" si="5"/>
        <v>0</v>
      </c>
      <c r="N44" s="423">
        <f t="shared" si="5"/>
        <v>0</v>
      </c>
      <c r="O44" s="423">
        <f t="shared" si="5"/>
        <v>0</v>
      </c>
      <c r="P44" s="423">
        <f t="shared" si="5"/>
        <v>0</v>
      </c>
      <c r="Q44" s="423">
        <f t="shared" si="5"/>
        <v>0</v>
      </c>
      <c r="R44" s="423">
        <f t="shared" si="5"/>
        <v>0</v>
      </c>
      <c r="S44" s="423">
        <f t="shared" si="5"/>
        <v>0</v>
      </c>
      <c r="T44" s="423">
        <f t="shared" si="5"/>
        <v>0</v>
      </c>
      <c r="U44" s="423">
        <f t="shared" si="5"/>
        <v>0</v>
      </c>
    </row>
    <row r="45" spans="1:23" ht="15.75" thickBot="1" x14ac:dyDescent="0.3">
      <c r="A45" s="11"/>
      <c r="B45" s="49"/>
      <c r="C45" s="51"/>
      <c r="D45" s="51"/>
      <c r="E45" s="52"/>
      <c r="F45" s="53"/>
      <c r="G45" s="421"/>
      <c r="H45" s="421"/>
      <c r="I45" s="419"/>
      <c r="J45" s="421"/>
      <c r="K45" s="421"/>
      <c r="L45" s="421"/>
      <c r="M45" s="421"/>
      <c r="N45" s="421"/>
      <c r="O45" s="421"/>
      <c r="P45" s="421"/>
      <c r="Q45" s="421"/>
      <c r="R45" s="421"/>
      <c r="S45" s="421"/>
      <c r="T45" s="421"/>
      <c r="U45" s="424"/>
    </row>
    <row r="46" spans="1:23" ht="16.5" thickTop="1" thickBot="1" x14ac:dyDescent="0.3">
      <c r="A46" s="11"/>
      <c r="B46" s="59" t="s">
        <v>18</v>
      </c>
      <c r="C46" s="60"/>
      <c r="D46" s="60"/>
      <c r="E46" s="61"/>
      <c r="F46" s="62"/>
      <c r="G46" s="427">
        <f>IFERROR(H46/W16,0)</f>
        <v>0</v>
      </c>
      <c r="H46" s="425">
        <f>SUM(H20:H41)</f>
        <v>0</v>
      </c>
      <c r="I46" s="65"/>
      <c r="J46" s="425">
        <f t="shared" ref="J46:U46" si="6">SUM(J20:J41)</f>
        <v>0</v>
      </c>
      <c r="K46" s="425">
        <f t="shared" si="6"/>
        <v>0</v>
      </c>
      <c r="L46" s="425">
        <f t="shared" si="6"/>
        <v>0</v>
      </c>
      <c r="M46" s="425">
        <f t="shared" si="6"/>
        <v>0</v>
      </c>
      <c r="N46" s="425">
        <f t="shared" si="6"/>
        <v>0</v>
      </c>
      <c r="O46" s="425">
        <f t="shared" si="6"/>
        <v>0</v>
      </c>
      <c r="P46" s="425">
        <f t="shared" si="6"/>
        <v>0</v>
      </c>
      <c r="Q46" s="425">
        <f t="shared" si="6"/>
        <v>0</v>
      </c>
      <c r="R46" s="425">
        <f t="shared" si="6"/>
        <v>0</v>
      </c>
      <c r="S46" s="425">
        <f t="shared" si="6"/>
        <v>0</v>
      </c>
      <c r="T46" s="425">
        <f t="shared" si="6"/>
        <v>0</v>
      </c>
      <c r="U46" s="426">
        <f t="shared" si="6"/>
        <v>0</v>
      </c>
      <c r="W46" s="67">
        <f>SUM(J46:U46)</f>
        <v>0</v>
      </c>
    </row>
    <row r="47" spans="1:23" x14ac:dyDescent="0.25">
      <c r="A47" s="11"/>
      <c r="B47" s="68"/>
      <c r="G47" s="52"/>
      <c r="H47" s="69"/>
      <c r="I47" s="69"/>
    </row>
    <row r="48" spans="1:23" ht="16.5" thickBot="1" x14ac:dyDescent="0.3">
      <c r="A48" s="11"/>
      <c r="B48" s="70" t="s">
        <v>41</v>
      </c>
      <c r="C48" s="80" t="s">
        <v>44</v>
      </c>
      <c r="D48" s="42" t="s">
        <v>220</v>
      </c>
    </row>
    <row r="49" spans="1:23" ht="15.75" thickBot="1" x14ac:dyDescent="0.3">
      <c r="A49" s="11"/>
      <c r="B49" s="71" t="s">
        <v>42</v>
      </c>
      <c r="C49" s="321" t="s">
        <v>193</v>
      </c>
      <c r="D49" s="324" t="s">
        <v>53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40"/>
    </row>
    <row r="50" spans="1:23" ht="15.75" thickBot="1" x14ac:dyDescent="0.3">
      <c r="A50" s="11"/>
      <c r="B50" s="72"/>
      <c r="C50" s="43"/>
      <c r="D50" s="43"/>
      <c r="E50" s="43"/>
      <c r="F50" s="43"/>
      <c r="G50" s="43"/>
      <c r="H50" s="42" t="s">
        <v>18</v>
      </c>
      <c r="I50" s="43"/>
      <c r="J50" s="178">
        <v>45658</v>
      </c>
      <c r="K50" s="178">
        <v>45689</v>
      </c>
      <c r="L50" s="178">
        <v>45717</v>
      </c>
      <c r="M50" s="178">
        <v>45748</v>
      </c>
      <c r="N50" s="178">
        <v>45778</v>
      </c>
      <c r="O50" s="178">
        <v>45809</v>
      </c>
      <c r="P50" s="178">
        <v>45839</v>
      </c>
      <c r="Q50" s="178">
        <v>45870</v>
      </c>
      <c r="R50" s="178">
        <v>45901</v>
      </c>
      <c r="S50" s="178">
        <v>45931</v>
      </c>
      <c r="T50" s="178">
        <v>45962</v>
      </c>
      <c r="U50" s="178">
        <v>45992</v>
      </c>
    </row>
    <row r="51" spans="1:23" ht="16.5" thickTop="1" thickBot="1" x14ac:dyDescent="0.3">
      <c r="A51" s="11"/>
      <c r="B51" s="73"/>
      <c r="C51" s="74"/>
      <c r="D51" s="74"/>
      <c r="E51" s="74"/>
      <c r="F51" s="74"/>
      <c r="G51" s="433">
        <f>IFERROR(H51/W16,0)</f>
        <v>0</v>
      </c>
      <c r="H51" s="434">
        <f>SUM(J51:U51)</f>
        <v>0</v>
      </c>
      <c r="I51" s="76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2"/>
      <c r="W51" s="67">
        <f>SUM(J51:U51)</f>
        <v>0</v>
      </c>
    </row>
    <row r="52" spans="1:23" x14ac:dyDescent="0.25">
      <c r="A52" s="11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</row>
    <row r="53" spans="1:23" ht="15.75" thickBot="1" x14ac:dyDescent="0.3">
      <c r="A53" s="11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</row>
    <row r="54" spans="1:23" ht="15.75" thickBot="1" x14ac:dyDescent="0.3">
      <c r="A54" s="11"/>
      <c r="B54" s="71" t="s">
        <v>43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40"/>
    </row>
    <row r="55" spans="1:23" x14ac:dyDescent="0.25">
      <c r="A55" s="11"/>
      <c r="B55" s="41" t="s">
        <v>13</v>
      </c>
      <c r="C55" s="80" t="s">
        <v>44</v>
      </c>
      <c r="D55" s="42" t="s">
        <v>220</v>
      </c>
      <c r="E55" s="80" t="s">
        <v>45</v>
      </c>
      <c r="F55" s="80" t="s">
        <v>45</v>
      </c>
      <c r="G55" s="80" t="s">
        <v>46</v>
      </c>
      <c r="H55" s="81" t="s">
        <v>18</v>
      </c>
      <c r="I55" s="43"/>
      <c r="J55" s="178">
        <v>45658</v>
      </c>
      <c r="K55" s="178">
        <v>45689</v>
      </c>
      <c r="L55" s="178">
        <v>45717</v>
      </c>
      <c r="M55" s="178">
        <v>45748</v>
      </c>
      <c r="N55" s="178">
        <v>45778</v>
      </c>
      <c r="O55" s="178">
        <v>45809</v>
      </c>
      <c r="P55" s="178">
        <v>45839</v>
      </c>
      <c r="Q55" s="178">
        <v>45870</v>
      </c>
      <c r="R55" s="178">
        <v>45901</v>
      </c>
      <c r="S55" s="178">
        <v>45931</v>
      </c>
      <c r="T55" s="178">
        <v>45962</v>
      </c>
      <c r="U55" s="178">
        <v>45992</v>
      </c>
    </row>
    <row r="56" spans="1:23" x14ac:dyDescent="0.25">
      <c r="A56" s="11"/>
      <c r="B56" s="203" t="s">
        <v>20</v>
      </c>
      <c r="C56" s="83" t="s">
        <v>192</v>
      </c>
      <c r="D56" s="83" t="s">
        <v>47</v>
      </c>
      <c r="E56" s="204" t="s">
        <v>172</v>
      </c>
      <c r="F56" s="205"/>
      <c r="G56" s="206"/>
      <c r="H56" s="435">
        <f>SUM(J56:U56)</f>
        <v>0</v>
      </c>
      <c r="I56" s="54"/>
      <c r="J56" s="428"/>
      <c r="K56" s="428"/>
      <c r="L56" s="428"/>
      <c r="M56" s="428"/>
      <c r="N56" s="428"/>
      <c r="O56" s="428"/>
      <c r="P56" s="428"/>
      <c r="Q56" s="428"/>
      <c r="R56" s="428"/>
      <c r="S56" s="428"/>
      <c r="T56" s="428"/>
      <c r="U56" s="428"/>
    </row>
    <row r="57" spans="1:23" x14ac:dyDescent="0.25">
      <c r="A57" s="11"/>
      <c r="B57" s="102" t="s">
        <v>22</v>
      </c>
      <c r="C57" s="207" t="s">
        <v>192</v>
      </c>
      <c r="D57" s="207" t="s">
        <v>47</v>
      </c>
      <c r="E57" s="208" t="s">
        <v>172</v>
      </c>
      <c r="F57" s="209"/>
      <c r="G57" s="206"/>
      <c r="H57" s="435">
        <v>0</v>
      </c>
      <c r="I57" s="54"/>
      <c r="J57" s="428"/>
      <c r="K57" s="428"/>
      <c r="L57" s="428"/>
      <c r="M57" s="428"/>
      <c r="N57" s="428"/>
      <c r="O57" s="428"/>
      <c r="P57" s="428"/>
      <c r="Q57" s="428"/>
      <c r="R57" s="428"/>
      <c r="S57" s="428"/>
      <c r="T57" s="428"/>
      <c r="U57" s="428"/>
    </row>
    <row r="58" spans="1:23" x14ac:dyDescent="0.25">
      <c r="A58" s="11"/>
      <c r="B58" s="102" t="s">
        <v>25</v>
      </c>
      <c r="C58" s="207" t="s">
        <v>192</v>
      </c>
      <c r="D58" s="207" t="s">
        <v>47</v>
      </c>
      <c r="E58" s="210" t="s">
        <v>172</v>
      </c>
      <c r="F58" s="211"/>
      <c r="G58" s="206"/>
      <c r="H58" s="435">
        <f t="shared" ref="H58:H77" si="7">SUM(J58:U58)</f>
        <v>0</v>
      </c>
      <c r="I58" s="54"/>
      <c r="J58" s="428"/>
      <c r="K58" s="428"/>
      <c r="L58" s="428"/>
      <c r="M58" s="428"/>
      <c r="N58" s="428"/>
      <c r="O58" s="428"/>
      <c r="P58" s="428"/>
      <c r="Q58" s="428"/>
      <c r="R58" s="428"/>
      <c r="S58" s="428"/>
      <c r="T58" s="428"/>
      <c r="U58" s="428"/>
    </row>
    <row r="59" spans="1:23" x14ac:dyDescent="0.25">
      <c r="A59" s="11"/>
      <c r="B59" s="102" t="s">
        <v>30</v>
      </c>
      <c r="C59" s="207" t="s">
        <v>192</v>
      </c>
      <c r="D59" s="207" t="s">
        <v>47</v>
      </c>
      <c r="E59" s="210" t="s">
        <v>172</v>
      </c>
      <c r="F59" s="211" t="s">
        <v>252</v>
      </c>
      <c r="G59" s="206">
        <v>45</v>
      </c>
      <c r="H59" s="435">
        <f t="shared" si="7"/>
        <v>0</v>
      </c>
      <c r="I59" s="54"/>
      <c r="J59" s="428"/>
      <c r="K59" s="428"/>
      <c r="L59" s="428"/>
      <c r="M59" s="428"/>
      <c r="N59" s="428"/>
      <c r="O59" s="428"/>
      <c r="P59" s="428"/>
      <c r="Q59" s="428"/>
      <c r="R59" s="428"/>
      <c r="S59" s="428"/>
      <c r="T59" s="428"/>
      <c r="U59" s="428"/>
    </row>
    <row r="60" spans="1:23" x14ac:dyDescent="0.25">
      <c r="A60" s="11"/>
      <c r="B60" s="102" t="s">
        <v>222</v>
      </c>
      <c r="C60" s="207" t="s">
        <v>192</v>
      </c>
      <c r="D60" s="207" t="s">
        <v>47</v>
      </c>
      <c r="E60" s="210" t="s">
        <v>172</v>
      </c>
      <c r="F60" s="211" t="s">
        <v>252</v>
      </c>
      <c r="G60" s="206">
        <v>45</v>
      </c>
      <c r="H60" s="435">
        <f t="shared" si="7"/>
        <v>0</v>
      </c>
      <c r="I60" s="54"/>
      <c r="J60" s="428"/>
      <c r="K60" s="428"/>
      <c r="L60" s="428"/>
      <c r="M60" s="428"/>
      <c r="N60" s="428"/>
      <c r="O60" s="428"/>
      <c r="P60" s="428"/>
      <c r="Q60" s="428"/>
      <c r="R60" s="428"/>
      <c r="S60" s="428"/>
      <c r="T60" s="428"/>
      <c r="U60" s="428"/>
    </row>
    <row r="61" spans="1:23" x14ac:dyDescent="0.25">
      <c r="A61" s="11"/>
      <c r="B61" s="102" t="s">
        <v>34</v>
      </c>
      <c r="C61" s="207" t="s">
        <v>192</v>
      </c>
      <c r="D61" s="207" t="s">
        <v>47</v>
      </c>
      <c r="E61" s="210" t="s">
        <v>172</v>
      </c>
      <c r="F61" s="211"/>
      <c r="G61" s="206"/>
      <c r="H61" s="435">
        <f t="shared" si="7"/>
        <v>0</v>
      </c>
      <c r="I61" s="54"/>
      <c r="J61" s="428"/>
      <c r="K61" s="428"/>
      <c r="L61" s="428"/>
      <c r="M61" s="428"/>
      <c r="N61" s="428"/>
      <c r="O61" s="428"/>
      <c r="P61" s="428"/>
      <c r="Q61" s="428"/>
      <c r="R61" s="428"/>
      <c r="S61" s="428"/>
      <c r="T61" s="428"/>
      <c r="U61" s="428"/>
    </row>
    <row r="62" spans="1:23" x14ac:dyDescent="0.25">
      <c r="A62" s="11"/>
      <c r="B62" s="102" t="s">
        <v>37</v>
      </c>
      <c r="C62" s="207" t="s">
        <v>192</v>
      </c>
      <c r="D62" s="207" t="s">
        <v>47</v>
      </c>
      <c r="E62" s="210" t="s">
        <v>172</v>
      </c>
      <c r="F62" s="211"/>
      <c r="G62" s="206"/>
      <c r="H62" s="435">
        <f t="shared" si="7"/>
        <v>0</v>
      </c>
      <c r="I62" s="54"/>
      <c r="J62" s="428"/>
      <c r="K62" s="428"/>
      <c r="L62" s="428"/>
      <c r="M62" s="428"/>
      <c r="N62" s="428"/>
      <c r="O62" s="428"/>
      <c r="P62" s="428"/>
      <c r="Q62" s="428"/>
      <c r="R62" s="428"/>
      <c r="S62" s="428"/>
      <c r="T62" s="428"/>
      <c r="U62" s="428"/>
    </row>
    <row r="63" spans="1:23" x14ac:dyDescent="0.25">
      <c r="A63" s="11"/>
      <c r="B63" s="102" t="s">
        <v>174</v>
      </c>
      <c r="C63" s="207" t="s">
        <v>192</v>
      </c>
      <c r="D63" s="207" t="s">
        <v>47</v>
      </c>
      <c r="E63" s="210" t="s">
        <v>172</v>
      </c>
      <c r="F63" s="211"/>
      <c r="G63" s="206"/>
      <c r="H63" s="435">
        <f t="shared" si="7"/>
        <v>0</v>
      </c>
      <c r="I63" s="54"/>
      <c r="J63" s="428"/>
      <c r="K63" s="428"/>
      <c r="L63" s="428"/>
      <c r="M63" s="428"/>
      <c r="N63" s="428"/>
      <c r="O63" s="428"/>
      <c r="P63" s="428"/>
      <c r="Q63" s="428"/>
      <c r="R63" s="428"/>
      <c r="S63" s="428"/>
      <c r="T63" s="428"/>
      <c r="U63" s="428"/>
    </row>
    <row r="64" spans="1:23" x14ac:dyDescent="0.25">
      <c r="A64" s="11"/>
      <c r="B64" s="102" t="s">
        <v>175</v>
      </c>
      <c r="C64" s="207" t="s">
        <v>192</v>
      </c>
      <c r="D64" s="207" t="s">
        <v>47</v>
      </c>
      <c r="E64" s="210" t="s">
        <v>221</v>
      </c>
      <c r="F64" s="211" t="s">
        <v>224</v>
      </c>
      <c r="G64" s="206">
        <v>64.5</v>
      </c>
      <c r="H64" s="435">
        <f t="shared" si="7"/>
        <v>0</v>
      </c>
      <c r="I64" s="54"/>
      <c r="J64" s="428"/>
      <c r="K64" s="428"/>
      <c r="L64" s="428"/>
      <c r="M64" s="428"/>
      <c r="N64" s="428"/>
      <c r="O64" s="428"/>
      <c r="P64" s="428"/>
      <c r="Q64" s="428"/>
      <c r="R64" s="428"/>
      <c r="S64" s="428"/>
      <c r="T64" s="428"/>
      <c r="U64" s="428"/>
    </row>
    <row r="65" spans="1:23" x14ac:dyDescent="0.25">
      <c r="A65" s="11"/>
      <c r="B65" s="102" t="s">
        <v>176</v>
      </c>
      <c r="C65" s="207" t="s">
        <v>192</v>
      </c>
      <c r="D65" s="207" t="s">
        <v>47</v>
      </c>
      <c r="E65" s="210" t="s">
        <v>221</v>
      </c>
      <c r="F65" s="211" t="s">
        <v>224</v>
      </c>
      <c r="G65" s="206">
        <v>64.5</v>
      </c>
      <c r="H65" s="435">
        <f t="shared" si="7"/>
        <v>0</v>
      </c>
      <c r="I65" s="54"/>
      <c r="J65" s="428"/>
      <c r="K65" s="428"/>
      <c r="L65" s="428"/>
      <c r="M65" s="428"/>
      <c r="N65" s="428"/>
      <c r="O65" s="428"/>
      <c r="P65" s="428"/>
      <c r="Q65" s="428"/>
      <c r="R65" s="428"/>
      <c r="S65" s="428"/>
      <c r="T65" s="428"/>
      <c r="U65" s="428"/>
    </row>
    <row r="66" spans="1:23" x14ac:dyDescent="0.25">
      <c r="A66" s="11"/>
      <c r="B66" s="102" t="s">
        <v>23</v>
      </c>
      <c r="C66" s="207" t="s">
        <v>192</v>
      </c>
      <c r="D66" s="207" t="s">
        <v>47</v>
      </c>
      <c r="E66" s="210" t="s">
        <v>221</v>
      </c>
      <c r="F66" s="211" t="s">
        <v>224</v>
      </c>
      <c r="G66" s="206">
        <v>64.5</v>
      </c>
      <c r="H66" s="435">
        <f t="shared" si="7"/>
        <v>0</v>
      </c>
      <c r="I66" s="54"/>
      <c r="J66" s="428"/>
      <c r="K66" s="428"/>
      <c r="L66" s="428"/>
      <c r="M66" s="428"/>
      <c r="N66" s="428"/>
      <c r="O66" s="428"/>
      <c r="P66" s="428"/>
      <c r="Q66" s="428"/>
      <c r="R66" s="428"/>
      <c r="S66" s="428"/>
      <c r="T66" s="428"/>
      <c r="U66" s="428"/>
    </row>
    <row r="67" spans="1:23" x14ac:dyDescent="0.25">
      <c r="A67" s="11"/>
      <c r="B67" s="102" t="s">
        <v>24</v>
      </c>
      <c r="C67" s="207" t="s">
        <v>192</v>
      </c>
      <c r="D67" s="207" t="s">
        <v>47</v>
      </c>
      <c r="E67" s="208" t="s">
        <v>221</v>
      </c>
      <c r="F67" s="211" t="s">
        <v>224</v>
      </c>
      <c r="G67" s="206">
        <v>64.5</v>
      </c>
      <c r="H67" s="435">
        <f t="shared" si="7"/>
        <v>0</v>
      </c>
      <c r="I67" s="54"/>
      <c r="J67" s="428"/>
      <c r="K67" s="428"/>
      <c r="L67" s="428"/>
      <c r="M67" s="428"/>
      <c r="N67" s="428"/>
      <c r="O67" s="428"/>
      <c r="P67" s="428"/>
      <c r="Q67" s="428"/>
      <c r="R67" s="428"/>
      <c r="S67" s="428"/>
      <c r="T67" s="428"/>
      <c r="U67" s="428"/>
    </row>
    <row r="68" spans="1:23" x14ac:dyDescent="0.25">
      <c r="A68" s="11"/>
      <c r="B68" s="212" t="s">
        <v>26</v>
      </c>
      <c r="C68" s="207" t="s">
        <v>192</v>
      </c>
      <c r="D68" s="207" t="s">
        <v>47</v>
      </c>
      <c r="E68" s="210" t="s">
        <v>221</v>
      </c>
      <c r="F68" s="211" t="s">
        <v>224</v>
      </c>
      <c r="G68" s="206">
        <v>64.5</v>
      </c>
      <c r="H68" s="435">
        <f t="shared" si="7"/>
        <v>0</v>
      </c>
      <c r="I68" s="54"/>
      <c r="J68" s="428"/>
      <c r="K68" s="428"/>
      <c r="L68" s="428"/>
      <c r="M68" s="428"/>
      <c r="N68" s="428"/>
      <c r="O68" s="428"/>
      <c r="P68" s="428"/>
      <c r="Q68" s="428"/>
      <c r="R68" s="428"/>
      <c r="S68" s="428"/>
      <c r="T68" s="428"/>
      <c r="U68" s="428"/>
    </row>
    <row r="69" spans="1:23" x14ac:dyDescent="0.25">
      <c r="A69" s="11"/>
      <c r="B69" s="102" t="s">
        <v>27</v>
      </c>
      <c r="C69" s="207" t="s">
        <v>192</v>
      </c>
      <c r="D69" s="207" t="s">
        <v>47</v>
      </c>
      <c r="E69" s="210" t="s">
        <v>221</v>
      </c>
      <c r="F69" s="211" t="s">
        <v>224</v>
      </c>
      <c r="G69" s="206">
        <v>64.5</v>
      </c>
      <c r="H69" s="435">
        <f t="shared" si="7"/>
        <v>0</v>
      </c>
      <c r="I69" s="54"/>
      <c r="J69" s="428"/>
      <c r="K69" s="428"/>
      <c r="L69" s="428"/>
      <c r="M69" s="428"/>
      <c r="N69" s="428"/>
      <c r="O69" s="428"/>
      <c r="P69" s="428"/>
      <c r="Q69" s="428"/>
      <c r="R69" s="428"/>
      <c r="S69" s="428"/>
      <c r="T69" s="428"/>
      <c r="U69" s="428"/>
    </row>
    <row r="70" spans="1:23" x14ac:dyDescent="0.25">
      <c r="A70" s="11"/>
      <c r="B70" s="102" t="s">
        <v>28</v>
      </c>
      <c r="C70" s="207" t="s">
        <v>192</v>
      </c>
      <c r="D70" s="207" t="s">
        <v>47</v>
      </c>
      <c r="E70" s="210" t="s">
        <v>221</v>
      </c>
      <c r="F70" s="211" t="s">
        <v>224</v>
      </c>
      <c r="G70" s="206">
        <v>64.5</v>
      </c>
      <c r="H70" s="435">
        <f t="shared" si="7"/>
        <v>0</v>
      </c>
      <c r="I70" s="54"/>
      <c r="J70" s="428"/>
      <c r="K70" s="428"/>
      <c r="L70" s="428"/>
      <c r="M70" s="428"/>
      <c r="N70" s="428"/>
      <c r="O70" s="428"/>
      <c r="P70" s="428"/>
      <c r="Q70" s="428"/>
      <c r="R70" s="428"/>
      <c r="S70" s="428"/>
      <c r="T70" s="428"/>
      <c r="U70" s="428"/>
    </row>
    <row r="71" spans="1:23" x14ac:dyDescent="0.25">
      <c r="A71" s="11"/>
      <c r="B71" s="212" t="s">
        <v>29</v>
      </c>
      <c r="C71" s="207" t="s">
        <v>192</v>
      </c>
      <c r="D71" s="207" t="s">
        <v>47</v>
      </c>
      <c r="E71" s="208" t="s">
        <v>221</v>
      </c>
      <c r="F71" s="211" t="s">
        <v>224</v>
      </c>
      <c r="G71" s="206">
        <v>64.5</v>
      </c>
      <c r="H71" s="435">
        <f t="shared" si="7"/>
        <v>0</v>
      </c>
      <c r="I71" s="54"/>
      <c r="J71" s="428"/>
      <c r="K71" s="428"/>
      <c r="L71" s="428"/>
      <c r="M71" s="428"/>
      <c r="N71" s="428"/>
      <c r="O71" s="428"/>
      <c r="P71" s="428"/>
      <c r="Q71" s="428"/>
      <c r="R71" s="428"/>
      <c r="S71" s="428"/>
      <c r="T71" s="428"/>
      <c r="U71" s="428"/>
    </row>
    <row r="72" spans="1:23" x14ac:dyDescent="0.25">
      <c r="A72" s="11"/>
      <c r="B72" s="212" t="s">
        <v>31</v>
      </c>
      <c r="C72" s="207" t="s">
        <v>192</v>
      </c>
      <c r="D72" s="207" t="s">
        <v>47</v>
      </c>
      <c r="E72" s="208" t="s">
        <v>221</v>
      </c>
      <c r="F72" s="211" t="s">
        <v>224</v>
      </c>
      <c r="G72" s="206">
        <v>64.5</v>
      </c>
      <c r="H72" s="435">
        <f t="shared" si="7"/>
        <v>0</v>
      </c>
      <c r="I72" s="54"/>
      <c r="J72" s="428"/>
      <c r="K72" s="428"/>
      <c r="L72" s="428"/>
      <c r="M72" s="428"/>
      <c r="N72" s="428"/>
      <c r="O72" s="428"/>
      <c r="P72" s="428"/>
      <c r="Q72" s="428"/>
      <c r="R72" s="428"/>
      <c r="S72" s="428"/>
      <c r="T72" s="428"/>
      <c r="U72" s="428"/>
    </row>
    <row r="73" spans="1:23" x14ac:dyDescent="0.25">
      <c r="A73" s="11"/>
      <c r="B73" s="212" t="s">
        <v>32</v>
      </c>
      <c r="C73" s="207" t="s">
        <v>192</v>
      </c>
      <c r="D73" s="207" t="s">
        <v>47</v>
      </c>
      <c r="E73" s="210" t="s">
        <v>221</v>
      </c>
      <c r="F73" s="211" t="s">
        <v>224</v>
      </c>
      <c r="G73" s="206">
        <v>64.5</v>
      </c>
      <c r="H73" s="435">
        <f t="shared" si="7"/>
        <v>0</v>
      </c>
      <c r="I73" s="54"/>
      <c r="J73" s="428"/>
      <c r="K73" s="428"/>
      <c r="L73" s="428"/>
      <c r="M73" s="428"/>
      <c r="N73" s="428"/>
      <c r="O73" s="428"/>
      <c r="P73" s="428"/>
      <c r="Q73" s="428"/>
      <c r="R73" s="428"/>
      <c r="S73" s="428"/>
      <c r="T73" s="428"/>
      <c r="U73" s="428"/>
    </row>
    <row r="74" spans="1:23" x14ac:dyDescent="0.25">
      <c r="A74" s="11"/>
      <c r="B74" s="102" t="s">
        <v>33</v>
      </c>
      <c r="C74" s="207" t="s">
        <v>192</v>
      </c>
      <c r="D74" s="207" t="s">
        <v>47</v>
      </c>
      <c r="E74" s="210" t="s">
        <v>221</v>
      </c>
      <c r="F74" s="211" t="s">
        <v>224</v>
      </c>
      <c r="G74" s="206">
        <v>64.5</v>
      </c>
      <c r="H74" s="435">
        <f t="shared" si="7"/>
        <v>0</v>
      </c>
      <c r="I74" s="54"/>
      <c r="J74" s="428"/>
      <c r="K74" s="428"/>
      <c r="L74" s="428"/>
      <c r="M74" s="428"/>
      <c r="N74" s="428"/>
      <c r="O74" s="428"/>
      <c r="P74" s="428"/>
      <c r="Q74" s="428"/>
      <c r="R74" s="428"/>
      <c r="S74" s="428"/>
      <c r="T74" s="428"/>
      <c r="U74" s="428"/>
    </row>
    <row r="75" spans="1:23" x14ac:dyDescent="0.25">
      <c r="A75" s="11"/>
      <c r="B75" s="212" t="s">
        <v>35</v>
      </c>
      <c r="C75" s="207" t="s">
        <v>192</v>
      </c>
      <c r="D75" s="207" t="s">
        <v>47</v>
      </c>
      <c r="E75" s="208"/>
      <c r="F75" s="213"/>
      <c r="G75" s="206"/>
      <c r="H75" s="435">
        <f t="shared" si="7"/>
        <v>0</v>
      </c>
      <c r="I75" s="54"/>
      <c r="J75" s="428"/>
      <c r="K75" s="428"/>
      <c r="L75" s="428"/>
      <c r="M75" s="428"/>
      <c r="N75" s="428"/>
      <c r="O75" s="428"/>
      <c r="P75" s="428"/>
      <c r="Q75" s="428"/>
      <c r="R75" s="428"/>
      <c r="S75" s="428"/>
      <c r="T75" s="428"/>
      <c r="U75" s="428"/>
    </row>
    <row r="76" spans="1:23" x14ac:dyDescent="0.25">
      <c r="A76" s="11"/>
      <c r="B76" s="212" t="s">
        <v>36</v>
      </c>
      <c r="C76" s="207" t="s">
        <v>192</v>
      </c>
      <c r="D76" s="207" t="s">
        <v>47</v>
      </c>
      <c r="E76" s="208"/>
      <c r="F76" s="209"/>
      <c r="G76" s="206"/>
      <c r="H76" s="435">
        <f t="shared" si="7"/>
        <v>0</v>
      </c>
      <c r="I76" s="54"/>
      <c r="J76" s="428"/>
      <c r="K76" s="428"/>
      <c r="L76" s="428"/>
      <c r="M76" s="428"/>
      <c r="N76" s="428"/>
      <c r="O76" s="428"/>
      <c r="P76" s="428"/>
      <c r="Q76" s="428"/>
      <c r="R76" s="428"/>
      <c r="S76" s="428"/>
      <c r="T76" s="428"/>
      <c r="U76" s="428"/>
    </row>
    <row r="77" spans="1:23" ht="15.75" thickBot="1" x14ac:dyDescent="0.3">
      <c r="A77" s="84"/>
      <c r="B77" s="214" t="s">
        <v>38</v>
      </c>
      <c r="C77" s="215" t="s">
        <v>192</v>
      </c>
      <c r="D77" s="215" t="s">
        <v>47</v>
      </c>
      <c r="E77" s="216"/>
      <c r="F77" s="217"/>
      <c r="G77" s="206"/>
      <c r="H77" s="435">
        <f t="shared" si="7"/>
        <v>0</v>
      </c>
      <c r="I77" s="54"/>
      <c r="J77" s="428"/>
      <c r="K77" s="428"/>
      <c r="L77" s="428"/>
      <c r="M77" s="428"/>
      <c r="N77" s="428"/>
      <c r="O77" s="428"/>
      <c r="P77" s="428"/>
      <c r="Q77" s="428"/>
      <c r="R77" s="428"/>
      <c r="S77" s="428"/>
      <c r="T77" s="428"/>
      <c r="U77" s="428"/>
    </row>
    <row r="78" spans="1:23" ht="16.5" thickTop="1" thickBot="1" x14ac:dyDescent="0.3">
      <c r="A78" s="11"/>
      <c r="B78" s="85"/>
      <c r="C78" s="86"/>
      <c r="D78" s="86"/>
      <c r="E78" s="87"/>
      <c r="F78" s="88"/>
      <c r="G78" s="89">
        <f>IFERROR(H78/W16,0)</f>
        <v>0</v>
      </c>
      <c r="H78" s="434">
        <f>SUM(H56:H77)</f>
        <v>0</v>
      </c>
      <c r="I78" s="76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2"/>
      <c r="W78" s="67">
        <f>SUM(J78:U78)</f>
        <v>0</v>
      </c>
    </row>
    <row r="79" spans="1:23" ht="15.75" thickBot="1" x14ac:dyDescent="0.3">
      <c r="A79" s="11"/>
      <c r="B79" s="84"/>
      <c r="C79" s="84"/>
      <c r="D79" s="84"/>
      <c r="E79" s="52"/>
      <c r="F79" s="90"/>
      <c r="G79" s="91"/>
      <c r="H79" s="92"/>
      <c r="I79" s="46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</row>
    <row r="80" spans="1:23" ht="15.75" thickBot="1" x14ac:dyDescent="0.3">
      <c r="A80" s="11"/>
      <c r="B80" s="93" t="s">
        <v>48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40"/>
    </row>
    <row r="81" spans="1:21" x14ac:dyDescent="0.25">
      <c r="A81" s="11"/>
      <c r="B81" s="94" t="s">
        <v>49</v>
      </c>
      <c r="C81" s="80" t="s">
        <v>44</v>
      </c>
      <c r="D81" s="42" t="s">
        <v>220</v>
      </c>
      <c r="E81" s="80" t="s">
        <v>50</v>
      </c>
      <c r="F81" s="80" t="s">
        <v>51</v>
      </c>
      <c r="G81" s="80" t="s">
        <v>45</v>
      </c>
      <c r="H81" s="42" t="s">
        <v>18</v>
      </c>
      <c r="I81" s="43"/>
      <c r="J81" s="178">
        <v>45658</v>
      </c>
      <c r="K81" s="178">
        <v>45689</v>
      </c>
      <c r="L81" s="178">
        <v>45717</v>
      </c>
      <c r="M81" s="178">
        <v>45748</v>
      </c>
      <c r="N81" s="178">
        <v>45778</v>
      </c>
      <c r="O81" s="178">
        <v>45809</v>
      </c>
      <c r="P81" s="178">
        <v>45839</v>
      </c>
      <c r="Q81" s="178">
        <v>45870</v>
      </c>
      <c r="R81" s="178">
        <v>45901</v>
      </c>
      <c r="S81" s="178">
        <v>45931</v>
      </c>
      <c r="T81" s="178">
        <v>45962</v>
      </c>
      <c r="U81" s="178">
        <v>45992</v>
      </c>
    </row>
    <row r="82" spans="1:21" x14ac:dyDescent="0.25">
      <c r="A82" s="11"/>
      <c r="B82" s="95" t="s">
        <v>52</v>
      </c>
      <c r="C82" s="330" t="s">
        <v>212</v>
      </c>
      <c r="D82" s="97" t="s">
        <v>53</v>
      </c>
      <c r="E82" s="98"/>
      <c r="F82" s="98"/>
      <c r="G82" s="96"/>
      <c r="H82" s="430">
        <f t="shared" ref="H82:H105" si="8">SUM(J82:U82)</f>
        <v>0</v>
      </c>
      <c r="J82" s="100"/>
      <c r="K82" s="100"/>
      <c r="L82" s="100"/>
      <c r="M82" s="100"/>
      <c r="N82" s="100"/>
      <c r="O82" s="100"/>
      <c r="P82" s="100"/>
      <c r="Q82" s="100"/>
      <c r="R82" s="100"/>
      <c r="S82" s="100"/>
      <c r="T82" s="100"/>
      <c r="U82" s="101"/>
    </row>
    <row r="83" spans="1:21" x14ac:dyDescent="0.25">
      <c r="A83" s="11"/>
      <c r="B83" s="102" t="s">
        <v>227</v>
      </c>
      <c r="C83" s="331" t="s">
        <v>213</v>
      </c>
      <c r="D83" s="104" t="s">
        <v>53</v>
      </c>
      <c r="E83" s="103">
        <v>699</v>
      </c>
      <c r="F83" s="103">
        <v>3675</v>
      </c>
      <c r="G83" s="103"/>
      <c r="H83" s="430">
        <f t="shared" si="8"/>
        <v>0</v>
      </c>
      <c r="I83" s="46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1"/>
    </row>
    <row r="84" spans="1:21" x14ac:dyDescent="0.25">
      <c r="A84" s="11"/>
      <c r="B84" s="102" t="s">
        <v>54</v>
      </c>
      <c r="C84" s="331" t="s">
        <v>216</v>
      </c>
      <c r="D84" s="104" t="s">
        <v>53</v>
      </c>
      <c r="E84" s="103">
        <v>699</v>
      </c>
      <c r="F84" s="103">
        <v>3691</v>
      </c>
      <c r="G84" s="103"/>
      <c r="H84" s="430">
        <f t="shared" si="8"/>
        <v>0</v>
      </c>
      <c r="I84" s="46"/>
      <c r="J84" s="100"/>
      <c r="K84" s="100"/>
      <c r="L84" s="100"/>
      <c r="M84" s="100"/>
      <c r="N84" s="100"/>
      <c r="O84" s="100"/>
      <c r="P84" s="100"/>
      <c r="Q84" s="100"/>
      <c r="R84" s="100"/>
      <c r="S84" s="100"/>
      <c r="T84" s="100"/>
      <c r="U84" s="101"/>
    </row>
    <row r="85" spans="1:21" x14ac:dyDescent="0.25">
      <c r="A85" s="11"/>
      <c r="B85" s="102" t="s">
        <v>55</v>
      </c>
      <c r="C85" s="331" t="s">
        <v>217</v>
      </c>
      <c r="D85" s="104" t="s">
        <v>53</v>
      </c>
      <c r="E85" s="103">
        <v>699</v>
      </c>
      <c r="F85" s="103">
        <v>3677</v>
      </c>
      <c r="G85" s="103"/>
      <c r="H85" s="430">
        <f t="shared" si="8"/>
        <v>0</v>
      </c>
      <c r="J85" s="100"/>
      <c r="K85" s="100"/>
      <c r="L85" s="100"/>
      <c r="M85" s="100"/>
      <c r="N85" s="100"/>
      <c r="O85" s="100"/>
      <c r="P85" s="100"/>
      <c r="Q85" s="100"/>
      <c r="R85" s="100"/>
      <c r="S85" s="100"/>
      <c r="T85" s="100"/>
      <c r="U85" s="101"/>
    </row>
    <row r="86" spans="1:21" x14ac:dyDescent="0.25">
      <c r="A86" s="11"/>
      <c r="B86" s="105" t="s">
        <v>228</v>
      </c>
      <c r="C86" s="103">
        <v>721</v>
      </c>
      <c r="D86" s="104" t="s">
        <v>53</v>
      </c>
      <c r="E86" s="103">
        <v>699</v>
      </c>
      <c r="F86" s="103">
        <v>3671</v>
      </c>
      <c r="G86" s="103"/>
      <c r="H86" s="430">
        <f t="shared" si="8"/>
        <v>0</v>
      </c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1"/>
    </row>
    <row r="87" spans="1:21" x14ac:dyDescent="0.25">
      <c r="A87" s="11"/>
      <c r="B87" s="105" t="s">
        <v>56</v>
      </c>
      <c r="C87" s="331" t="s">
        <v>218</v>
      </c>
      <c r="D87" s="104" t="s">
        <v>53</v>
      </c>
      <c r="E87" s="103">
        <v>699</v>
      </c>
      <c r="F87" s="103">
        <v>3669</v>
      </c>
      <c r="G87" s="103"/>
      <c r="H87" s="430">
        <f t="shared" si="8"/>
        <v>0</v>
      </c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1"/>
    </row>
    <row r="88" spans="1:21" x14ac:dyDescent="0.25">
      <c r="A88" s="11"/>
      <c r="B88" s="105" t="s">
        <v>57</v>
      </c>
      <c r="C88" s="331" t="s">
        <v>219</v>
      </c>
      <c r="D88" s="104" t="s">
        <v>53</v>
      </c>
      <c r="E88" s="103">
        <v>699</v>
      </c>
      <c r="F88" s="103">
        <v>3665</v>
      </c>
      <c r="G88" s="103"/>
      <c r="H88" s="430">
        <f t="shared" si="8"/>
        <v>0</v>
      </c>
      <c r="J88" s="100"/>
      <c r="K88" s="100"/>
      <c r="L88" s="100"/>
      <c r="M88" s="100"/>
      <c r="N88" s="100"/>
      <c r="O88" s="100"/>
      <c r="P88" s="100"/>
      <c r="Q88" s="100"/>
      <c r="R88" s="100"/>
      <c r="S88" s="100"/>
      <c r="T88" s="100"/>
      <c r="U88" s="101"/>
    </row>
    <row r="89" spans="1:21" x14ac:dyDescent="0.25">
      <c r="A89" s="11"/>
      <c r="B89" s="105" t="s">
        <v>229</v>
      </c>
      <c r="C89" s="331" t="s">
        <v>215</v>
      </c>
      <c r="D89" s="104" t="s">
        <v>53</v>
      </c>
      <c r="E89" s="103">
        <v>699</v>
      </c>
      <c r="F89" s="103">
        <v>3963</v>
      </c>
      <c r="G89" s="103"/>
      <c r="H89" s="430">
        <f t="shared" si="8"/>
        <v>0</v>
      </c>
      <c r="I89" s="46"/>
      <c r="J89" s="100"/>
      <c r="K89" s="100"/>
      <c r="L89" s="100"/>
      <c r="M89" s="100"/>
      <c r="N89" s="100"/>
      <c r="O89" s="100"/>
      <c r="P89" s="100"/>
      <c r="Q89" s="100"/>
      <c r="R89" s="100"/>
      <c r="S89" s="100"/>
      <c r="T89" s="100"/>
      <c r="U89" s="101"/>
    </row>
    <row r="90" spans="1:21" x14ac:dyDescent="0.25">
      <c r="A90" s="11"/>
      <c r="B90" s="105" t="s">
        <v>238</v>
      </c>
      <c r="C90" s="331" t="s">
        <v>214</v>
      </c>
      <c r="D90" s="104" t="s">
        <v>59</v>
      </c>
      <c r="E90" s="103"/>
      <c r="F90" s="103"/>
      <c r="G90" s="103"/>
      <c r="H90" s="430">
        <f t="shared" si="8"/>
        <v>0</v>
      </c>
      <c r="I90" s="46"/>
      <c r="J90" s="420"/>
      <c r="K90" s="420"/>
      <c r="L90" s="420"/>
      <c r="M90" s="420"/>
      <c r="N90" s="420"/>
      <c r="O90" s="420"/>
      <c r="P90" s="420"/>
      <c r="Q90" s="420"/>
      <c r="R90" s="420"/>
      <c r="S90" s="420"/>
      <c r="T90" s="420"/>
      <c r="U90" s="429"/>
    </row>
    <row r="91" spans="1:21" x14ac:dyDescent="0.25">
      <c r="A91" s="11"/>
      <c r="B91" s="105" t="s">
        <v>225</v>
      </c>
      <c r="C91" s="103">
        <v>720</v>
      </c>
      <c r="D91" s="104" t="s">
        <v>59</v>
      </c>
      <c r="E91" s="103"/>
      <c r="F91" s="103"/>
      <c r="G91" s="103"/>
      <c r="H91" s="430">
        <f t="shared" si="8"/>
        <v>0</v>
      </c>
      <c r="I91" s="46"/>
      <c r="J91" s="420">
        <f t="shared" ref="J91:U91" si="9">J115</f>
        <v>0</v>
      </c>
      <c r="K91" s="420">
        <f t="shared" si="9"/>
        <v>0</v>
      </c>
      <c r="L91" s="420">
        <f t="shared" si="9"/>
        <v>0</v>
      </c>
      <c r="M91" s="420">
        <f t="shared" si="9"/>
        <v>0</v>
      </c>
      <c r="N91" s="420">
        <f t="shared" si="9"/>
        <v>0</v>
      </c>
      <c r="O91" s="420">
        <f t="shared" si="9"/>
        <v>0</v>
      </c>
      <c r="P91" s="420">
        <f t="shared" si="9"/>
        <v>0</v>
      </c>
      <c r="Q91" s="420">
        <f t="shared" si="9"/>
        <v>0</v>
      </c>
      <c r="R91" s="420">
        <f t="shared" si="9"/>
        <v>0</v>
      </c>
      <c r="S91" s="420">
        <f t="shared" si="9"/>
        <v>0</v>
      </c>
      <c r="T91" s="420">
        <f t="shared" si="9"/>
        <v>0</v>
      </c>
      <c r="U91" s="429">
        <f t="shared" si="9"/>
        <v>0</v>
      </c>
    </row>
    <row r="92" spans="1:21" x14ac:dyDescent="0.25">
      <c r="A92" s="11"/>
      <c r="B92" s="105" t="s">
        <v>226</v>
      </c>
      <c r="C92" s="103">
        <v>720</v>
      </c>
      <c r="D92" s="104" t="s">
        <v>59</v>
      </c>
      <c r="E92" s="103"/>
      <c r="F92" s="103"/>
      <c r="G92" s="103"/>
      <c r="H92" s="430">
        <f t="shared" si="8"/>
        <v>0</v>
      </c>
      <c r="J92" s="420"/>
      <c r="K92" s="420"/>
      <c r="L92" s="420"/>
      <c r="M92" s="420"/>
      <c r="N92" s="420"/>
      <c r="O92" s="420"/>
      <c r="P92" s="420"/>
      <c r="Q92" s="420"/>
      <c r="R92" s="420"/>
      <c r="S92" s="420"/>
      <c r="T92" s="420"/>
      <c r="U92" s="429"/>
    </row>
    <row r="93" spans="1:21" x14ac:dyDescent="0.25">
      <c r="A93" s="11"/>
      <c r="B93" s="105" t="s">
        <v>205</v>
      </c>
      <c r="C93" s="103">
        <v>720</v>
      </c>
      <c r="D93" s="104" t="s">
        <v>59</v>
      </c>
      <c r="E93" s="103"/>
      <c r="F93" s="103"/>
      <c r="G93" s="103"/>
      <c r="H93" s="430">
        <f t="shared" si="8"/>
        <v>0</v>
      </c>
      <c r="J93" s="420"/>
      <c r="K93" s="420"/>
      <c r="L93" s="420"/>
      <c r="M93" s="420"/>
      <c r="N93" s="420"/>
      <c r="O93" s="420"/>
      <c r="P93" s="420"/>
      <c r="Q93" s="420"/>
      <c r="R93" s="420"/>
      <c r="S93" s="420"/>
      <c r="T93" s="420"/>
      <c r="U93" s="429"/>
    </row>
    <row r="94" spans="1:21" x14ac:dyDescent="0.25">
      <c r="A94" s="11"/>
      <c r="B94" s="105" t="s">
        <v>60</v>
      </c>
      <c r="C94" s="331" t="s">
        <v>194</v>
      </c>
      <c r="D94" s="104" t="s">
        <v>59</v>
      </c>
      <c r="E94" s="103"/>
      <c r="F94" s="103"/>
      <c r="G94" s="103"/>
      <c r="H94" s="430">
        <f t="shared" si="8"/>
        <v>0</v>
      </c>
      <c r="J94" s="420">
        <f t="shared" ref="J94:U94" si="10">J119</f>
        <v>0</v>
      </c>
      <c r="K94" s="420">
        <f t="shared" si="10"/>
        <v>0</v>
      </c>
      <c r="L94" s="420">
        <f t="shared" si="10"/>
        <v>0</v>
      </c>
      <c r="M94" s="420">
        <f t="shared" si="10"/>
        <v>0</v>
      </c>
      <c r="N94" s="420">
        <f t="shared" si="10"/>
        <v>0</v>
      </c>
      <c r="O94" s="420">
        <f t="shared" si="10"/>
        <v>0</v>
      </c>
      <c r="P94" s="420">
        <f t="shared" si="10"/>
        <v>0</v>
      </c>
      <c r="Q94" s="420">
        <f t="shared" si="10"/>
        <v>0</v>
      </c>
      <c r="R94" s="420">
        <f t="shared" si="10"/>
        <v>0</v>
      </c>
      <c r="S94" s="420">
        <f t="shared" si="10"/>
        <v>0</v>
      </c>
      <c r="T94" s="420">
        <f t="shared" si="10"/>
        <v>0</v>
      </c>
      <c r="U94" s="429">
        <f t="shared" si="10"/>
        <v>0</v>
      </c>
    </row>
    <row r="95" spans="1:21" x14ac:dyDescent="0.25">
      <c r="A95" s="11"/>
      <c r="B95" s="105" t="s">
        <v>80</v>
      </c>
      <c r="C95" s="331" t="s">
        <v>194</v>
      </c>
      <c r="D95" s="104" t="s">
        <v>59</v>
      </c>
      <c r="E95" s="103"/>
      <c r="F95" s="103"/>
      <c r="G95" s="103"/>
      <c r="H95" s="430">
        <f t="shared" si="8"/>
        <v>0</v>
      </c>
      <c r="J95" s="420">
        <f t="shared" ref="J95:U95" si="11">J120</f>
        <v>0</v>
      </c>
      <c r="K95" s="420">
        <f t="shared" si="11"/>
        <v>0</v>
      </c>
      <c r="L95" s="420">
        <f t="shared" si="11"/>
        <v>0</v>
      </c>
      <c r="M95" s="420">
        <f t="shared" si="11"/>
        <v>0</v>
      </c>
      <c r="N95" s="420">
        <f t="shared" si="11"/>
        <v>0</v>
      </c>
      <c r="O95" s="420">
        <f t="shared" si="11"/>
        <v>0</v>
      </c>
      <c r="P95" s="420">
        <f t="shared" si="11"/>
        <v>0</v>
      </c>
      <c r="Q95" s="420">
        <f t="shared" si="11"/>
        <v>0</v>
      </c>
      <c r="R95" s="420">
        <f t="shared" si="11"/>
        <v>0</v>
      </c>
      <c r="S95" s="420">
        <f t="shared" si="11"/>
        <v>0</v>
      </c>
      <c r="T95" s="420">
        <f t="shared" si="11"/>
        <v>0</v>
      </c>
      <c r="U95" s="429">
        <f t="shared" si="11"/>
        <v>0</v>
      </c>
    </row>
    <row r="96" spans="1:21" x14ac:dyDescent="0.25">
      <c r="A96" s="11"/>
      <c r="B96" s="105" t="s">
        <v>230</v>
      </c>
      <c r="C96" s="104">
        <v>305</v>
      </c>
      <c r="D96" s="332" t="s">
        <v>61</v>
      </c>
      <c r="E96" s="103"/>
      <c r="F96" s="103"/>
      <c r="G96" s="103"/>
      <c r="H96" s="430">
        <f t="shared" si="8"/>
        <v>0</v>
      </c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1"/>
    </row>
    <row r="97" spans="1:23" x14ac:dyDescent="0.25">
      <c r="A97" s="11"/>
      <c r="B97" s="105" t="s">
        <v>231</v>
      </c>
      <c r="C97" s="104">
        <v>306</v>
      </c>
      <c r="D97" s="332" t="s">
        <v>61</v>
      </c>
      <c r="E97" s="103"/>
      <c r="F97" s="103"/>
      <c r="G97" s="103"/>
      <c r="H97" s="430">
        <f t="shared" si="8"/>
        <v>0</v>
      </c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1"/>
    </row>
    <row r="98" spans="1:23" x14ac:dyDescent="0.25">
      <c r="A98" s="11"/>
      <c r="B98" s="105" t="s">
        <v>232</v>
      </c>
      <c r="C98" s="334" t="s">
        <v>195</v>
      </c>
      <c r="D98" s="332" t="s">
        <v>62</v>
      </c>
      <c r="E98" s="103"/>
      <c r="F98" s="103"/>
      <c r="G98" s="103"/>
      <c r="H98" s="430">
        <f t="shared" si="8"/>
        <v>0</v>
      </c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1"/>
    </row>
    <row r="99" spans="1:23" x14ac:dyDescent="0.25">
      <c r="A99" s="11"/>
      <c r="B99" s="105" t="s">
        <v>233</v>
      </c>
      <c r="C99" s="334" t="s">
        <v>196</v>
      </c>
      <c r="D99" s="332" t="s">
        <v>62</v>
      </c>
      <c r="E99" s="103"/>
      <c r="F99" s="103"/>
      <c r="G99" s="103"/>
      <c r="H99" s="430">
        <f t="shared" si="8"/>
        <v>0</v>
      </c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1"/>
    </row>
    <row r="100" spans="1:23" x14ac:dyDescent="0.25">
      <c r="A100" s="11"/>
      <c r="B100" s="105" t="s">
        <v>235</v>
      </c>
      <c r="C100" s="334" t="s">
        <v>197</v>
      </c>
      <c r="D100" s="104" t="s">
        <v>63</v>
      </c>
      <c r="E100" s="103"/>
      <c r="F100" s="103"/>
      <c r="G100" s="103"/>
      <c r="H100" s="430">
        <f t="shared" si="8"/>
        <v>0</v>
      </c>
      <c r="J100" s="100"/>
      <c r="K100" s="100"/>
      <c r="L100" s="100"/>
      <c r="M100" s="100"/>
      <c r="N100" s="100"/>
      <c r="O100" s="100"/>
      <c r="P100" s="100"/>
      <c r="Q100" s="100"/>
      <c r="R100" s="100"/>
      <c r="S100" s="100"/>
      <c r="T100" s="100"/>
      <c r="U100" s="101"/>
    </row>
    <row r="101" spans="1:23" x14ac:dyDescent="0.25">
      <c r="A101" s="11"/>
      <c r="B101" s="105" t="s">
        <v>64</v>
      </c>
      <c r="C101" s="334" t="s">
        <v>198</v>
      </c>
      <c r="D101" s="104" t="s">
        <v>63</v>
      </c>
      <c r="E101" s="104"/>
      <c r="F101" s="103"/>
      <c r="G101" s="344">
        <f>IFERROR(H101/$W$16,0)</f>
        <v>0</v>
      </c>
      <c r="H101" s="430">
        <f t="shared" si="8"/>
        <v>0</v>
      </c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1"/>
    </row>
    <row r="102" spans="1:23" x14ac:dyDescent="0.25">
      <c r="A102" s="11"/>
      <c r="B102" s="105" t="s">
        <v>65</v>
      </c>
      <c r="C102" s="334" t="s">
        <v>199</v>
      </c>
      <c r="D102" s="104" t="s">
        <v>63</v>
      </c>
      <c r="E102" s="104">
        <v>365</v>
      </c>
      <c r="F102" s="103"/>
      <c r="G102" s="103"/>
      <c r="H102" s="430">
        <f t="shared" si="8"/>
        <v>0</v>
      </c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1"/>
    </row>
    <row r="103" spans="1:23" x14ac:dyDescent="0.25">
      <c r="A103" s="11"/>
      <c r="B103" s="105" t="s">
        <v>66</v>
      </c>
      <c r="C103" s="334" t="s">
        <v>200</v>
      </c>
      <c r="D103" s="104" t="s">
        <v>67</v>
      </c>
      <c r="E103" s="103">
        <v>338</v>
      </c>
      <c r="F103" s="103"/>
      <c r="G103" s="344">
        <v>0.33</v>
      </c>
      <c r="H103" s="430">
        <f t="shared" si="8"/>
        <v>0</v>
      </c>
      <c r="I103" s="46"/>
      <c r="J103" s="420">
        <f t="shared" ref="J103:U103" si="12">$G$103*J16</f>
        <v>0</v>
      </c>
      <c r="K103" s="420">
        <f t="shared" si="12"/>
        <v>0</v>
      </c>
      <c r="L103" s="420">
        <f t="shared" si="12"/>
        <v>0</v>
      </c>
      <c r="M103" s="420">
        <f t="shared" si="12"/>
        <v>0</v>
      </c>
      <c r="N103" s="420">
        <f t="shared" si="12"/>
        <v>0</v>
      </c>
      <c r="O103" s="420">
        <f t="shared" si="12"/>
        <v>0</v>
      </c>
      <c r="P103" s="420">
        <f t="shared" si="12"/>
        <v>0</v>
      </c>
      <c r="Q103" s="420">
        <f t="shared" si="12"/>
        <v>0</v>
      </c>
      <c r="R103" s="420">
        <f t="shared" si="12"/>
        <v>0</v>
      </c>
      <c r="S103" s="420">
        <f t="shared" si="12"/>
        <v>0</v>
      </c>
      <c r="T103" s="420">
        <f t="shared" si="12"/>
        <v>0</v>
      </c>
      <c r="U103" s="420">
        <f t="shared" si="12"/>
        <v>0</v>
      </c>
    </row>
    <row r="104" spans="1:23" x14ac:dyDescent="0.25">
      <c r="A104" s="11"/>
      <c r="B104" s="105" t="s">
        <v>234</v>
      </c>
      <c r="C104" s="104">
        <v>351</v>
      </c>
      <c r="D104" s="104" t="s">
        <v>67</v>
      </c>
      <c r="E104" s="103">
        <v>324</v>
      </c>
      <c r="F104" s="103"/>
      <c r="G104" s="349">
        <v>1.6000000000000001E-3</v>
      </c>
      <c r="H104" s="430">
        <f t="shared" si="8"/>
        <v>0</v>
      </c>
      <c r="J104" s="420">
        <f t="shared" ref="J104:U104" si="13">$G$104*J46/100</f>
        <v>0</v>
      </c>
      <c r="K104" s="420">
        <f t="shared" si="13"/>
        <v>0</v>
      </c>
      <c r="L104" s="420">
        <f t="shared" si="13"/>
        <v>0</v>
      </c>
      <c r="M104" s="420">
        <f t="shared" si="13"/>
        <v>0</v>
      </c>
      <c r="N104" s="420">
        <f t="shared" si="13"/>
        <v>0</v>
      </c>
      <c r="O104" s="420">
        <f t="shared" si="13"/>
        <v>0</v>
      </c>
      <c r="P104" s="420">
        <f t="shared" si="13"/>
        <v>0</v>
      </c>
      <c r="Q104" s="420">
        <f t="shared" si="13"/>
        <v>0</v>
      </c>
      <c r="R104" s="420">
        <f t="shared" si="13"/>
        <v>0</v>
      </c>
      <c r="S104" s="420">
        <f t="shared" si="13"/>
        <v>0</v>
      </c>
      <c r="T104" s="420">
        <f t="shared" si="13"/>
        <v>0</v>
      </c>
      <c r="U104" s="420">
        <f t="shared" si="13"/>
        <v>0</v>
      </c>
    </row>
    <row r="105" spans="1:23" x14ac:dyDescent="0.25">
      <c r="A105" s="11"/>
      <c r="B105" s="106" t="s">
        <v>68</v>
      </c>
      <c r="C105" s="333" t="s">
        <v>201</v>
      </c>
      <c r="D105" s="107" t="s">
        <v>67</v>
      </c>
      <c r="E105" s="107"/>
      <c r="F105" s="108"/>
      <c r="G105" s="344">
        <v>3.75</v>
      </c>
      <c r="H105" s="430">
        <f t="shared" si="8"/>
        <v>0</v>
      </c>
      <c r="J105" s="420">
        <f t="shared" ref="J105:U105" si="14">$G$105*J16</f>
        <v>0</v>
      </c>
      <c r="K105" s="420">
        <f t="shared" si="14"/>
        <v>0</v>
      </c>
      <c r="L105" s="420">
        <f t="shared" si="14"/>
        <v>0</v>
      </c>
      <c r="M105" s="420">
        <f t="shared" si="14"/>
        <v>0</v>
      </c>
      <c r="N105" s="420">
        <f t="shared" si="14"/>
        <v>0</v>
      </c>
      <c r="O105" s="420">
        <f t="shared" si="14"/>
        <v>0</v>
      </c>
      <c r="P105" s="420">
        <f t="shared" si="14"/>
        <v>0</v>
      </c>
      <c r="Q105" s="420">
        <f t="shared" si="14"/>
        <v>0</v>
      </c>
      <c r="R105" s="420">
        <f t="shared" si="14"/>
        <v>0</v>
      </c>
      <c r="S105" s="420">
        <f t="shared" si="14"/>
        <v>0</v>
      </c>
      <c r="T105" s="420">
        <f t="shared" si="14"/>
        <v>0</v>
      </c>
      <c r="U105" s="420">
        <f t="shared" si="14"/>
        <v>0</v>
      </c>
    </row>
    <row r="106" spans="1:23" x14ac:dyDescent="0.25">
      <c r="B106" s="11"/>
      <c r="U106" s="109"/>
    </row>
    <row r="107" spans="1:23" ht="15.75" thickBot="1" x14ac:dyDescent="0.3">
      <c r="A107" s="11"/>
      <c r="B107" s="110" t="s">
        <v>69</v>
      </c>
      <c r="C107" s="33"/>
      <c r="D107" s="33"/>
      <c r="E107" s="33"/>
      <c r="F107" s="33"/>
      <c r="G107" s="436">
        <f>IFERROR(H107/B127,0)</f>
        <v>0</v>
      </c>
      <c r="H107" s="425">
        <f>SUM(H82:H105)</f>
        <v>0</v>
      </c>
      <c r="I107" s="112"/>
      <c r="J107" s="425">
        <f t="shared" ref="J107:U107" si="15">SUM(J82:J105)</f>
        <v>0</v>
      </c>
      <c r="K107" s="425">
        <f t="shared" si="15"/>
        <v>0</v>
      </c>
      <c r="L107" s="425">
        <f t="shared" si="15"/>
        <v>0</v>
      </c>
      <c r="M107" s="425">
        <f t="shared" si="15"/>
        <v>0</v>
      </c>
      <c r="N107" s="425">
        <f t="shared" si="15"/>
        <v>0</v>
      </c>
      <c r="O107" s="425">
        <f t="shared" si="15"/>
        <v>0</v>
      </c>
      <c r="P107" s="425">
        <f t="shared" si="15"/>
        <v>0</v>
      </c>
      <c r="Q107" s="425">
        <f t="shared" si="15"/>
        <v>0</v>
      </c>
      <c r="R107" s="425">
        <f t="shared" si="15"/>
        <v>0</v>
      </c>
      <c r="S107" s="425">
        <f t="shared" si="15"/>
        <v>0</v>
      </c>
      <c r="T107" s="425">
        <f t="shared" si="15"/>
        <v>0</v>
      </c>
      <c r="U107" s="426">
        <f t="shared" si="15"/>
        <v>0</v>
      </c>
    </row>
    <row r="108" spans="1:23" ht="15.75" thickBot="1" x14ac:dyDescent="0.3"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</row>
    <row r="109" spans="1:23" ht="16.5" thickTop="1" thickBot="1" x14ac:dyDescent="0.3">
      <c r="B109" s="113" t="s">
        <v>70</v>
      </c>
      <c r="C109" s="114"/>
      <c r="D109" s="114"/>
      <c r="E109" s="114"/>
      <c r="F109" s="114"/>
      <c r="G109" s="115"/>
      <c r="H109" s="431">
        <f>H51+H78+H107</f>
        <v>0</v>
      </c>
      <c r="I109" s="115"/>
      <c r="J109" s="431">
        <f t="shared" ref="J109:U109" si="16">J51+J78+J107</f>
        <v>0</v>
      </c>
      <c r="K109" s="431">
        <f t="shared" si="16"/>
        <v>0</v>
      </c>
      <c r="L109" s="431">
        <f t="shared" si="16"/>
        <v>0</v>
      </c>
      <c r="M109" s="431">
        <f t="shared" si="16"/>
        <v>0</v>
      </c>
      <c r="N109" s="431">
        <f t="shared" si="16"/>
        <v>0</v>
      </c>
      <c r="O109" s="431">
        <f t="shared" si="16"/>
        <v>0</v>
      </c>
      <c r="P109" s="431">
        <f t="shared" si="16"/>
        <v>0</v>
      </c>
      <c r="Q109" s="431">
        <f t="shared" si="16"/>
        <v>0</v>
      </c>
      <c r="R109" s="431">
        <f t="shared" si="16"/>
        <v>0</v>
      </c>
      <c r="S109" s="431">
        <f t="shared" si="16"/>
        <v>0</v>
      </c>
      <c r="T109" s="431">
        <f t="shared" si="16"/>
        <v>0</v>
      </c>
      <c r="U109" s="432">
        <f t="shared" si="16"/>
        <v>0</v>
      </c>
      <c r="W109" s="67">
        <f>SUM(J109:U109)</f>
        <v>0</v>
      </c>
    </row>
    <row r="110" spans="1:23" ht="15.75" thickBot="1" x14ac:dyDescent="0.3">
      <c r="J110" s="222"/>
      <c r="K110" s="222"/>
      <c r="L110" s="222"/>
    </row>
    <row r="111" spans="1:23" ht="16.5" thickTop="1" thickBot="1" x14ac:dyDescent="0.3">
      <c r="B111" s="113" t="s">
        <v>71</v>
      </c>
      <c r="C111" s="114"/>
      <c r="D111" s="114"/>
      <c r="E111" s="114"/>
      <c r="F111" s="114"/>
      <c r="G111" s="114"/>
      <c r="H111" s="431">
        <f>H46-H109</f>
        <v>0</v>
      </c>
      <c r="I111" s="115"/>
      <c r="J111" s="431">
        <f t="shared" ref="J111:U111" si="17">J46-J109</f>
        <v>0</v>
      </c>
      <c r="K111" s="431">
        <f t="shared" si="17"/>
        <v>0</v>
      </c>
      <c r="L111" s="431">
        <f t="shared" si="17"/>
        <v>0</v>
      </c>
      <c r="M111" s="431">
        <f t="shared" si="17"/>
        <v>0</v>
      </c>
      <c r="N111" s="431">
        <f t="shared" si="17"/>
        <v>0</v>
      </c>
      <c r="O111" s="431">
        <f t="shared" si="17"/>
        <v>0</v>
      </c>
      <c r="P111" s="431">
        <f t="shared" si="17"/>
        <v>0</v>
      </c>
      <c r="Q111" s="431">
        <f t="shared" si="17"/>
        <v>0</v>
      </c>
      <c r="R111" s="431">
        <f t="shared" si="17"/>
        <v>0</v>
      </c>
      <c r="S111" s="431">
        <f t="shared" si="17"/>
        <v>0</v>
      </c>
      <c r="T111" s="431">
        <f t="shared" si="17"/>
        <v>0</v>
      </c>
      <c r="U111" s="432">
        <f t="shared" si="17"/>
        <v>0</v>
      </c>
      <c r="W111" s="67">
        <f>SUM(J111:U111)</f>
        <v>0</v>
      </c>
    </row>
    <row r="112" spans="1:23" ht="15.75" thickBot="1" x14ac:dyDescent="0.3">
      <c r="K112" s="131"/>
    </row>
    <row r="113" spans="2:21" x14ac:dyDescent="0.25">
      <c r="B113" s="71" t="s">
        <v>72</v>
      </c>
      <c r="C113" s="80" t="s">
        <v>44</v>
      </c>
      <c r="D113" s="42" t="s">
        <v>220</v>
      </c>
      <c r="E113" s="42" t="s">
        <v>203</v>
      </c>
      <c r="F113" s="42" t="s">
        <v>240</v>
      </c>
      <c r="G113" s="42" t="s">
        <v>239</v>
      </c>
      <c r="H113" s="9"/>
      <c r="I113" s="118"/>
      <c r="J113" s="448" t="s">
        <v>73</v>
      </c>
      <c r="K113" s="448"/>
      <c r="L113" s="448"/>
      <c r="M113" s="448"/>
      <c r="N113" s="448"/>
      <c r="O113" s="448"/>
      <c r="P113" s="448"/>
      <c r="Q113" s="448"/>
      <c r="R113" s="448"/>
      <c r="S113" s="448"/>
      <c r="T113" s="448"/>
      <c r="U113" s="449"/>
    </row>
    <row r="114" spans="2:21" x14ac:dyDescent="0.25">
      <c r="B114" s="119" t="s">
        <v>74</v>
      </c>
      <c r="C114" s="340">
        <v>720</v>
      </c>
      <c r="D114" s="120" t="s">
        <v>59</v>
      </c>
      <c r="E114" s="121" t="s">
        <v>75</v>
      </c>
      <c r="F114" s="123"/>
      <c r="G114" s="345"/>
      <c r="H114" s="122"/>
      <c r="J114" s="123"/>
      <c r="K114" s="123"/>
      <c r="L114" s="123"/>
      <c r="M114" s="123"/>
      <c r="N114" s="123"/>
      <c r="O114" s="123"/>
      <c r="P114" s="123"/>
      <c r="Q114" s="123"/>
      <c r="R114" s="123"/>
      <c r="S114" s="123"/>
      <c r="T114" s="123"/>
      <c r="U114" s="124"/>
    </row>
    <row r="115" spans="2:21" x14ac:dyDescent="0.25">
      <c r="B115" s="119" t="s">
        <v>76</v>
      </c>
      <c r="C115" s="340">
        <v>720</v>
      </c>
      <c r="D115" s="120" t="s">
        <v>59</v>
      </c>
      <c r="E115" s="121" t="s">
        <v>75</v>
      </c>
      <c r="F115" s="123"/>
      <c r="G115" s="345">
        <f>IFERROR(H115/F115,0)</f>
        <v>0</v>
      </c>
      <c r="H115" s="122"/>
      <c r="J115" s="123"/>
      <c r="K115" s="123"/>
      <c r="L115" s="123"/>
      <c r="M115" s="123"/>
      <c r="N115" s="123"/>
      <c r="O115" s="123"/>
      <c r="P115" s="123"/>
      <c r="Q115" s="123"/>
      <c r="R115" s="123"/>
      <c r="S115" s="123"/>
      <c r="T115" s="123"/>
      <c r="U115" s="124"/>
    </row>
    <row r="116" spans="2:21" x14ac:dyDescent="0.25">
      <c r="B116" s="119" t="s">
        <v>77</v>
      </c>
      <c r="C116" s="340">
        <v>720</v>
      </c>
      <c r="D116" s="120" t="s">
        <v>59</v>
      </c>
      <c r="E116" s="121" t="s">
        <v>75</v>
      </c>
      <c r="F116" s="123"/>
      <c r="G116" s="345"/>
      <c r="H116" s="122"/>
      <c r="J116" s="123"/>
      <c r="K116" s="123"/>
      <c r="L116" s="123"/>
      <c r="M116" s="123"/>
      <c r="N116" s="123"/>
      <c r="O116" s="123"/>
      <c r="P116" s="123"/>
      <c r="Q116" s="123"/>
      <c r="R116" s="123"/>
      <c r="S116" s="123"/>
      <c r="T116" s="123"/>
      <c r="U116" s="124"/>
    </row>
    <row r="117" spans="2:21" x14ac:dyDescent="0.25">
      <c r="B117" s="119" t="s">
        <v>78</v>
      </c>
      <c r="C117" s="340">
        <v>720</v>
      </c>
      <c r="D117" s="120" t="s">
        <v>59</v>
      </c>
      <c r="E117" s="121" t="s">
        <v>75</v>
      </c>
      <c r="F117" s="123"/>
      <c r="G117" s="345"/>
      <c r="H117" s="122"/>
      <c r="J117" s="123"/>
      <c r="K117" s="123"/>
      <c r="L117" s="123"/>
      <c r="M117" s="123"/>
      <c r="N117" s="123"/>
      <c r="O117" s="123"/>
      <c r="P117" s="123"/>
      <c r="Q117" s="123"/>
      <c r="R117" s="123"/>
      <c r="S117" s="123"/>
      <c r="T117" s="123"/>
      <c r="U117" s="124"/>
    </row>
    <row r="118" spans="2:21" x14ac:dyDescent="0.25">
      <c r="B118" s="119" t="s">
        <v>205</v>
      </c>
      <c r="C118" s="340">
        <v>720</v>
      </c>
      <c r="D118" s="120" t="s">
        <v>59</v>
      </c>
      <c r="E118" s="121" t="s">
        <v>206</v>
      </c>
      <c r="F118" s="123"/>
      <c r="G118" s="345"/>
      <c r="H118" s="122"/>
      <c r="J118" s="123"/>
      <c r="K118" s="123"/>
      <c r="L118" s="123"/>
      <c r="M118" s="123"/>
      <c r="N118" s="123"/>
      <c r="O118" s="123"/>
      <c r="P118" s="123"/>
      <c r="Q118" s="123"/>
      <c r="R118" s="123"/>
      <c r="S118" s="123"/>
      <c r="T118" s="123"/>
      <c r="U118" s="124"/>
    </row>
    <row r="119" spans="2:21" x14ac:dyDescent="0.25">
      <c r="B119" s="119" t="s">
        <v>60</v>
      </c>
      <c r="C119" s="341" t="s">
        <v>194</v>
      </c>
      <c r="D119" s="120" t="s">
        <v>59</v>
      </c>
      <c r="E119" s="121" t="s">
        <v>79</v>
      </c>
      <c r="F119" s="123"/>
      <c r="G119" s="345">
        <f>IFERROR(H119/F119,0)</f>
        <v>0</v>
      </c>
      <c r="H119" s="122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4"/>
    </row>
    <row r="120" spans="2:21" x14ac:dyDescent="0.25">
      <c r="B120" s="119" t="s">
        <v>80</v>
      </c>
      <c r="C120" s="341" t="s">
        <v>194</v>
      </c>
      <c r="D120" s="120" t="s">
        <v>59</v>
      </c>
      <c r="E120" s="121" t="s">
        <v>81</v>
      </c>
      <c r="F120" s="123"/>
      <c r="G120" s="345">
        <f>IFERROR(H120/F120,0)</f>
        <v>0</v>
      </c>
      <c r="H120" s="122"/>
      <c r="J120" s="123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339"/>
    </row>
    <row r="121" spans="2:21" x14ac:dyDescent="0.25">
      <c r="B121" s="336" t="s">
        <v>237</v>
      </c>
      <c r="C121" s="342" t="s">
        <v>195</v>
      </c>
      <c r="D121" s="337" t="s">
        <v>62</v>
      </c>
      <c r="E121" s="338" t="s">
        <v>79</v>
      </c>
      <c r="F121" s="123"/>
      <c r="G121" s="345"/>
      <c r="H121" s="122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339"/>
    </row>
    <row r="122" spans="2:21" ht="15.75" thickBot="1" x14ac:dyDescent="0.3">
      <c r="B122" s="125" t="s">
        <v>236</v>
      </c>
      <c r="C122" s="343" t="s">
        <v>195</v>
      </c>
      <c r="D122" s="126" t="s">
        <v>62</v>
      </c>
      <c r="E122" s="127" t="s">
        <v>81</v>
      </c>
      <c r="F122" s="381"/>
      <c r="G122" s="346"/>
      <c r="H122" s="128">
        <v>0</v>
      </c>
      <c r="I122" s="33"/>
      <c r="J122" s="129"/>
      <c r="K122" s="129"/>
      <c r="L122" s="129"/>
      <c r="M122" s="129"/>
      <c r="N122" s="129"/>
      <c r="O122" s="129"/>
      <c r="P122" s="129"/>
      <c r="Q122" s="129"/>
      <c r="R122" s="129"/>
      <c r="S122" s="129"/>
      <c r="T122" s="129"/>
      <c r="U122" s="130"/>
    </row>
    <row r="123" spans="2:21" x14ac:dyDescent="0.25">
      <c r="J123" s="131"/>
      <c r="K123" s="131"/>
      <c r="L123" s="131"/>
      <c r="M123" s="131"/>
      <c r="N123" s="131"/>
      <c r="O123" s="131"/>
      <c r="P123" s="131"/>
      <c r="Q123" s="131"/>
      <c r="R123" s="131"/>
      <c r="S123" s="131"/>
      <c r="T123" s="131"/>
      <c r="U123" s="131"/>
    </row>
    <row r="124" spans="2:21" ht="15.75" thickBot="1" x14ac:dyDescent="0.3">
      <c r="J124" s="131"/>
      <c r="K124" s="131"/>
      <c r="L124" s="131"/>
      <c r="M124" s="131"/>
      <c r="N124" s="131"/>
      <c r="O124" s="131"/>
      <c r="P124" s="131"/>
      <c r="Q124" s="131"/>
      <c r="R124" s="131"/>
      <c r="S124" s="131"/>
      <c r="T124" s="131"/>
      <c r="U124" s="131"/>
    </row>
    <row r="125" spans="2:21" x14ac:dyDescent="0.25">
      <c r="B125" s="71" t="s">
        <v>82</v>
      </c>
      <c r="C125" s="9"/>
      <c r="D125" s="9"/>
      <c r="E125" s="9"/>
      <c r="F125" s="9"/>
      <c r="G125" s="40"/>
      <c r="J125" s="131"/>
      <c r="K125" s="131"/>
      <c r="L125" s="131"/>
      <c r="M125" s="131"/>
      <c r="N125" s="131"/>
      <c r="O125" s="131"/>
      <c r="P125" s="131"/>
      <c r="Q125" s="131"/>
      <c r="R125" s="131"/>
      <c r="S125" s="131"/>
      <c r="T125" s="131"/>
      <c r="U125" s="131"/>
    </row>
    <row r="126" spans="2:21" x14ac:dyDescent="0.25">
      <c r="B126" s="132" t="s">
        <v>83</v>
      </c>
      <c r="C126" s="43" t="s">
        <v>84</v>
      </c>
      <c r="D126"/>
      <c r="E126"/>
      <c r="F126" s="450" t="s">
        <v>85</v>
      </c>
      <c r="G126" s="451"/>
      <c r="I126" s="131"/>
      <c r="J126" s="131"/>
      <c r="K126" s="131"/>
      <c r="L126" s="131"/>
      <c r="M126" s="131"/>
      <c r="N126" s="131"/>
      <c r="O126" s="131"/>
      <c r="P126" s="131"/>
      <c r="Q126" s="131"/>
      <c r="R126" s="131"/>
      <c r="S126" s="131"/>
      <c r="T126" s="131"/>
    </row>
    <row r="127" spans="2:21" ht="18.75" x14ac:dyDescent="0.3">
      <c r="B127" s="133">
        <f>W16</f>
        <v>0</v>
      </c>
      <c r="C127" s="134"/>
      <c r="D127" s="134"/>
      <c r="E127" s="134"/>
      <c r="F127" s="135"/>
      <c r="G127" s="136"/>
      <c r="I127" s="131"/>
      <c r="J127" s="131"/>
      <c r="K127" s="131"/>
      <c r="L127" s="131"/>
      <c r="M127" s="131"/>
      <c r="N127" s="131"/>
      <c r="O127" s="131"/>
      <c r="P127" s="131"/>
      <c r="Q127" s="131"/>
      <c r="R127" s="131"/>
      <c r="S127" s="131"/>
      <c r="T127" s="131"/>
    </row>
    <row r="128" spans="2:21" x14ac:dyDescent="0.25">
      <c r="B128" s="137" t="s">
        <v>86</v>
      </c>
      <c r="C128" s="134"/>
      <c r="D128" s="134"/>
      <c r="E128" s="138">
        <f>H46</f>
        <v>0</v>
      </c>
      <c r="F128" s="135"/>
      <c r="G128" s="139" t="e">
        <f>E128/$B$127</f>
        <v>#DIV/0!</v>
      </c>
      <c r="I128" s="131"/>
      <c r="J128" s="131"/>
      <c r="K128" s="131"/>
      <c r="L128" s="131"/>
      <c r="M128" s="131"/>
      <c r="N128" s="131"/>
      <c r="O128" s="131"/>
      <c r="P128" s="131"/>
      <c r="Q128" s="131"/>
      <c r="R128" s="131"/>
      <c r="S128" s="131"/>
      <c r="T128" s="131"/>
    </row>
    <row r="129" spans="2:21" ht="9" customHeight="1" x14ac:dyDescent="0.25">
      <c r="B129" s="11"/>
      <c r="C129" s="134"/>
      <c r="D129" s="134"/>
      <c r="E129" s="134"/>
      <c r="F129" s="135"/>
      <c r="G129" s="136"/>
      <c r="I129" s="131"/>
      <c r="J129" s="131"/>
      <c r="K129" s="131"/>
      <c r="L129" s="131"/>
      <c r="M129" s="131"/>
      <c r="N129" s="131"/>
      <c r="O129" s="131"/>
      <c r="P129" s="131"/>
      <c r="Q129" s="131"/>
      <c r="R129" s="131"/>
      <c r="S129" s="131"/>
      <c r="T129" s="131"/>
    </row>
    <row r="130" spans="2:21" x14ac:dyDescent="0.25">
      <c r="B130" s="137" t="s">
        <v>87</v>
      </c>
      <c r="C130" s="134"/>
      <c r="D130" s="134"/>
      <c r="E130" s="134"/>
      <c r="F130" s="135"/>
      <c r="G130" s="136"/>
      <c r="I130" s="131"/>
      <c r="J130" s="131"/>
      <c r="K130" s="131"/>
      <c r="L130" s="131"/>
      <c r="M130" s="131"/>
      <c r="N130" s="131"/>
      <c r="O130" s="131"/>
      <c r="P130" s="131"/>
      <c r="Q130" s="131"/>
      <c r="R130" s="131"/>
      <c r="S130" s="131"/>
      <c r="T130" s="131"/>
    </row>
    <row r="131" spans="2:21" x14ac:dyDescent="0.25">
      <c r="B131" s="24" t="s">
        <v>88</v>
      </c>
      <c r="C131" s="138">
        <f>H51+H82+H83+H84+H89</f>
        <v>0</v>
      </c>
      <c r="D131" s="138"/>
      <c r="E131" s="134"/>
      <c r="F131" s="140" t="e">
        <f t="shared" ref="F131:F138" si="18">C131/$B$127</f>
        <v>#DIV/0!</v>
      </c>
      <c r="G131" s="136"/>
      <c r="I131" s="131"/>
      <c r="J131" s="131"/>
      <c r="K131" s="131"/>
      <c r="L131" s="131"/>
      <c r="M131" s="131"/>
      <c r="N131" s="131"/>
      <c r="O131" s="131"/>
      <c r="P131" s="131"/>
      <c r="Q131" s="131"/>
      <c r="R131" s="131"/>
      <c r="S131" s="131"/>
      <c r="T131" s="131"/>
    </row>
    <row r="132" spans="2:21" x14ac:dyDescent="0.25">
      <c r="B132" s="24" t="s">
        <v>89</v>
      </c>
      <c r="C132" s="138">
        <f>H78</f>
        <v>0</v>
      </c>
      <c r="D132" s="138"/>
      <c r="E132" s="134"/>
      <c r="F132" s="140" t="e">
        <f t="shared" si="18"/>
        <v>#DIV/0!</v>
      </c>
      <c r="G132" s="136"/>
      <c r="I132" s="131"/>
      <c r="J132" s="131"/>
      <c r="K132" s="131"/>
      <c r="L132" s="131"/>
      <c r="M132" s="131"/>
      <c r="N132" s="131"/>
      <c r="O132" s="131"/>
      <c r="P132" s="131"/>
      <c r="Q132" s="131"/>
      <c r="R132" s="131"/>
      <c r="S132" s="131"/>
      <c r="T132" s="131"/>
    </row>
    <row r="133" spans="2:21" x14ac:dyDescent="0.25">
      <c r="B133" s="24" t="s">
        <v>59</v>
      </c>
      <c r="C133" s="138">
        <f>H90+H91+H92</f>
        <v>0</v>
      </c>
      <c r="D133" s="138"/>
      <c r="E133" s="134"/>
      <c r="F133" s="140" t="e">
        <f t="shared" si="18"/>
        <v>#DIV/0!</v>
      </c>
      <c r="G133" s="136"/>
      <c r="I133" s="131"/>
      <c r="J133" s="131"/>
      <c r="K133" s="131"/>
      <c r="L133" s="131"/>
      <c r="M133" s="131"/>
      <c r="N133" s="131"/>
      <c r="O133" s="131"/>
      <c r="P133" s="131"/>
      <c r="Q133" s="131"/>
      <c r="R133" s="131"/>
      <c r="S133" s="131"/>
      <c r="T133" s="131"/>
    </row>
    <row r="134" spans="2:21" x14ac:dyDescent="0.25">
      <c r="B134" s="24" t="s">
        <v>90</v>
      </c>
      <c r="C134" s="138">
        <f>H95+H96</f>
        <v>0</v>
      </c>
      <c r="D134" s="138"/>
      <c r="E134" s="134"/>
      <c r="F134" s="140" t="e">
        <f t="shared" si="18"/>
        <v>#DIV/0!</v>
      </c>
      <c r="G134" s="136"/>
      <c r="I134" s="131"/>
      <c r="J134" s="131"/>
      <c r="K134" s="131"/>
      <c r="L134" s="131"/>
      <c r="M134" s="131"/>
      <c r="N134" s="131"/>
      <c r="O134" s="131"/>
      <c r="P134" s="131"/>
      <c r="Q134" s="131"/>
      <c r="R134" s="131"/>
      <c r="S134" s="131"/>
      <c r="T134" s="131"/>
    </row>
    <row r="135" spans="2:21" x14ac:dyDescent="0.25">
      <c r="B135" s="24" t="s">
        <v>91</v>
      </c>
      <c r="C135" s="138">
        <f>H97+H98</f>
        <v>0</v>
      </c>
      <c r="D135" s="138"/>
      <c r="E135" s="134"/>
      <c r="F135" s="140" t="e">
        <f t="shared" si="18"/>
        <v>#DIV/0!</v>
      </c>
      <c r="G135" s="136"/>
      <c r="I135" s="131"/>
      <c r="J135" s="131"/>
      <c r="K135" s="131"/>
      <c r="L135" s="131"/>
      <c r="M135" s="131"/>
      <c r="N135" s="131"/>
      <c r="O135" s="131"/>
      <c r="P135" s="131"/>
      <c r="Q135" s="131"/>
      <c r="R135" s="131"/>
      <c r="S135" s="131"/>
      <c r="T135" s="131"/>
    </row>
    <row r="136" spans="2:21" x14ac:dyDescent="0.25">
      <c r="B136" s="24" t="s">
        <v>63</v>
      </c>
      <c r="C136" s="138">
        <f>H99+H100+H101+H102</f>
        <v>0</v>
      </c>
      <c r="D136" s="138"/>
      <c r="E136" s="134"/>
      <c r="F136" s="140" t="e">
        <f t="shared" si="18"/>
        <v>#DIV/0!</v>
      </c>
      <c r="G136" s="136"/>
      <c r="I136" s="131"/>
      <c r="J136" s="131"/>
      <c r="K136" s="131"/>
      <c r="L136" s="131"/>
      <c r="M136" s="131"/>
      <c r="N136" s="131"/>
      <c r="O136" s="131"/>
      <c r="P136" s="131"/>
      <c r="Q136" s="131"/>
      <c r="R136" s="131"/>
      <c r="S136" s="131"/>
      <c r="T136" s="131"/>
    </row>
    <row r="137" spans="2:21" x14ac:dyDescent="0.25">
      <c r="B137" s="24" t="s">
        <v>68</v>
      </c>
      <c r="C137" s="138">
        <f>H105</f>
        <v>0</v>
      </c>
      <c r="D137" s="138"/>
      <c r="E137" s="134"/>
      <c r="F137" s="140" t="e">
        <f t="shared" si="18"/>
        <v>#DIV/0!</v>
      </c>
      <c r="G137" s="136"/>
      <c r="I137" s="131"/>
      <c r="J137" s="131"/>
      <c r="K137" s="131"/>
      <c r="L137" s="131"/>
      <c r="M137" s="131"/>
      <c r="N137" s="131"/>
      <c r="O137" s="131"/>
      <c r="P137" s="131"/>
      <c r="Q137" s="131"/>
      <c r="R137" s="131"/>
      <c r="S137" s="131"/>
      <c r="T137" s="131"/>
    </row>
    <row r="138" spans="2:21" x14ac:dyDescent="0.25">
      <c r="B138" s="24" t="s">
        <v>92</v>
      </c>
      <c r="C138" s="141">
        <f>+H103+H104</f>
        <v>0</v>
      </c>
      <c r="D138" s="141"/>
      <c r="E138" s="141">
        <f>SUM(C131:C138)</f>
        <v>0</v>
      </c>
      <c r="F138" s="142" t="e">
        <f t="shared" si="18"/>
        <v>#DIV/0!</v>
      </c>
      <c r="G138" s="143" t="e">
        <f>SUM(F131:F138)</f>
        <v>#DIV/0!</v>
      </c>
      <c r="I138" s="131"/>
      <c r="J138" s="131"/>
      <c r="K138" s="131"/>
      <c r="L138" s="131"/>
      <c r="M138" s="131"/>
      <c r="N138" s="131"/>
      <c r="O138" s="131"/>
      <c r="P138" s="131"/>
      <c r="Q138" s="131"/>
      <c r="R138" s="131"/>
      <c r="S138" s="131"/>
      <c r="T138" s="131"/>
    </row>
    <row r="139" spans="2:21" ht="19.5" thickBot="1" x14ac:dyDescent="0.35">
      <c r="B139" s="32"/>
      <c r="C139" s="144"/>
      <c r="D139" s="144"/>
      <c r="E139" s="145">
        <f>E128-E138</f>
        <v>0</v>
      </c>
      <c r="F139" s="146"/>
      <c r="G139" s="147" t="e">
        <f>G128-G138</f>
        <v>#DIV/0!</v>
      </c>
      <c r="I139" s="131"/>
      <c r="J139" s="131"/>
      <c r="K139" s="131"/>
      <c r="L139" s="131"/>
      <c r="M139" s="131"/>
      <c r="N139" s="131"/>
      <c r="O139" s="131"/>
      <c r="P139" s="131"/>
      <c r="Q139" s="131"/>
      <c r="R139" s="131"/>
      <c r="S139" s="131"/>
      <c r="T139" s="131"/>
    </row>
    <row r="140" spans="2:21" x14ac:dyDescent="0.25">
      <c r="J140" s="131"/>
      <c r="K140" s="131"/>
      <c r="L140" s="131"/>
      <c r="M140" s="131"/>
      <c r="N140" s="131"/>
      <c r="O140" s="131"/>
      <c r="P140" s="131"/>
      <c r="Q140" s="131"/>
      <c r="R140" s="131"/>
      <c r="S140" s="131"/>
      <c r="T140" s="131"/>
      <c r="U140" s="131"/>
    </row>
    <row r="141" spans="2:21" x14ac:dyDescent="0.25">
      <c r="B141" s="150" t="s">
        <v>93</v>
      </c>
      <c r="J141" s="131"/>
      <c r="K141" s="131"/>
      <c r="L141" s="131"/>
      <c r="M141" s="131"/>
      <c r="N141" s="131"/>
      <c r="O141" s="131"/>
      <c r="P141" s="131"/>
      <c r="Q141" s="131"/>
      <c r="R141" s="131"/>
      <c r="S141" s="131"/>
      <c r="T141" s="131"/>
      <c r="U141" s="131"/>
    </row>
    <row r="142" spans="2:21" x14ac:dyDescent="0.25">
      <c r="B142" s="151" t="s">
        <v>94</v>
      </c>
      <c r="H142" s="148">
        <f t="shared" ref="H142:H171" si="19">SUM(J142:U142)</f>
        <v>0</v>
      </c>
      <c r="J142" s="131"/>
      <c r="K142" s="131"/>
      <c r="L142" s="131"/>
      <c r="M142" s="131"/>
      <c r="N142" s="131"/>
      <c r="O142" s="131"/>
      <c r="P142" s="131"/>
      <c r="Q142" s="131"/>
      <c r="R142" s="131"/>
      <c r="S142" s="131"/>
      <c r="T142" s="131"/>
      <c r="U142" s="131"/>
    </row>
    <row r="143" spans="2:21" x14ac:dyDescent="0.25">
      <c r="B143" s="151" t="s">
        <v>95</v>
      </c>
      <c r="H143" s="148">
        <f t="shared" si="19"/>
        <v>0</v>
      </c>
    </row>
    <row r="144" spans="2:21" x14ac:dyDescent="0.25">
      <c r="B144" s="151" t="s">
        <v>96</v>
      </c>
      <c r="H144" s="148">
        <f t="shared" si="19"/>
        <v>0</v>
      </c>
    </row>
    <row r="145" spans="2:8" x14ac:dyDescent="0.25">
      <c r="B145" s="151" t="s">
        <v>97</v>
      </c>
      <c r="H145" s="148">
        <f t="shared" si="19"/>
        <v>0</v>
      </c>
    </row>
    <row r="146" spans="2:8" x14ac:dyDescent="0.25">
      <c r="B146" s="151" t="s">
        <v>98</v>
      </c>
      <c r="H146" s="148">
        <f t="shared" si="19"/>
        <v>0</v>
      </c>
    </row>
    <row r="147" spans="2:8" x14ac:dyDescent="0.25">
      <c r="B147" s="151" t="s">
        <v>99</v>
      </c>
      <c r="H147" s="148">
        <f t="shared" si="19"/>
        <v>0</v>
      </c>
    </row>
    <row r="148" spans="2:8" x14ac:dyDescent="0.25">
      <c r="B148" s="151" t="s">
        <v>100</v>
      </c>
      <c r="H148" s="148">
        <f t="shared" si="19"/>
        <v>0</v>
      </c>
    </row>
    <row r="149" spans="2:8" x14ac:dyDescent="0.25">
      <c r="B149" s="151" t="s">
        <v>101</v>
      </c>
      <c r="H149" s="148">
        <f t="shared" si="19"/>
        <v>0</v>
      </c>
    </row>
    <row r="150" spans="2:8" x14ac:dyDescent="0.25">
      <c r="B150" s="151" t="s">
        <v>102</v>
      </c>
      <c r="H150" s="148">
        <f t="shared" si="19"/>
        <v>0</v>
      </c>
    </row>
    <row r="151" spans="2:8" x14ac:dyDescent="0.25">
      <c r="B151" s="151" t="s">
        <v>103</v>
      </c>
      <c r="H151" s="148">
        <f t="shared" si="19"/>
        <v>0</v>
      </c>
    </row>
    <row r="152" spans="2:8" x14ac:dyDescent="0.25">
      <c r="B152" s="151" t="s">
        <v>104</v>
      </c>
      <c r="H152" s="148">
        <f t="shared" si="19"/>
        <v>0</v>
      </c>
    </row>
    <row r="153" spans="2:8" x14ac:dyDescent="0.25">
      <c r="B153" s="151" t="s">
        <v>105</v>
      </c>
      <c r="H153" s="148">
        <f t="shared" si="19"/>
        <v>0</v>
      </c>
    </row>
    <row r="154" spans="2:8" x14ac:dyDescent="0.25">
      <c r="B154" s="151" t="s">
        <v>106</v>
      </c>
      <c r="H154" s="148">
        <f t="shared" si="19"/>
        <v>0</v>
      </c>
    </row>
    <row r="155" spans="2:8" x14ac:dyDescent="0.25">
      <c r="B155" s="151" t="s">
        <v>107</v>
      </c>
      <c r="H155" s="148">
        <f t="shared" si="19"/>
        <v>0</v>
      </c>
    </row>
    <row r="156" spans="2:8" x14ac:dyDescent="0.25">
      <c r="B156" s="151" t="s">
        <v>108</v>
      </c>
      <c r="H156" s="148">
        <f t="shared" si="19"/>
        <v>0</v>
      </c>
    </row>
    <row r="157" spans="2:8" x14ac:dyDescent="0.25">
      <c r="B157" t="s">
        <v>109</v>
      </c>
      <c r="H157" s="148">
        <f t="shared" si="19"/>
        <v>0</v>
      </c>
    </row>
    <row r="158" spans="2:8" x14ac:dyDescent="0.25">
      <c r="B158" t="s">
        <v>110</v>
      </c>
      <c r="H158" s="148">
        <f t="shared" si="19"/>
        <v>0</v>
      </c>
    </row>
    <row r="159" spans="2:8" x14ac:dyDescent="0.25">
      <c r="B159" t="s">
        <v>111</v>
      </c>
      <c r="H159" s="148">
        <f t="shared" si="19"/>
        <v>0</v>
      </c>
    </row>
    <row r="160" spans="2:8" x14ac:dyDescent="0.25">
      <c r="B160" t="s">
        <v>112</v>
      </c>
      <c r="H160" s="148">
        <f t="shared" si="19"/>
        <v>0</v>
      </c>
    </row>
    <row r="161" spans="2:21" x14ac:dyDescent="0.25">
      <c r="B161" t="s">
        <v>113</v>
      </c>
      <c r="H161" s="148">
        <f t="shared" si="19"/>
        <v>0</v>
      </c>
    </row>
    <row r="162" spans="2:21" x14ac:dyDescent="0.25">
      <c r="B162" s="152" t="s">
        <v>114</v>
      </c>
      <c r="H162" s="148">
        <f t="shared" si="19"/>
        <v>0</v>
      </c>
    </row>
    <row r="163" spans="2:21" x14ac:dyDescent="0.25">
      <c r="B163" s="153" t="s">
        <v>115</v>
      </c>
      <c r="H163" s="148">
        <f t="shared" si="19"/>
        <v>0</v>
      </c>
    </row>
    <row r="164" spans="2:21" x14ac:dyDescent="0.25">
      <c r="B164" s="153" t="s">
        <v>116</v>
      </c>
      <c r="H164" s="148">
        <f t="shared" si="19"/>
        <v>0</v>
      </c>
    </row>
    <row r="165" spans="2:21" x14ac:dyDescent="0.25">
      <c r="B165" s="153" t="s">
        <v>117</v>
      </c>
      <c r="H165" s="148">
        <f t="shared" si="19"/>
        <v>0</v>
      </c>
    </row>
    <row r="166" spans="2:21" x14ac:dyDescent="0.25">
      <c r="B166" s="153" t="s">
        <v>90</v>
      </c>
      <c r="H166" s="148">
        <f t="shared" si="19"/>
        <v>0</v>
      </c>
    </row>
    <row r="167" spans="2:21" x14ac:dyDescent="0.25">
      <c r="B167" s="153" t="s">
        <v>118</v>
      </c>
      <c r="H167" s="148">
        <f t="shared" si="19"/>
        <v>0</v>
      </c>
    </row>
    <row r="168" spans="2:21" x14ac:dyDescent="0.25">
      <c r="B168" s="153" t="s">
        <v>119</v>
      </c>
      <c r="H168" s="148">
        <f t="shared" si="19"/>
        <v>0</v>
      </c>
    </row>
    <row r="169" spans="2:21" x14ac:dyDescent="0.25">
      <c r="B169" s="153" t="s">
        <v>120</v>
      </c>
      <c r="H169" s="148">
        <f t="shared" si="19"/>
        <v>0</v>
      </c>
    </row>
    <row r="170" spans="2:21" x14ac:dyDescent="0.25">
      <c r="B170" s="153" t="s">
        <v>121</v>
      </c>
      <c r="H170" s="148">
        <f t="shared" si="19"/>
        <v>0</v>
      </c>
    </row>
    <row r="171" spans="2:21" x14ac:dyDescent="0.25">
      <c r="B171" s="153" t="s">
        <v>122</v>
      </c>
      <c r="H171" s="1">
        <f t="shared" si="19"/>
        <v>0</v>
      </c>
    </row>
    <row r="173" spans="2:21" x14ac:dyDescent="0.25">
      <c r="B173" s="154" t="s">
        <v>2</v>
      </c>
      <c r="C173" s="155"/>
      <c r="D173" s="155"/>
      <c r="E173" s="155"/>
      <c r="F173" s="155"/>
      <c r="G173" s="155"/>
      <c r="H173" s="155"/>
      <c r="I173" s="155"/>
      <c r="J173" s="156">
        <f t="shared" ref="J173:U173" si="20">SUM(J142:J171)</f>
        <v>0</v>
      </c>
      <c r="K173" s="156">
        <f t="shared" si="20"/>
        <v>0</v>
      </c>
      <c r="L173" s="156">
        <f t="shared" si="20"/>
        <v>0</v>
      </c>
      <c r="M173" s="156">
        <f t="shared" si="20"/>
        <v>0</v>
      </c>
      <c r="N173" s="156">
        <f t="shared" si="20"/>
        <v>0</v>
      </c>
      <c r="O173" s="156">
        <f t="shared" si="20"/>
        <v>0</v>
      </c>
      <c r="P173" s="156">
        <f t="shared" si="20"/>
        <v>0</v>
      </c>
      <c r="Q173" s="156">
        <f t="shared" si="20"/>
        <v>0</v>
      </c>
      <c r="R173" s="156">
        <f t="shared" si="20"/>
        <v>0</v>
      </c>
      <c r="S173" s="156">
        <f t="shared" si="20"/>
        <v>0</v>
      </c>
      <c r="T173" s="156">
        <f t="shared" si="20"/>
        <v>0</v>
      </c>
      <c r="U173" s="156">
        <f t="shared" si="20"/>
        <v>0</v>
      </c>
    </row>
  </sheetData>
  <sheetProtection selectLockedCells="1"/>
  <protectedRanges>
    <protectedRange sqref="J4:U13" name="Production"/>
    <protectedRange sqref="C20:C41" name="Grade mix_1"/>
    <protectedRange sqref="F20:G41" name="JAS converions_1_1"/>
  </protectedRanges>
  <mergeCells count="6">
    <mergeCell ref="I7:I9"/>
    <mergeCell ref="I4:I6"/>
    <mergeCell ref="J113:U113"/>
    <mergeCell ref="F126:G126"/>
    <mergeCell ref="I13:I16"/>
    <mergeCell ref="I10:I12"/>
  </mergeCells>
  <dataValidations count="1">
    <dataValidation type="whole" errorStyle="warning" allowBlank="1" showInputMessage="1" showErrorMessage="1" errorTitle="High number of skids" error="Are you sure you are going to build this many skids?" sqref="J118:U122" xr:uid="{6B40031E-62B8-4DB3-AE17-530926594550}">
      <formula1>0</formula1>
      <formula2>10</formula2>
    </dataValidation>
  </dataValidations>
  <pageMargins left="0.70866141732283472" right="0.70866141732283472" top="0.74803149606299213" bottom="0.74803149606299213" header="0.31496062992125984" footer="0.31496062992125984"/>
  <pageSetup paperSize="8" scale="36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FBF25-DECD-461F-AE61-22837166D663}">
  <sheetPr codeName="Sheet3">
    <tabColor theme="0" tint="-0.14999847407452621"/>
  </sheetPr>
  <dimension ref="A1:V60"/>
  <sheetViews>
    <sheetView workbookViewId="0">
      <selection activeCell="E7" sqref="E7"/>
    </sheetView>
  </sheetViews>
  <sheetFormatPr defaultColWidth="9.140625" defaultRowHeight="15" x14ac:dyDescent="0.25"/>
  <cols>
    <col min="1" max="1" width="9.140625" style="149"/>
    <col min="2" max="2" width="41.28515625" style="157" customWidth="1"/>
    <col min="3" max="3" width="16.85546875" style="157" bestFit="1" customWidth="1"/>
    <col min="4" max="4" width="14.42578125" style="158" bestFit="1" customWidth="1"/>
    <col min="5" max="5" width="11.5703125" style="223" bestFit="1" customWidth="1"/>
    <col min="6" max="6" width="11.5703125" style="149" bestFit="1" customWidth="1"/>
    <col min="7" max="7" width="14.28515625" style="149" bestFit="1" customWidth="1"/>
    <col min="8" max="8" width="11.7109375" style="223" bestFit="1" customWidth="1"/>
    <col min="9" max="9" width="12.42578125" style="157" bestFit="1" customWidth="1"/>
    <col min="10" max="10" width="14.28515625" style="149" bestFit="1" customWidth="1"/>
    <col min="11" max="12" width="9.140625" style="149"/>
    <col min="13" max="13" width="9.42578125" style="149" customWidth="1"/>
    <col min="14" max="15" width="9.140625" style="149"/>
    <col min="16" max="16" width="11.5703125" style="149" bestFit="1" customWidth="1"/>
    <col min="17" max="17" width="11.28515625" style="149" bestFit="1" customWidth="1"/>
    <col min="18" max="18" width="12.85546875" style="149" customWidth="1"/>
    <col min="19" max="19" width="13.42578125" style="149" customWidth="1"/>
    <col min="20" max="16384" width="9.140625" style="149"/>
  </cols>
  <sheetData>
    <row r="1" spans="1:22" ht="15.75" thickBot="1" x14ac:dyDescent="0.3">
      <c r="A1" s="247">
        <f>MONTH(E2)</f>
        <v>1</v>
      </c>
      <c r="B1" s="169" t="str">
        <f>'Eastfork Actual'!B2</f>
        <v>Eastfork</v>
      </c>
      <c r="F1" s="157"/>
      <c r="G1" s="157"/>
      <c r="J1" s="157"/>
      <c r="P1" s="149">
        <f>MONTH(Q2)</f>
        <v>1</v>
      </c>
      <c r="T1" t="s">
        <v>177</v>
      </c>
      <c r="U1" t="s">
        <v>178</v>
      </c>
    </row>
    <row r="2" spans="1:22" ht="15.75" thickBot="1" x14ac:dyDescent="0.3">
      <c r="A2" s="247" t="str">
        <f>_xlfn.XLOOKUP(A1,T2:T13,U2:U13,0,0)</f>
        <v>January</v>
      </c>
      <c r="B2" s="159"/>
      <c r="C2" s="159"/>
      <c r="D2" s="160"/>
      <c r="E2" s="238">
        <v>45658</v>
      </c>
      <c r="F2" s="161"/>
      <c r="G2" s="161"/>
      <c r="H2" s="230" t="s">
        <v>123</v>
      </c>
      <c r="I2" s="162"/>
      <c r="J2" s="163"/>
      <c r="M2" s="175"/>
      <c r="P2" t="s">
        <v>179</v>
      </c>
      <c r="Q2" s="248">
        <f>_xlfn.XLOOKUP(P2,U2:U13,V2:V13,0,0)</f>
        <v>45658</v>
      </c>
      <c r="R2" s="248"/>
      <c r="T2">
        <v>1</v>
      </c>
      <c r="U2" t="s">
        <v>179</v>
      </c>
      <c r="V2" s="249">
        <v>45658</v>
      </c>
    </row>
    <row r="3" spans="1:22" x14ac:dyDescent="0.25">
      <c r="B3" s="159"/>
      <c r="C3" s="159"/>
      <c r="D3" s="160"/>
      <c r="E3" s="224" t="s">
        <v>124</v>
      </c>
      <c r="F3" s="180" t="s">
        <v>125</v>
      </c>
      <c r="G3" s="180" t="s">
        <v>126</v>
      </c>
      <c r="H3" s="231" t="s">
        <v>124</v>
      </c>
      <c r="I3" s="180" t="s">
        <v>125</v>
      </c>
      <c r="J3" s="181" t="s">
        <v>126</v>
      </c>
      <c r="L3" s="447" t="s">
        <v>13</v>
      </c>
      <c r="M3" s="250" t="s">
        <v>125</v>
      </c>
      <c r="P3" s="250" t="s">
        <v>180</v>
      </c>
      <c r="Q3" s="250" t="s">
        <v>125</v>
      </c>
      <c r="R3" s="250" t="s">
        <v>180</v>
      </c>
      <c r="S3" s="250" t="s">
        <v>125</v>
      </c>
      <c r="T3">
        <v>2</v>
      </c>
      <c r="U3" t="s">
        <v>181</v>
      </c>
      <c r="V3" s="249">
        <v>45689</v>
      </c>
    </row>
    <row r="4" spans="1:22" ht="15.75" thickBot="1" x14ac:dyDescent="0.3">
      <c r="B4" s="164"/>
      <c r="C4" s="164"/>
      <c r="D4" s="165"/>
      <c r="E4" s="225" t="s">
        <v>127</v>
      </c>
      <c r="F4" s="166" t="s">
        <v>128</v>
      </c>
      <c r="G4" s="166" t="s">
        <v>129</v>
      </c>
      <c r="H4" s="232" t="s">
        <v>130</v>
      </c>
      <c r="I4" s="167" t="s">
        <v>131</v>
      </c>
      <c r="J4" s="168" t="s">
        <v>132</v>
      </c>
      <c r="L4" s="251"/>
      <c r="M4" s="251" t="s">
        <v>240</v>
      </c>
      <c r="P4" s="251" t="s">
        <v>203</v>
      </c>
      <c r="Q4" s="251" t="s">
        <v>203</v>
      </c>
      <c r="R4" s="251" t="s">
        <v>204</v>
      </c>
      <c r="S4" s="251" t="s">
        <v>204</v>
      </c>
      <c r="T4">
        <v>3</v>
      </c>
      <c r="U4" t="s">
        <v>182</v>
      </c>
      <c r="V4" s="249">
        <v>45717</v>
      </c>
    </row>
    <row r="5" spans="1:22" x14ac:dyDescent="0.25">
      <c r="B5" s="169" t="s">
        <v>133</v>
      </c>
      <c r="C5" s="169"/>
      <c r="D5" s="158" t="s">
        <v>134</v>
      </c>
      <c r="E5" s="375">
        <f>HLOOKUP($E$2,'Eastfork Actual'!$J$3:$U$16,14,0)</f>
        <v>0</v>
      </c>
      <c r="F5" s="221">
        <f>HLOOKUP($E$2,'Eastfork Budget'!$J$3:$U$16,14,0)</f>
        <v>0</v>
      </c>
      <c r="G5" s="182">
        <f>E5-F5</f>
        <v>0</v>
      </c>
      <c r="H5" s="233">
        <f>SUMIFS('Eastfork Actual'!$J$16:$U$16,'Eastfork Actual'!$J$3:$U$3,"&lt;="&amp;Summary_1!$E$2)</f>
        <v>0</v>
      </c>
      <c r="I5" s="183">
        <f>SUMIFS('Eastfork Budget'!$J$16:$U$16,'Eastfork Budget'!$J$3:$U$3,"&lt;="&amp;Summary_1!$E$2)</f>
        <v>0</v>
      </c>
      <c r="J5" s="184">
        <f>H5-I5</f>
        <v>0</v>
      </c>
      <c r="L5" s="442" t="s">
        <v>20</v>
      </c>
      <c r="M5" s="443">
        <f>$S$5*'Eastfork Budget'!C20</f>
        <v>0</v>
      </c>
      <c r="P5" s="252">
        <f>HLOOKUP($Q$2,'Eastfork Actual'!$J$3:$U$16,14,0)</f>
        <v>0</v>
      </c>
      <c r="Q5" s="252">
        <f>HLOOKUP($Q$2,'Eastfork Budget'!$J$3:$U$16,14,0)</f>
        <v>0</v>
      </c>
      <c r="R5" s="252">
        <f>HLOOKUP($Q$2,'Eastfork Actual'!$J$3:$U$16,14,0)</f>
        <v>0</v>
      </c>
      <c r="S5" s="252">
        <f>HLOOKUP($Q$2,'Eastfork Budget'!$J$3:$U$16,14,0)</f>
        <v>0</v>
      </c>
      <c r="T5">
        <v>4</v>
      </c>
      <c r="U5" t="s">
        <v>183</v>
      </c>
      <c r="V5" s="249">
        <v>45748</v>
      </c>
    </row>
    <row r="6" spans="1:22" x14ac:dyDescent="0.25">
      <c r="B6" s="169"/>
      <c r="C6" s="169"/>
      <c r="E6" s="220"/>
      <c r="F6" s="151"/>
      <c r="H6" s="234"/>
      <c r="I6" s="183"/>
      <c r="J6" s="185"/>
      <c r="L6" s="444" t="s">
        <v>22</v>
      </c>
      <c r="M6" s="189">
        <f>$S$5*'Eastfork Budget'!C21</f>
        <v>0</v>
      </c>
      <c r="P6" s="252"/>
      <c r="Q6" s="252"/>
      <c r="R6" s="252"/>
      <c r="S6" s="252"/>
      <c r="T6">
        <v>5</v>
      </c>
      <c r="U6" t="s">
        <v>184</v>
      </c>
      <c r="V6" s="249">
        <v>45778</v>
      </c>
    </row>
    <row r="7" spans="1:22" x14ac:dyDescent="0.25">
      <c r="B7" s="170" t="s">
        <v>135</v>
      </c>
      <c r="C7" s="170"/>
      <c r="D7" s="171" t="s">
        <v>136</v>
      </c>
      <c r="E7" s="219" t="e">
        <f>(HLOOKUP($E$2,'Eastfork Actual'!$J$19:$U$46,28,0))/E5</f>
        <v>#DIV/0!</v>
      </c>
      <c r="F7" s="218" t="e">
        <f>(HLOOKUP($E$2,'Eastfork Budget'!$J$19:$U$46,28,0))/F5</f>
        <v>#DIV/0!</v>
      </c>
      <c r="G7" s="177" t="e">
        <f>E7-F7</f>
        <v>#DIV/0!</v>
      </c>
      <c r="H7" s="235" t="e">
        <f>SUMIFS('Eastfork Actual'!$J$46:$U$46,'Eastfork Actual'!J19:U19,"&lt;="&amp;Summary_1!$E$2)/H5</f>
        <v>#DIV/0!</v>
      </c>
      <c r="I7" s="179" t="e">
        <f>SUMIFS('Eastfork Budget'!$J$46:$U$46,'Eastfork Budget'!J19:U19,"&lt;="&amp;Summary_1!$E$2)/I5</f>
        <v>#DIV/0!</v>
      </c>
      <c r="J7" s="186" t="e">
        <f>H7-I7</f>
        <v>#DIV/0!</v>
      </c>
      <c r="L7" s="444" t="s">
        <v>25</v>
      </c>
      <c r="M7" s="189">
        <f>$S$5*'Eastfork Budget'!C22</f>
        <v>0</v>
      </c>
      <c r="P7" s="253">
        <f>IFERROR(HLOOKUP($Q$2,'Eastfork Actual'!$J$19:$U$46,28,0)/P5,0)</f>
        <v>0</v>
      </c>
      <c r="Q7" s="253">
        <f>IFERROR(HLOOKUP($Q$2,'Eastfork Budget'!$J$19:$U$46,28,0)/Q5,0)</f>
        <v>0</v>
      </c>
      <c r="R7" s="253">
        <f>HLOOKUP($Q$2,'Eastfork Actual'!$J$19:$U$46,28,0)</f>
        <v>682560</v>
      </c>
      <c r="S7" s="253">
        <f>(HLOOKUP($Q$2,'Eastfork Budget'!$J$19:$U$46,28,0))</f>
        <v>0</v>
      </c>
      <c r="T7">
        <v>6</v>
      </c>
      <c r="U7" t="s">
        <v>185</v>
      </c>
      <c r="V7" s="249">
        <v>45809</v>
      </c>
    </row>
    <row r="8" spans="1:22" x14ac:dyDescent="0.25">
      <c r="E8" s="220"/>
      <c r="F8" s="151"/>
      <c r="H8" s="234"/>
      <c r="I8" s="183"/>
      <c r="J8" s="185"/>
      <c r="L8" s="444" t="s">
        <v>30</v>
      </c>
      <c r="M8" s="189">
        <f>$S$5*'Eastfork Budget'!C23</f>
        <v>0</v>
      </c>
      <c r="P8" s="252"/>
      <c r="Q8" s="252"/>
      <c r="R8" s="252"/>
      <c r="S8" s="252"/>
      <c r="T8">
        <v>7</v>
      </c>
      <c r="U8" t="s">
        <v>186</v>
      </c>
      <c r="V8" s="249">
        <v>45839</v>
      </c>
    </row>
    <row r="9" spans="1:22" x14ac:dyDescent="0.25">
      <c r="B9" s="170" t="s">
        <v>137</v>
      </c>
      <c r="C9" s="170"/>
      <c r="D9" s="171" t="s">
        <v>138</v>
      </c>
      <c r="E9" s="219" t="e">
        <f>HLOOKUP($E$2,'Eastfork Actual'!$J$50:$U$51,2,0)/E5</f>
        <v>#DIV/0!</v>
      </c>
      <c r="F9" s="218" t="e">
        <f>HLOOKUP($E$2,'Eastfork Budget'!$J$50:$U$51,2,0)/F5</f>
        <v>#DIV/0!</v>
      </c>
      <c r="G9" s="176" t="e">
        <f>F9-E9</f>
        <v>#DIV/0!</v>
      </c>
      <c r="H9" s="235" t="e">
        <f>SUMIFS('Eastfork Actual'!$J$51:$U$51,'Eastfork Actual'!J50:U50,"&lt;="&amp;Summary_1!$E$2)/H5</f>
        <v>#DIV/0!</v>
      </c>
      <c r="I9" s="179" t="e">
        <f>SUMIFS('Eastfork Budget'!$J$51:$U$51,'Eastfork Budget'!J50:U50,"&lt;="&amp;Summary_1!$E$2)/I5</f>
        <v>#DIV/0!</v>
      </c>
      <c r="J9" s="187" t="e">
        <f>I9-H9</f>
        <v>#DIV/0!</v>
      </c>
      <c r="L9" s="444" t="s">
        <v>222</v>
      </c>
      <c r="M9" s="189">
        <f>$S$5*'Eastfork Budget'!C24</f>
        <v>0</v>
      </c>
      <c r="P9" s="253">
        <f>IFERROR(HLOOKUP($Q$2,'Eastfork Actual'!$J$50:$U$51,2,0)/P5,0)</f>
        <v>0</v>
      </c>
      <c r="Q9" s="253">
        <f>IFERROR(HLOOKUP($Q$2,'Eastfork Budget'!$J$50:$U$51,2,0)/Q5,0)</f>
        <v>0</v>
      </c>
      <c r="R9" s="253">
        <f>HLOOKUP($Q$2,'Eastfork Actual'!$J$50:$U$51,2,0)</f>
        <v>0</v>
      </c>
      <c r="S9" s="253">
        <f>HLOOKUP($Q$2,'Eastfork Budget'!$J$50:$U$51,2,0)</f>
        <v>0</v>
      </c>
      <c r="T9">
        <v>8</v>
      </c>
      <c r="U9" t="s">
        <v>187</v>
      </c>
      <c r="V9" s="249">
        <v>45870</v>
      </c>
    </row>
    <row r="10" spans="1:22" x14ac:dyDescent="0.25">
      <c r="E10" s="220"/>
      <c r="F10" s="151"/>
      <c r="H10" s="234"/>
      <c r="I10" s="183"/>
      <c r="J10" s="185"/>
      <c r="L10" s="444" t="s">
        <v>34</v>
      </c>
      <c r="M10" s="189">
        <f>$S$5*'Eastfork Budget'!C25</f>
        <v>0</v>
      </c>
      <c r="P10" s="252"/>
      <c r="Q10" s="252"/>
      <c r="R10" s="252"/>
      <c r="S10" s="252"/>
      <c r="T10">
        <v>9</v>
      </c>
      <c r="U10" t="s">
        <v>188</v>
      </c>
      <c r="V10" s="249">
        <v>45901</v>
      </c>
    </row>
    <row r="11" spans="1:22" x14ac:dyDescent="0.25">
      <c r="B11" s="170" t="s">
        <v>139</v>
      </c>
      <c r="C11" s="170"/>
      <c r="D11" s="171" t="s">
        <v>140</v>
      </c>
      <c r="E11" s="219" t="e">
        <f>HLOOKUP($E$2,'Eastfork Actual'!$J$55:$U$78,24,0)/E5</f>
        <v>#DIV/0!</v>
      </c>
      <c r="F11" s="218" t="e">
        <f>HLOOKUP($E$2,'Eastfork Budget'!$J$55:$U$78,24,0)/F5</f>
        <v>#DIV/0!</v>
      </c>
      <c r="G11" s="176" t="e">
        <f>F11-E11</f>
        <v>#DIV/0!</v>
      </c>
      <c r="H11" s="235" t="e">
        <f>SUMIFS('Eastfork Actual'!$J$78:$U$78,'Eastfork Actual'!$J$55:$U$55,"&lt;="&amp;Summary_1!$E$2)/H5</f>
        <v>#DIV/0!</v>
      </c>
      <c r="I11" s="179" t="e">
        <f>SUMIFS('Eastfork Budget'!$J$78:$U$78,'Eastfork Budget'!$J$55:$U$55,"&lt;="&amp;Summary_1!$E$2)/I5</f>
        <v>#DIV/0!</v>
      </c>
      <c r="J11" s="187" t="e">
        <f>I11-H11</f>
        <v>#DIV/0!</v>
      </c>
      <c r="L11" s="444" t="s">
        <v>37</v>
      </c>
      <c r="M11" s="189">
        <f>$S$5*'Eastfork Budget'!C26</f>
        <v>0</v>
      </c>
      <c r="P11" s="253">
        <f>IFERROR(HLOOKUP($Q$2,'Eastfork Actual'!$J$55:$U$78,24,0)/P5,0)</f>
        <v>0</v>
      </c>
      <c r="Q11" s="253">
        <f>IFERROR(HLOOKUP($Q$2,'Eastfork Budget'!$J$55:$U$78,24,0)/Q5,0)</f>
        <v>0</v>
      </c>
      <c r="R11" s="253">
        <f>HLOOKUP($Q$2,'Eastfork Actual'!$J$55:$U$78,24,0)</f>
        <v>0</v>
      </c>
      <c r="S11" s="253">
        <f>HLOOKUP($Q$2,'Eastfork Budget'!$J$55:$U$78,24,0)</f>
        <v>0</v>
      </c>
      <c r="T11">
        <v>10</v>
      </c>
      <c r="U11" t="s">
        <v>189</v>
      </c>
      <c r="V11" s="249">
        <v>45931</v>
      </c>
    </row>
    <row r="12" spans="1:22" x14ac:dyDescent="0.25">
      <c r="E12" s="220"/>
      <c r="F12" s="373"/>
      <c r="H12" s="234"/>
      <c r="I12" s="183"/>
      <c r="J12" s="185"/>
      <c r="L12" s="444" t="s">
        <v>174</v>
      </c>
      <c r="M12" s="189">
        <f>$S$5*'Eastfork Budget'!C27</f>
        <v>0</v>
      </c>
      <c r="P12" s="252"/>
      <c r="Q12" s="252"/>
      <c r="R12" s="252"/>
      <c r="S12" s="252"/>
      <c r="T12">
        <v>11</v>
      </c>
      <c r="U12" t="s">
        <v>190</v>
      </c>
      <c r="V12" s="249">
        <v>45962</v>
      </c>
    </row>
    <row r="13" spans="1:22" x14ac:dyDescent="0.25">
      <c r="B13" s="157" t="s">
        <v>52</v>
      </c>
      <c r="C13" s="157" t="s">
        <v>53</v>
      </c>
      <c r="E13" s="220" t="e">
        <f>HLOOKUP($E$2,'Eastfork Actual'!$J$81:$U$105,2,0)/$E$5</f>
        <v>#DIV/0!</v>
      </c>
      <c r="F13" s="221" t="e">
        <f>HLOOKUP($E$2,'Eastfork Budget'!$J$81:$U$105,2,0)/$F$5</f>
        <v>#DIV/0!</v>
      </c>
      <c r="G13" s="188" t="e">
        <f>F13-E13</f>
        <v>#DIV/0!</v>
      </c>
      <c r="H13" s="234" t="e">
        <f>SUMIFS('Eastfork Actual'!$J$82:$U$82,'Eastfork Actual'!$J$81:$U$81,"&lt;="&amp;Summary_1!$E$2)/H5</f>
        <v>#DIV/0!</v>
      </c>
      <c r="I13" s="183" t="e">
        <f>SUMIFS('Eastfork Budget'!$J$82:$U$82,'Eastfork Budget'!$J$81:$U$81,"&lt;="&amp;Summary_1!$E$2)/I5</f>
        <v>#DIV/0!</v>
      </c>
      <c r="J13" s="189" t="e">
        <f>I13-H13</f>
        <v>#DIV/0!</v>
      </c>
      <c r="L13" s="444" t="s">
        <v>202</v>
      </c>
      <c r="M13" s="189">
        <f>$S$5*'Eastfork Budget'!C28</f>
        <v>0</v>
      </c>
      <c r="P13" s="252">
        <f>IFERROR(HLOOKUP($Q$2,'Eastfork Actual'!$J$81:$U$105,2,0)/$P$5,0)</f>
        <v>0</v>
      </c>
      <c r="Q13" s="252">
        <f>IFERROR(HLOOKUP($Q$2,'Eastfork Budget'!$J$81:$U$105,2,0)/$Q$5,0)</f>
        <v>0</v>
      </c>
      <c r="R13" s="252">
        <f>HLOOKUP($Q$2,'Eastfork Actual'!$J$81:$U$105,2,0)</f>
        <v>0</v>
      </c>
      <c r="S13" s="252">
        <f>HLOOKUP($Q$2,'Eastfork Budget'!$J$81:$U$105,2,0)</f>
        <v>0</v>
      </c>
      <c r="T13">
        <v>12</v>
      </c>
      <c r="U13" t="s">
        <v>191</v>
      </c>
      <c r="V13" s="249">
        <v>45992</v>
      </c>
    </row>
    <row r="14" spans="1:22" x14ac:dyDescent="0.25">
      <c r="B14" s="157" t="s">
        <v>227</v>
      </c>
      <c r="C14" s="157" t="s">
        <v>53</v>
      </c>
      <c r="E14" s="220" t="e">
        <f>HLOOKUP($E$2,'Eastfork Actual'!$J$81:$U$105,3,0)/$E$5</f>
        <v>#DIV/0!</v>
      </c>
      <c r="F14" s="221" t="e">
        <f>HLOOKUP($E$2,'Eastfork Budget'!$J$81:$U$105,3,0)/$F$5</f>
        <v>#DIV/0!</v>
      </c>
      <c r="G14" s="188" t="e">
        <f t="shared" ref="G14:G20" si="0">F14-E14</f>
        <v>#DIV/0!</v>
      </c>
      <c r="H14" s="234" t="e">
        <f>SUMIFS('Eastfork Actual'!$J$83:$U$83,'Eastfork Actual'!$J$81:$U$81,"&lt;="&amp;Summary_1!$E$2)/H5</f>
        <v>#DIV/0!</v>
      </c>
      <c r="I14" s="183" t="e">
        <f>SUMIFS('Eastfork Budget'!$J$83:$U$83,'Eastfork Budget'!$J$81:$U$81,"&lt;="&amp;Summary_1!$E$2)/I5</f>
        <v>#DIV/0!</v>
      </c>
      <c r="J14" s="189" t="e">
        <f t="shared" ref="J14:J20" si="1">I14-H14</f>
        <v>#DIV/0!</v>
      </c>
      <c r="L14" s="444" t="s">
        <v>175</v>
      </c>
      <c r="M14" s="189">
        <f>$S$5*'Eastfork Budget'!C29</f>
        <v>0</v>
      </c>
      <c r="P14" s="252">
        <f>IFERROR(HLOOKUP($Q$2,'Eastfork Actual'!$J$81:$U$105,3,0)/$P$5,0)</f>
        <v>0</v>
      </c>
      <c r="Q14" s="252">
        <f>IFERROR(HLOOKUP($Q$2,'Eastfork Budget'!$J$81:$U$105,3,0)/$Q$5,0)</f>
        <v>0</v>
      </c>
      <c r="R14" s="252">
        <f>HLOOKUP($Q$2,'Eastfork Actual'!$J$81:$U$105,3,0)</f>
        <v>0</v>
      </c>
      <c r="S14" s="252">
        <f>HLOOKUP($Q$2,'Eastfork Budget'!$J$81:$U$105,3,0)</f>
        <v>0</v>
      </c>
    </row>
    <row r="15" spans="1:22" x14ac:dyDescent="0.25">
      <c r="B15" s="157" t="s">
        <v>54</v>
      </c>
      <c r="C15" s="157" t="s">
        <v>53</v>
      </c>
      <c r="E15" s="220" t="e">
        <f>HLOOKUP($E$2,'Eastfork Actual'!$J$81:$U$105,4,0)/$E$5</f>
        <v>#DIV/0!</v>
      </c>
      <c r="F15" s="221" t="e">
        <f>HLOOKUP($E$2,'Eastfork Budget'!$J$81:$U$105,4,0)/$F$5</f>
        <v>#DIV/0!</v>
      </c>
      <c r="G15" s="188" t="e">
        <f t="shared" si="0"/>
        <v>#DIV/0!</v>
      </c>
      <c r="H15" s="234" t="e">
        <f>SUMIFS('Eastfork Actual'!$J$84:$U$84,'Eastfork Actual'!$J$81:$U$81,"&lt;="&amp;Summary_1!$E$2)/H5</f>
        <v>#DIV/0!</v>
      </c>
      <c r="I15" s="183" t="e">
        <f>SUMIFS('Eastfork Budget'!$J$84:$U$84,'Eastfork Budget'!$J$81:$U$81,"&lt;="&amp;Summary_1!$E$2)/I5</f>
        <v>#DIV/0!</v>
      </c>
      <c r="J15" s="189" t="e">
        <f t="shared" si="1"/>
        <v>#DIV/0!</v>
      </c>
      <c r="L15" s="444" t="s">
        <v>176</v>
      </c>
      <c r="M15" s="189">
        <f>$S$5*'Eastfork Budget'!C30</f>
        <v>0</v>
      </c>
      <c r="P15" s="252">
        <f>IFERROR(HLOOKUP($Q$2,'Eastfork Actual'!$J$81:$U$105,4,0)/$P$5,0)</f>
        <v>0</v>
      </c>
      <c r="Q15" s="252">
        <f>IFERROR(HLOOKUP($Q$2,'Eastfork Budget'!$J$81:$U$105,4,0)/$Q$5,0)</f>
        <v>0</v>
      </c>
      <c r="R15" s="252">
        <f>HLOOKUP($Q$2,'Eastfork Actual'!$J$81:$U$105,4,0)</f>
        <v>0</v>
      </c>
      <c r="S15" s="252">
        <f>HLOOKUP($Q$2,'Eastfork Budget'!$J$81:$U$105,4,0)</f>
        <v>0</v>
      </c>
    </row>
    <row r="16" spans="1:22" x14ac:dyDescent="0.25">
      <c r="B16" s="157" t="s">
        <v>55</v>
      </c>
      <c r="C16" s="157" t="s">
        <v>53</v>
      </c>
      <c r="E16" s="220" t="e">
        <f>HLOOKUP($E$2,'Eastfork Actual'!$J$81:$U$105,5,0)/$E$5</f>
        <v>#DIV/0!</v>
      </c>
      <c r="F16" s="221" t="e">
        <f>HLOOKUP($E$2,'Eastfork Budget'!$J$81:$U$105,5,0)/$F$5</f>
        <v>#DIV/0!</v>
      </c>
      <c r="G16" s="188" t="e">
        <f t="shared" si="0"/>
        <v>#DIV/0!</v>
      </c>
      <c r="H16" s="234" t="e">
        <f>SUMIFS('Eastfork Actual'!$J$85:$U$85,'Eastfork Actual'!$J$81:$U$81,"&lt;="&amp;Summary_1!$E$2)/H5</f>
        <v>#DIV/0!</v>
      </c>
      <c r="I16" s="183" t="e">
        <f>SUMIFS('Eastfork Budget'!$J$85:$U$85,'Eastfork Budget'!$J$81:$U$81,"&lt;="&amp;Summary_1!$E$2)/I5</f>
        <v>#DIV/0!</v>
      </c>
      <c r="J16" s="189" t="e">
        <f t="shared" si="1"/>
        <v>#DIV/0!</v>
      </c>
      <c r="L16" s="444" t="s">
        <v>23</v>
      </c>
      <c r="M16" s="189">
        <f>$S$5*'Eastfork Budget'!C31</f>
        <v>0</v>
      </c>
      <c r="P16" s="252">
        <f>IFERROR(HLOOKUP($Q$2,'Eastfork Actual'!$J$81:$U$105,5,0)/$P$5,0)</f>
        <v>0</v>
      </c>
      <c r="Q16" s="252">
        <f>IFERROR(HLOOKUP($Q$2,'Eastfork Budget'!$J$81:$U$105,5,0)/$Q$5,0)</f>
        <v>0</v>
      </c>
      <c r="R16" s="252">
        <f>HLOOKUP($Q$2,'Eastfork Actual'!$J$81:$U$105,5,0)</f>
        <v>0</v>
      </c>
      <c r="S16" s="252">
        <f>HLOOKUP($Q$2,'Eastfork Budget'!$J$81:$U$105,5,0)</f>
        <v>0</v>
      </c>
    </row>
    <row r="17" spans="2:19" x14ac:dyDescent="0.25">
      <c r="B17" s="157" t="s">
        <v>228</v>
      </c>
      <c r="C17" s="157" t="s">
        <v>53</v>
      </c>
      <c r="E17" s="220" t="e">
        <f>HLOOKUP($E$2,'Eastfork Actual'!$J$81:$U$105,6,0)/$E$5</f>
        <v>#DIV/0!</v>
      </c>
      <c r="F17" s="221" t="e">
        <f>HLOOKUP($E$2,'Eastfork Budget'!$J$81:$U$105,6,0)/$F$5</f>
        <v>#DIV/0!</v>
      </c>
      <c r="G17" s="188" t="e">
        <f t="shared" si="0"/>
        <v>#DIV/0!</v>
      </c>
      <c r="H17" s="234" t="e">
        <f>SUMIFS('Eastfork Actual'!$J$86:$U$86,'Eastfork Actual'!$J$81:$U$81,"&lt;="&amp;Summary_1!$E$2)/H5</f>
        <v>#DIV/0!</v>
      </c>
      <c r="I17" s="183" t="e">
        <f>SUMIFS('Eastfork Budget'!$J$86:$U$86,'Eastfork Budget'!$J$81:$U$81,"&lt;="&amp;Summary_1!$E$2)/I5</f>
        <v>#DIV/0!</v>
      </c>
      <c r="J17" s="189" t="e">
        <f t="shared" si="1"/>
        <v>#DIV/0!</v>
      </c>
      <c r="L17" s="444" t="s">
        <v>24</v>
      </c>
      <c r="M17" s="189">
        <f>$S$5*'Eastfork Budget'!C32</f>
        <v>0</v>
      </c>
      <c r="P17" s="252">
        <f>IFERROR(HLOOKUP($Q$2,'Eastfork Actual'!$J$81:$U$105,6,0)/$P$5,0)</f>
        <v>0</v>
      </c>
      <c r="Q17" s="252">
        <f>IFERROR(HLOOKUP($Q$2,'Eastfork Budget'!$J$81:$U$105,6,0)/$Q$5,0)</f>
        <v>0</v>
      </c>
      <c r="R17" s="252">
        <f>HLOOKUP($Q$2,'Eastfork Actual'!$J$81:$U$105,6,0)</f>
        <v>0</v>
      </c>
      <c r="S17" s="252">
        <f>HLOOKUP($Q$2,'Eastfork Budget'!$J$81:$U$105,6,0)</f>
        <v>0</v>
      </c>
    </row>
    <row r="18" spans="2:19" x14ac:dyDescent="0.25">
      <c r="B18" s="157" t="s">
        <v>56</v>
      </c>
      <c r="C18" s="157" t="s">
        <v>53</v>
      </c>
      <c r="E18" s="220" t="e">
        <f>HLOOKUP($E$2,'Eastfork Actual'!$J$81:$U$105,7,0)/$E$5</f>
        <v>#DIV/0!</v>
      </c>
      <c r="F18" s="221" t="e">
        <f>HLOOKUP($E$2,'Eastfork Budget'!$J$81:$U$105,7,0)/$F$5</f>
        <v>#DIV/0!</v>
      </c>
      <c r="G18" s="188" t="e">
        <f t="shared" si="0"/>
        <v>#DIV/0!</v>
      </c>
      <c r="H18" s="234" t="e">
        <f>SUMIFS('Eastfork Actual'!$J$87:$U$87,'Eastfork Actual'!$J$81:$U$81,"&lt;="&amp;Summary_1!$E$2)/H5</f>
        <v>#DIV/0!</v>
      </c>
      <c r="I18" s="183" t="e">
        <f>SUMIFS('Eastfork Budget'!$J$87:$U$87,'Eastfork Budget'!$J$81:$U$81,"&lt;="&amp;Summary_1!$E$2)/I5</f>
        <v>#DIV/0!</v>
      </c>
      <c r="J18" s="189" t="e">
        <f t="shared" si="1"/>
        <v>#DIV/0!</v>
      </c>
      <c r="L18" s="444" t="s">
        <v>26</v>
      </c>
      <c r="M18" s="189">
        <f>$S$5*'Eastfork Budget'!C33</f>
        <v>0</v>
      </c>
      <c r="P18" s="252">
        <f>IFERROR(HLOOKUP($Q$2,'Eastfork Actual'!$J$81:$U$105,7,0)/$P$5,0)</f>
        <v>0</v>
      </c>
      <c r="Q18" s="252">
        <f>IFERROR(HLOOKUP($Q$2,'Eastfork Budget'!$J$81:$U$105,7,0)/$Q$5,0)</f>
        <v>0</v>
      </c>
      <c r="R18" s="252">
        <f>HLOOKUP($Q$2,'Eastfork Actual'!$J$81:$U$105,7,0)</f>
        <v>0</v>
      </c>
      <c r="S18" s="252">
        <f>HLOOKUP($Q$2,'Eastfork Budget'!$J$81:$U$105,7,0)</f>
        <v>0</v>
      </c>
    </row>
    <row r="19" spans="2:19" x14ac:dyDescent="0.25">
      <c r="B19" s="157" t="s">
        <v>57</v>
      </c>
      <c r="C19" s="157" t="s">
        <v>53</v>
      </c>
      <c r="E19" s="220" t="e">
        <f>HLOOKUP($E$2,'Eastfork Actual'!$J$81:$U$105,8,0)/$E$5</f>
        <v>#DIV/0!</v>
      </c>
      <c r="F19" s="221" t="e">
        <f>HLOOKUP($E$2,'Eastfork Budget'!$J$81:$U$105,8,0)/$F$5</f>
        <v>#DIV/0!</v>
      </c>
      <c r="G19" s="188" t="e">
        <f t="shared" si="0"/>
        <v>#DIV/0!</v>
      </c>
      <c r="H19" s="234" t="e">
        <f>SUMIFS('Eastfork Actual'!$J$88:$U$88,'Eastfork Actual'!$J$81:$U$81,"&lt;="&amp;Summary_1!$E$2)/H5</f>
        <v>#DIV/0!</v>
      </c>
      <c r="I19" s="183" t="e">
        <f>SUMIFS('Eastfork Budget'!$J$88:$U$88,'Eastfork Budget'!$J$81:$U$81,"&lt;="&amp;Summary_1!$E$2)/I5</f>
        <v>#DIV/0!</v>
      </c>
      <c r="J19" s="189" t="e">
        <f t="shared" si="1"/>
        <v>#DIV/0!</v>
      </c>
      <c r="L19" s="444" t="s">
        <v>27</v>
      </c>
      <c r="M19" s="189">
        <f>$S$5*'Eastfork Budget'!C34</f>
        <v>0</v>
      </c>
      <c r="P19" s="252">
        <f>IFERROR(HLOOKUP($Q$2,'Eastfork Actual'!$J$81:$U$105,8,0)/$P$5,0)</f>
        <v>0</v>
      </c>
      <c r="Q19" s="252">
        <f>IFERROR(HLOOKUP($Q$2,'Eastfork Budget'!$J$81:$U$105,8,0)/$Q$5,0)</f>
        <v>0</v>
      </c>
      <c r="R19" s="252">
        <f>HLOOKUP($Q$2,'Eastfork Actual'!$J$81:$U$105,8,0)</f>
        <v>0</v>
      </c>
      <c r="S19" s="252">
        <f>HLOOKUP($Q$2,'Eastfork Budget'!$J$81:$U$105,8,0)</f>
        <v>0</v>
      </c>
    </row>
    <row r="20" spans="2:19" x14ac:dyDescent="0.25">
      <c r="B20" s="172" t="s">
        <v>229</v>
      </c>
      <c r="C20" s="172" t="s">
        <v>53</v>
      </c>
      <c r="D20" s="171"/>
      <c r="E20" s="219" t="e">
        <f>HLOOKUP($E$2,'Eastfork Actual'!$J$81:$U$105,9,0)/$E$5</f>
        <v>#DIV/0!</v>
      </c>
      <c r="F20" s="218" t="e">
        <f>HLOOKUP($E$2,'Eastfork Budget'!$J$81:$U$105,9,0)/$F$5</f>
        <v>#DIV/0!</v>
      </c>
      <c r="G20" s="176" t="e">
        <f t="shared" si="0"/>
        <v>#DIV/0!</v>
      </c>
      <c r="H20" s="235" t="e">
        <f>SUMIFS('Eastfork Actual'!$J$89:$U$89,'Eastfork Actual'!$J$81:$U$81,"&lt;="&amp;Summary_1!$E$2)/H5</f>
        <v>#DIV/0!</v>
      </c>
      <c r="I20" s="179" t="e">
        <f>SUMIFS('Eastfork Budget'!$J$89:$U$89,'Eastfork Budget'!$J$81:$U$81,"&lt;="&amp;Summary_1!$E$2)/I5</f>
        <v>#DIV/0!</v>
      </c>
      <c r="J20" s="187" t="e">
        <f t="shared" si="1"/>
        <v>#DIV/0!</v>
      </c>
      <c r="L20" s="444" t="s">
        <v>29</v>
      </c>
      <c r="M20" s="189">
        <f>$S$5*'Eastfork Budget'!C35</f>
        <v>0</v>
      </c>
      <c r="P20" s="253">
        <f>IFERROR(HLOOKUP($Q$2,'Eastfork Actual'!$J$81:$U$105,9,0)/$P$5,0)</f>
        <v>0</v>
      </c>
      <c r="Q20" s="253">
        <f>IFERROR(HLOOKUP($Q$2,'Eastfork Budget'!$J$81:$U$105,9,0)/$Q$5,0)</f>
        <v>0</v>
      </c>
      <c r="R20" s="253">
        <f>HLOOKUP($Q$2,'Eastfork Actual'!$J$81:$U$105,9,0)</f>
        <v>0</v>
      </c>
      <c r="S20" s="253">
        <f>HLOOKUP($Q$2,'Eastfork Budget'!$J$81:$U$105,9,0)</f>
        <v>0</v>
      </c>
    </row>
    <row r="21" spans="2:19" x14ac:dyDescent="0.25">
      <c r="B21" s="169" t="s">
        <v>141</v>
      </c>
      <c r="C21" s="169" t="s">
        <v>53</v>
      </c>
      <c r="D21" s="158" t="s">
        <v>142</v>
      </c>
      <c r="E21" s="220" t="e">
        <f t="shared" ref="E21:J21" si="2">SUM(E13:E20)</f>
        <v>#DIV/0!</v>
      </c>
      <c r="F21" s="221" t="e">
        <f t="shared" si="2"/>
        <v>#DIV/0!</v>
      </c>
      <c r="G21" s="188" t="e">
        <f t="shared" si="2"/>
        <v>#DIV/0!</v>
      </c>
      <c r="H21" s="234" t="e">
        <f t="shared" si="2"/>
        <v>#DIV/0!</v>
      </c>
      <c r="I21" s="183" t="e">
        <f t="shared" si="2"/>
        <v>#DIV/0!</v>
      </c>
      <c r="J21" s="189" t="e">
        <f t="shared" si="2"/>
        <v>#DIV/0!</v>
      </c>
      <c r="L21" s="444" t="s">
        <v>28</v>
      </c>
      <c r="M21" s="189">
        <f>$S$5*'Eastfork Budget'!C36</f>
        <v>0</v>
      </c>
      <c r="P21" s="252">
        <f>SUM(P13:P20)</f>
        <v>0</v>
      </c>
      <c r="Q21" s="252">
        <f>SUM(Q13:Q20)</f>
        <v>0</v>
      </c>
      <c r="R21" s="252">
        <f>SUM(R13:R20)</f>
        <v>0</v>
      </c>
      <c r="S21" s="252">
        <f>SUM(S13:S20)</f>
        <v>0</v>
      </c>
    </row>
    <row r="22" spans="2:19" x14ac:dyDescent="0.25">
      <c r="E22" s="220"/>
      <c r="F22" s="373"/>
      <c r="H22" s="234"/>
      <c r="I22" s="183"/>
      <c r="J22" s="185"/>
      <c r="L22" s="444" t="s">
        <v>31</v>
      </c>
      <c r="M22" s="189">
        <f>$S$5*'Eastfork Budget'!C37</f>
        <v>0</v>
      </c>
      <c r="P22" s="252"/>
      <c r="Q22" s="252"/>
      <c r="R22" s="252"/>
      <c r="S22" s="252"/>
    </row>
    <row r="23" spans="2:19" x14ac:dyDescent="0.25">
      <c r="B23" s="329" t="s">
        <v>238</v>
      </c>
      <c r="C23" s="157" t="s">
        <v>59</v>
      </c>
      <c r="E23" s="220" t="e">
        <f>HLOOKUP($E$2,'Eastfork Actual'!$J$81:$U$105,10,0)/$E$5</f>
        <v>#DIV/0!</v>
      </c>
      <c r="F23" s="221" t="e">
        <f>HLOOKUP($E$2,'Eastfork Budget'!$J$81:$U$105,10,0)/$F$5</f>
        <v>#DIV/0!</v>
      </c>
      <c r="G23" s="188" t="e">
        <f t="shared" ref="G23:G28" si="3">F23-E23</f>
        <v>#DIV/0!</v>
      </c>
      <c r="H23" s="234" t="e">
        <f>SUMIFS('Eastfork Actual'!$J$90:$U$90,'Eastfork Actual'!$J$81:$U$81,"&lt;="&amp;Summary_1!$E$2)/H5</f>
        <v>#DIV/0!</v>
      </c>
      <c r="I23" s="183" t="e">
        <f>SUMIFS('Eastfork Budget'!$J$90:$U$90,'Eastfork Budget'!$J$81:$U$81,"&lt;="&amp;Summary_1!$E$2)/I5</f>
        <v>#DIV/0!</v>
      </c>
      <c r="J23" s="189" t="e">
        <f t="shared" ref="J23:J28" si="4">I23-H23</f>
        <v>#DIV/0!</v>
      </c>
      <c r="L23" s="444" t="s">
        <v>32</v>
      </c>
      <c r="M23" s="189">
        <f>$S$5*'Eastfork Budget'!C38</f>
        <v>0</v>
      </c>
      <c r="P23" s="252">
        <f>IFERROR(HLOOKUP($Q$2,'Eastfork Actual'!$J$81:$U$105,10,0)/$P$5,0)</f>
        <v>0</v>
      </c>
      <c r="Q23" s="252">
        <f>IFERROR(HLOOKUP($Q$2,'Eastfork Budget'!$J$81:$U$105,10,0)/$Q$5,0)</f>
        <v>0</v>
      </c>
      <c r="R23" s="252">
        <f>HLOOKUP($Q$2,'Eastfork Actual'!$J$81:$U$105,10,0)</f>
        <v>0</v>
      </c>
      <c r="S23" s="252">
        <f>HLOOKUP($Q$2,'Eastfork Budget'!$J$81:$U$105,10,0)</f>
        <v>0</v>
      </c>
    </row>
    <row r="24" spans="2:19" x14ac:dyDescent="0.25">
      <c r="B24" s="329" t="s">
        <v>225</v>
      </c>
      <c r="C24" s="157" t="s">
        <v>59</v>
      </c>
      <c r="E24" s="220" t="e">
        <f>HLOOKUP($E$2,'Eastfork Actual'!$J$81:$U$105,11,0)/$E$5</f>
        <v>#DIV/0!</v>
      </c>
      <c r="F24" s="221" t="e">
        <f>HLOOKUP($E$2,'Eastfork Budget'!$J$81:$U$105,11,0)/$F$5</f>
        <v>#DIV/0!</v>
      </c>
      <c r="G24" s="188" t="e">
        <f t="shared" si="3"/>
        <v>#DIV/0!</v>
      </c>
      <c r="H24" s="234" t="e">
        <f>SUMIFS('Eastfork Actual'!$J$91:$U$91,'Eastfork Actual'!$J$81:$U$81,"&lt;="&amp;Summary_1!$E$2)/H5</f>
        <v>#DIV/0!</v>
      </c>
      <c r="I24" s="183" t="e">
        <f>SUMIFS('Eastfork Budget'!$J$91:$U$91,'Eastfork Budget'!$J$81:$U$81,"&lt;="&amp;Summary_1!$E$2)/I5</f>
        <v>#DIV/0!</v>
      </c>
      <c r="J24" s="189" t="e">
        <f t="shared" si="4"/>
        <v>#DIV/0!</v>
      </c>
      <c r="L24" s="444" t="s">
        <v>33</v>
      </c>
      <c r="M24" s="189">
        <f>$S$5*'Eastfork Budget'!C39</f>
        <v>0</v>
      </c>
      <c r="P24" s="252">
        <f>IFERROR(HLOOKUP($Q$2,'Eastfork Actual'!$J$81:$U$105,11,0)/$P$5,0)</f>
        <v>0</v>
      </c>
      <c r="Q24" s="252">
        <f>IFERROR(HLOOKUP($Q$2,'Eastfork Budget'!$J$81:$U$105,11,0)/$Q$5,0)</f>
        <v>0</v>
      </c>
      <c r="R24" s="252">
        <f>HLOOKUP($Q$2,'Eastfork Actual'!$J$81:$U$105,11,0)</f>
        <v>0</v>
      </c>
      <c r="S24" s="252">
        <f>HLOOKUP($Q$2,'Eastfork Budget'!$J$81:$U$105,11,0)</f>
        <v>0</v>
      </c>
    </row>
    <row r="25" spans="2:19" x14ac:dyDescent="0.25">
      <c r="B25" s="329" t="s">
        <v>226</v>
      </c>
      <c r="C25" s="157" t="s">
        <v>59</v>
      </c>
      <c r="E25" s="220" t="e">
        <f>HLOOKUP($E$2,'Eastfork Actual'!$J$81:$U$105,12,0)/$E$5</f>
        <v>#DIV/0!</v>
      </c>
      <c r="F25" s="221" t="e">
        <f>HLOOKUP($E$2,'Eastfork Budget'!$J$81:$U$105,12,0)/$F$5</f>
        <v>#DIV/0!</v>
      </c>
      <c r="G25" s="188" t="e">
        <f t="shared" si="3"/>
        <v>#DIV/0!</v>
      </c>
      <c r="H25" s="234" t="e">
        <f>SUMIFS('Eastfork Actual'!$J$92:$U$92,'Eastfork Actual'!$J$81:$U$81,"&lt;="&amp;Summary_1!$E$2)/H5</f>
        <v>#DIV/0!</v>
      </c>
      <c r="I25" s="183" t="e">
        <f>SUMIFS('Eastfork Budget'!$J$92:$U$92,'Eastfork Budget'!$J$81:$U$81,"&lt;="&amp;Summary_1!$E$2)/I5</f>
        <v>#DIV/0!</v>
      </c>
      <c r="J25" s="189" t="e">
        <f t="shared" si="4"/>
        <v>#DIV/0!</v>
      </c>
      <c r="L25" s="444" t="s">
        <v>35</v>
      </c>
      <c r="M25" s="189">
        <f>$S$5*'Eastfork Budget'!C40</f>
        <v>0</v>
      </c>
      <c r="P25" s="252">
        <f>IFERROR(HLOOKUP($Q$2,'Eastfork Actual'!$J$81:$U$105,12,0)/$P$5,0)</f>
        <v>0</v>
      </c>
      <c r="Q25" s="252">
        <f>IFERROR(HLOOKUP($Q$2,'Eastfork Budget'!$J$81:$U$105,12,0)/$Q$5,0)</f>
        <v>0</v>
      </c>
      <c r="R25" s="252">
        <f>HLOOKUP($Q$2,'Eastfork Actual'!$J$81:$U$105,12,0)</f>
        <v>0</v>
      </c>
      <c r="S25" s="252">
        <f>HLOOKUP($Q$2,'Eastfork Budget'!$J$81:$U$105,12,0)</f>
        <v>0</v>
      </c>
    </row>
    <row r="26" spans="2:19" ht="15.75" thickBot="1" x14ac:dyDescent="0.3">
      <c r="B26" s="329" t="s">
        <v>205</v>
      </c>
      <c r="C26" s="157" t="s">
        <v>59</v>
      </c>
      <c r="E26" s="220" t="e">
        <f>HLOOKUP($E$2,'Eastfork Actual'!$J$81:$U$105,13,0)/$E$5</f>
        <v>#DIV/0!</v>
      </c>
      <c r="F26" s="221" t="e">
        <f>HLOOKUP($E$2,'Eastfork Budget'!$J$81:$U$105,13,0)/$F$5</f>
        <v>#DIV/0!</v>
      </c>
      <c r="G26" s="188" t="e">
        <f t="shared" si="3"/>
        <v>#DIV/0!</v>
      </c>
      <c r="H26" s="234" t="e">
        <f>SUMIFS('Eastfork Actual'!$J$93:$U$93,'Eastfork Actual'!$J$81:$U$81,"&lt;="&amp;Summary_1!$E$2)/H5</f>
        <v>#DIV/0!</v>
      </c>
      <c r="I26" s="183" t="e">
        <f>SUMIFS('Eastfork Budget'!$J$93:$U$93,'Eastfork Budget'!$J$81:$U$81,"&lt;="&amp;Summary_1!$E$2)/I5</f>
        <v>#DIV/0!</v>
      </c>
      <c r="J26" s="189" t="e">
        <f t="shared" si="4"/>
        <v>#DIV/0!</v>
      </c>
      <c r="L26" s="445" t="s">
        <v>36</v>
      </c>
      <c r="M26" s="446">
        <f>$S$5*'Eastfork Budget'!C41</f>
        <v>0</v>
      </c>
      <c r="P26" s="252">
        <f>IFERROR(HLOOKUP($Q$2,'Eastfork Actual'!$J$81:$U$105,13,0)/$P$5,0)</f>
        <v>0</v>
      </c>
      <c r="Q26" s="252">
        <f>IFERROR(HLOOKUP($Q$2,'Eastfork Budget'!$J$81:$U$105,13,0)/$Q$5,0)</f>
        <v>0</v>
      </c>
      <c r="R26" s="252">
        <f>HLOOKUP($Q$2,'Eastfork Actual'!$J$81:$U$105,13,0)</f>
        <v>0</v>
      </c>
      <c r="S26" s="252">
        <f>HLOOKUP($Q$2,'Eastfork Budget'!$J$81:$U$105,13,0)</f>
        <v>0</v>
      </c>
    </row>
    <row r="27" spans="2:19" x14ac:dyDescent="0.25">
      <c r="B27" s="329" t="s">
        <v>60</v>
      </c>
      <c r="C27" s="157" t="s">
        <v>59</v>
      </c>
      <c r="E27" s="220" t="e">
        <f>HLOOKUP($E$2,'Eastfork Actual'!$J$81:$U$105,14,0)/$E$5</f>
        <v>#DIV/0!</v>
      </c>
      <c r="F27" s="221" t="e">
        <f>HLOOKUP($E$2,'Eastfork Budget'!$J$81:$U$105,14,0)/$F$5</f>
        <v>#DIV/0!</v>
      </c>
      <c r="G27" s="188" t="e">
        <f t="shared" si="3"/>
        <v>#DIV/0!</v>
      </c>
      <c r="H27" s="234" t="e">
        <f>SUMIFS('Eastfork Actual'!$J$94:$U$94,'Eastfork Actual'!$J$81:$U$81,"&lt;="&amp;Summary_1!$E$2)/H5</f>
        <v>#DIV/0!</v>
      </c>
      <c r="I27" s="183" t="e">
        <f>SUMIFS('Eastfork Budget'!$J$94:$U$94,'Eastfork Budget'!$J$81:$U$81,"&lt;="&amp;Summary_1!$E$2)/I5</f>
        <v>#DIV/0!</v>
      </c>
      <c r="J27" s="189" t="e">
        <f t="shared" si="4"/>
        <v>#DIV/0!</v>
      </c>
      <c r="P27" s="252">
        <f>IFERROR(HLOOKUP($Q$2,'Eastfork Actual'!$J$81:$U$105,14,0)/$P$5,0)</f>
        <v>0</v>
      </c>
      <c r="Q27" s="252">
        <f>IFERROR(HLOOKUP($Q$2,'Eastfork Budget'!$J$81:$U$105,14,0)/$Q$5,0)</f>
        <v>0</v>
      </c>
      <c r="R27" s="252">
        <f>HLOOKUP($Q$2,'Eastfork Actual'!$J$81:$U$105,14,0)</f>
        <v>0</v>
      </c>
      <c r="S27" s="252">
        <f>HLOOKUP($Q$2,'Eastfork Budget'!$J$81:$U$105,14,0)</f>
        <v>0</v>
      </c>
    </row>
    <row r="28" spans="2:19" x14ac:dyDescent="0.25">
      <c r="B28" s="329" t="s">
        <v>80</v>
      </c>
      <c r="C28" s="172" t="s">
        <v>59</v>
      </c>
      <c r="D28" s="171"/>
      <c r="E28" s="219" t="e">
        <f>HLOOKUP($E$2,'Eastfork Actual'!$J$81:$U$105,15,0)/$E$5</f>
        <v>#DIV/0!</v>
      </c>
      <c r="F28" s="218" t="e">
        <f>HLOOKUP($E$2,'Eastfork Budget'!$J$81:$U$105,15,0)/$F$5</f>
        <v>#DIV/0!</v>
      </c>
      <c r="G28" s="176" t="e">
        <f t="shared" si="3"/>
        <v>#DIV/0!</v>
      </c>
      <c r="H28" s="235" t="e">
        <f>SUMIFS('Eastfork Actual'!$J$95:$U$95,'Eastfork Actual'!$J$81:$U$81,"&lt;="&amp;Summary_1!$E$2)/H5</f>
        <v>#DIV/0!</v>
      </c>
      <c r="I28" s="179" t="e">
        <f>SUMIFS('Eastfork Budget'!$J$95:$U$95,'Eastfork Budget'!$J$81:$U$81,"&lt;="&amp;Summary_1!$E$2)/I5</f>
        <v>#DIV/0!</v>
      </c>
      <c r="J28" s="187" t="e">
        <f t="shared" si="4"/>
        <v>#DIV/0!</v>
      </c>
      <c r="P28" s="253">
        <f>IFERROR(HLOOKUP($Q$2,'Eastfork Actual'!$J$81:$U$105,15,0)/$P$5,0)</f>
        <v>0</v>
      </c>
      <c r="Q28" s="253">
        <f>IFERROR(HLOOKUP($Q$2,'Eastfork Budget'!$J$81:$U$105,15,0)/$Q$5,0)</f>
        <v>0</v>
      </c>
      <c r="R28" s="253">
        <f>HLOOKUP($Q$2,'Eastfork Actual'!$J$81:$U$105,15,0)</f>
        <v>0</v>
      </c>
      <c r="S28" s="253">
        <f>HLOOKUP($Q$2,'Eastfork Budget'!$J$81:$U$105,15,0)</f>
        <v>0</v>
      </c>
    </row>
    <row r="29" spans="2:19" x14ac:dyDescent="0.25">
      <c r="B29" s="169" t="s">
        <v>143</v>
      </c>
      <c r="C29" s="169" t="s">
        <v>59</v>
      </c>
      <c r="D29" s="158" t="s">
        <v>144</v>
      </c>
      <c r="E29" s="220" t="e">
        <f t="shared" ref="E29:J29" si="5">SUM(E23:E28)</f>
        <v>#DIV/0!</v>
      </c>
      <c r="F29" s="373" t="e">
        <f>SUM(F23:F28)</f>
        <v>#DIV/0!</v>
      </c>
      <c r="G29" s="188" t="e">
        <f t="shared" si="5"/>
        <v>#DIV/0!</v>
      </c>
      <c r="H29" s="234" t="e">
        <f t="shared" si="5"/>
        <v>#DIV/0!</v>
      </c>
      <c r="I29" s="183" t="e">
        <f>SUM(I23:I28)</f>
        <v>#DIV/0!</v>
      </c>
      <c r="J29" s="189" t="e">
        <f t="shared" si="5"/>
        <v>#DIV/0!</v>
      </c>
      <c r="P29" s="252">
        <f>SUM(P23:P28)</f>
        <v>0</v>
      </c>
      <c r="Q29" s="252">
        <f>SUM(Q23:Q28)</f>
        <v>0</v>
      </c>
      <c r="R29" s="252">
        <f>SUM(R23:R28)</f>
        <v>0</v>
      </c>
      <c r="S29" s="252">
        <f>SUM(S23:S28)</f>
        <v>0</v>
      </c>
    </row>
    <row r="30" spans="2:19" x14ac:dyDescent="0.25">
      <c r="C30" s="169"/>
      <c r="E30" s="220"/>
      <c r="F30" s="221"/>
      <c r="H30" s="234"/>
      <c r="I30" s="183"/>
      <c r="J30" s="185"/>
      <c r="M30" s="149" t="s">
        <v>253</v>
      </c>
      <c r="P30" s="252"/>
      <c r="Q30" s="252"/>
      <c r="R30" s="252"/>
      <c r="S30" s="252"/>
    </row>
    <row r="31" spans="2:19" x14ac:dyDescent="0.25">
      <c r="B31" s="157" t="s">
        <v>230</v>
      </c>
      <c r="C31" s="157" t="s">
        <v>61</v>
      </c>
      <c r="E31" s="220" t="e">
        <f>HLOOKUP($E$2,'Eastfork Actual'!$J$81:$U$105,16,0)/$E$5</f>
        <v>#DIV/0!</v>
      </c>
      <c r="F31" s="221" t="e">
        <f>HLOOKUP($E$2,'Eastfork Budget'!$J$81:$U$105,16,0)/$F$5</f>
        <v>#DIV/0!</v>
      </c>
      <c r="G31" s="188" t="e">
        <f>F31-E31</f>
        <v>#DIV/0!</v>
      </c>
      <c r="H31" s="234" t="e">
        <f>SUMIFS('Eastfork Actual'!$J$96:$U$96,'Eastfork Actual'!$J$81:$U$81,"&lt;="&amp;Summary_1!$E$2)/H5</f>
        <v>#DIV/0!</v>
      </c>
      <c r="I31" s="183" t="e">
        <f>SUMIFS('Eastfork Budget'!$J$96:$U$96,'Eastfork Budget'!$J$81:$U$81,"&lt;="&amp;Summary_1!$E$2)/I5</f>
        <v>#DIV/0!</v>
      </c>
      <c r="J31" s="189" t="e">
        <f>I31-H31</f>
        <v>#DIV/0!</v>
      </c>
      <c r="P31" s="252">
        <f>IFERROR(HLOOKUP($Q$2,'Eastfork Actual'!$J$81:$U$105,16,0)/$P$5,0)</f>
        <v>0</v>
      </c>
      <c r="Q31" s="252">
        <f>IFERROR(HLOOKUP($Q$2,'Eastfork Budget'!$J$81:$U$105,16,0)/$Q$5,0)</f>
        <v>0</v>
      </c>
      <c r="R31" s="252">
        <f>HLOOKUP($Q$2,'Eastfork Actual'!$J$81:$U$105,16,0)</f>
        <v>0</v>
      </c>
      <c r="S31" s="252">
        <f>HLOOKUP($Q$2,'Eastfork Budget'!$J$81:$U$105,16,0)</f>
        <v>0</v>
      </c>
    </row>
    <row r="32" spans="2:19" x14ac:dyDescent="0.25">
      <c r="B32" s="172" t="s">
        <v>231</v>
      </c>
      <c r="C32" s="172" t="s">
        <v>61</v>
      </c>
      <c r="D32" s="171"/>
      <c r="E32" s="219" t="e">
        <f>HLOOKUP($E$2,'Eastfork Actual'!$J$81:$U$105,17,0)/$E$5</f>
        <v>#DIV/0!</v>
      </c>
      <c r="F32" s="218" t="e">
        <f>HLOOKUP($E$2,'Eastfork Budget'!$J$81:$U$105,17,0)/$F$5</f>
        <v>#DIV/0!</v>
      </c>
      <c r="G32" s="176" t="e">
        <f>F32-E32</f>
        <v>#DIV/0!</v>
      </c>
      <c r="H32" s="235" t="e">
        <f>SUMIFS('Eastfork Actual'!$J$97:$U$97,'Eastfork Actual'!$J$81:$U$81,"&lt;="&amp;Summary_1!$E$2)/H5</f>
        <v>#DIV/0!</v>
      </c>
      <c r="I32" s="179" t="e">
        <f>SUMIFS('Eastfork Budget'!$J$97:$U$97,'Eastfork Budget'!$J$81:$U$81,"&lt;="&amp;Summary_1!$E$2)/I5</f>
        <v>#DIV/0!</v>
      </c>
      <c r="J32" s="187" t="e">
        <f>I32-H32</f>
        <v>#DIV/0!</v>
      </c>
      <c r="P32" s="253">
        <f>IFERROR(HLOOKUP($Q$2,'Eastfork Actual'!$J$81:$U$105,17,0)/$P$5,0)</f>
        <v>0</v>
      </c>
      <c r="Q32" s="253">
        <f>IFERROR(HLOOKUP($Q$2,'Eastfork Budget'!$J$81:$U$105,17,0)/$Q$5,0)</f>
        <v>0</v>
      </c>
      <c r="R32" s="253">
        <f>HLOOKUP($Q$2,'Eastfork Actual'!$J$81:$U$105,17,0)</f>
        <v>0</v>
      </c>
      <c r="S32" s="253">
        <f>HLOOKUP($Q$2,'Eastfork Budget'!$J$81:$U$105,17,0)</f>
        <v>0</v>
      </c>
    </row>
    <row r="33" spans="2:19" x14ac:dyDescent="0.25">
      <c r="B33" s="169" t="s">
        <v>145</v>
      </c>
      <c r="C33" s="169" t="s">
        <v>61</v>
      </c>
      <c r="D33" s="158" t="s">
        <v>146</v>
      </c>
      <c r="E33" s="220" t="e">
        <f t="shared" ref="E33:J33" si="6">SUM(E31:E32)</f>
        <v>#DIV/0!</v>
      </c>
      <c r="F33" s="373" t="e">
        <f t="shared" si="6"/>
        <v>#DIV/0!</v>
      </c>
      <c r="G33" s="188" t="e">
        <f t="shared" si="6"/>
        <v>#DIV/0!</v>
      </c>
      <c r="H33" s="234" t="e">
        <f>SUM(H31:H32)</f>
        <v>#DIV/0!</v>
      </c>
      <c r="I33" s="183" t="e">
        <f t="shared" si="6"/>
        <v>#DIV/0!</v>
      </c>
      <c r="J33" s="189" t="e">
        <f t="shared" si="6"/>
        <v>#DIV/0!</v>
      </c>
      <c r="P33" s="252">
        <f>SUM(P31:P32)</f>
        <v>0</v>
      </c>
      <c r="Q33" s="252">
        <f>SUM(Q31:Q32)</f>
        <v>0</v>
      </c>
      <c r="R33" s="252">
        <f>SUM(R31:R32)</f>
        <v>0</v>
      </c>
      <c r="S33" s="252">
        <f>SUM(S31:S32)</f>
        <v>0</v>
      </c>
    </row>
    <row r="34" spans="2:19" x14ac:dyDescent="0.25">
      <c r="E34" s="220"/>
      <c r="F34" s="373"/>
      <c r="H34" s="234"/>
      <c r="I34" s="183"/>
      <c r="J34" s="185"/>
      <c r="P34" s="252"/>
      <c r="Q34" s="252"/>
      <c r="R34" s="252"/>
      <c r="S34" s="252"/>
    </row>
    <row r="35" spans="2:19" x14ac:dyDescent="0.25">
      <c r="B35" s="157" t="s">
        <v>232</v>
      </c>
      <c r="C35" s="157" t="s">
        <v>62</v>
      </c>
      <c r="E35" s="220" t="e">
        <f>HLOOKUP($E$2,'Eastfork Actual'!$J$81:$U$105,18,0)/$E$5</f>
        <v>#DIV/0!</v>
      </c>
      <c r="F35" s="221" t="e">
        <f>HLOOKUP($E$2,'Eastfork Budget'!$J$81:$U$105,18,0)/$F$5</f>
        <v>#DIV/0!</v>
      </c>
      <c r="G35" s="188" t="e">
        <f>F35-E35</f>
        <v>#DIV/0!</v>
      </c>
      <c r="H35" s="234" t="e">
        <f>SUMIFS('Eastfork Actual'!$J$98:$U$98,'Eastfork Actual'!$J$81:$U$81,"&lt;="&amp;Summary_1!$E$2)/H5</f>
        <v>#DIV/0!</v>
      </c>
      <c r="I35" s="183" t="e">
        <f>SUMIFS('Eastfork Budget'!$J$98:$U$98,'Eastfork Budget'!$J$81:$U$81,"&lt;="&amp;Summary_1!$E$2)/I5</f>
        <v>#DIV/0!</v>
      </c>
      <c r="J35" s="189" t="e">
        <f>I35-H35</f>
        <v>#DIV/0!</v>
      </c>
      <c r="P35" s="252">
        <f>IFERROR(HLOOKUP($Q$2,'Eastfork Actual'!$J$81:$U$105,18,0)/$P$5,0)</f>
        <v>0</v>
      </c>
      <c r="Q35" s="252">
        <f>IFERROR(HLOOKUP($Q$2,'Eastfork Budget'!$J$81:$U$105,18,0)/$Q$5,0)</f>
        <v>0</v>
      </c>
      <c r="R35" s="252">
        <f>HLOOKUP($Q$2,'Eastfork Actual'!$J$81:$U$105,18,0)</f>
        <v>0</v>
      </c>
      <c r="S35" s="252">
        <f>HLOOKUP($Q$2,'Eastfork Budget'!$J$81:$U$105,18,0)</f>
        <v>0</v>
      </c>
    </row>
    <row r="36" spans="2:19" x14ac:dyDescent="0.25">
      <c r="B36" s="172" t="s">
        <v>233</v>
      </c>
      <c r="C36" s="172" t="s">
        <v>62</v>
      </c>
      <c r="D36" s="171"/>
      <c r="E36" s="219" t="e">
        <f>HLOOKUP($E$2,'Eastfork Actual'!$J$81:$U$105,19,0)/$E$5</f>
        <v>#DIV/0!</v>
      </c>
      <c r="F36" s="218" t="e">
        <f>HLOOKUP($E$2,'Eastfork Budget'!$J$81:$U$105,19,0)/$F$5</f>
        <v>#DIV/0!</v>
      </c>
      <c r="G36" s="176" t="e">
        <f>F36-E36</f>
        <v>#DIV/0!</v>
      </c>
      <c r="H36" s="235" t="e">
        <f>SUMIFS('Eastfork Actual'!$J$99:$U$99,'Eastfork Actual'!$J$81:$U$81,"&lt;="&amp;Summary_1!$E$2)/H5</f>
        <v>#DIV/0!</v>
      </c>
      <c r="I36" s="179" t="e">
        <f>SUMIFS('Eastfork Budget'!$J$99:$U$99,'Eastfork Budget'!$J$81:$U$81,"&lt;="&amp;Summary_1!$E$2)/I5</f>
        <v>#DIV/0!</v>
      </c>
      <c r="J36" s="187" t="e">
        <f>I36-H36</f>
        <v>#DIV/0!</v>
      </c>
      <c r="P36" s="253">
        <f>IFERROR(HLOOKUP($Q$2,'Eastfork Actual'!$J$81:$U$105,19,0)/$P$5,0)</f>
        <v>0</v>
      </c>
      <c r="Q36" s="253">
        <f>IFERROR(HLOOKUP($Q$2,'Eastfork Budget'!$J$81:$U$105,19,0)/$Q$5,0)</f>
        <v>0</v>
      </c>
      <c r="R36" s="253">
        <f>HLOOKUP($Q$2,'Eastfork Actual'!$J$81:$U$105,19,0)</f>
        <v>0</v>
      </c>
      <c r="S36" s="253">
        <f>HLOOKUP($Q$2,'Eastfork Budget'!$J$81:$U$105,19,0)</f>
        <v>0</v>
      </c>
    </row>
    <row r="37" spans="2:19" x14ac:dyDescent="0.25">
      <c r="B37" s="169" t="s">
        <v>147</v>
      </c>
      <c r="C37" s="169" t="s">
        <v>62</v>
      </c>
      <c r="D37" s="158" t="s">
        <v>148</v>
      </c>
      <c r="E37" s="220" t="e">
        <f>SUM(E35:E36)</f>
        <v>#DIV/0!</v>
      </c>
      <c r="F37" s="373" t="e">
        <f>SUM(F35:F36)</f>
        <v>#DIV/0!</v>
      </c>
      <c r="H37" s="234" t="e">
        <f>SUM(H35:H36)</f>
        <v>#DIV/0!</v>
      </c>
      <c r="I37" s="183" t="e">
        <f>SUM(I35:I36)</f>
        <v>#DIV/0!</v>
      </c>
      <c r="J37" s="185"/>
      <c r="P37" s="252">
        <f>SUM(P35:P36)</f>
        <v>0</v>
      </c>
      <c r="Q37" s="252">
        <f>SUM(Q35:Q36)</f>
        <v>0</v>
      </c>
      <c r="R37" s="252">
        <f>SUM(R35:R36)</f>
        <v>0</v>
      </c>
      <c r="S37" s="252">
        <f>SUM(S35:S36)</f>
        <v>0</v>
      </c>
    </row>
    <row r="38" spans="2:19" x14ac:dyDescent="0.25">
      <c r="E38" s="220"/>
      <c r="F38" s="373"/>
      <c r="H38" s="234"/>
      <c r="I38" s="183"/>
      <c r="J38" s="185"/>
      <c r="P38" s="252"/>
      <c r="Q38" s="252"/>
      <c r="R38" s="252"/>
      <c r="S38" s="252"/>
    </row>
    <row r="39" spans="2:19" x14ac:dyDescent="0.25">
      <c r="E39" s="220"/>
      <c r="F39" s="221"/>
      <c r="G39" s="188"/>
      <c r="H39" s="234"/>
      <c r="I39" s="183"/>
      <c r="J39" s="189"/>
      <c r="P39" s="252"/>
      <c r="Q39" s="252"/>
      <c r="R39" s="252"/>
      <c r="S39" s="252"/>
    </row>
    <row r="40" spans="2:19" x14ac:dyDescent="0.25">
      <c r="B40" s="157" t="s">
        <v>235</v>
      </c>
      <c r="C40" s="157" t="s">
        <v>63</v>
      </c>
      <c r="E40" s="220" t="e">
        <f>HLOOKUP($E$2,'Eastfork Actual'!$J$81:$U$105,20,0)/$E$5</f>
        <v>#DIV/0!</v>
      </c>
      <c r="F40" s="221" t="e">
        <f>HLOOKUP($E$2,'Eastfork Budget'!$J$81:$U$105,20,0)/$F$5</f>
        <v>#DIV/0!</v>
      </c>
      <c r="G40" s="190" t="e">
        <f>F40-E40</f>
        <v>#DIV/0!</v>
      </c>
      <c r="H40" s="234" t="e">
        <f>SUMIFS('Eastfork Actual'!$J$100:$U$100,'Eastfork Actual'!$J$81:$U$81,"&lt;="&amp;Summary_1!$E$2)/H5</f>
        <v>#DIV/0!</v>
      </c>
      <c r="I40" s="183" t="e">
        <f>SUMIFS('Eastfork Budget'!$J$100:$U$100,'Eastfork Budget'!$J$81:$U$81,"&lt;="&amp;Summary_1!$E$2)/I5</f>
        <v>#DIV/0!</v>
      </c>
      <c r="J40" s="191" t="e">
        <f>I40-H40</f>
        <v>#DIV/0!</v>
      </c>
      <c r="P40" s="252">
        <f>IFERROR(HLOOKUP($Q$2,'Eastfork Actual'!$J$81:$U$105,20,0)/$P$5,0)</f>
        <v>0</v>
      </c>
      <c r="Q40" s="252">
        <f>IFERROR(HLOOKUP($Q$2,'Eastfork Budget'!$J$81:$U$105,20,0)/$Q$5,0)</f>
        <v>0</v>
      </c>
      <c r="R40" s="252">
        <f>HLOOKUP($Q$2,'Eastfork Actual'!$J$81:$U$105,20,0)</f>
        <v>0</v>
      </c>
      <c r="S40" s="252">
        <f>HLOOKUP($Q$2,'Eastfork Budget'!$J$81:$U$105,20,0)</f>
        <v>0</v>
      </c>
    </row>
    <row r="41" spans="2:19" x14ac:dyDescent="0.25">
      <c r="B41" s="157" t="s">
        <v>64</v>
      </c>
      <c r="C41" s="157" t="s">
        <v>63</v>
      </c>
      <c r="E41" s="220" t="e">
        <f>HLOOKUP($E$2,'Eastfork Actual'!$J$81:$U$105,21,0)/$E$5</f>
        <v>#DIV/0!</v>
      </c>
      <c r="F41" s="221" t="e">
        <f>HLOOKUP($E$2,'Eastfork Budget'!$J$81:$U$105,21,0)/$F$5</f>
        <v>#DIV/0!</v>
      </c>
      <c r="G41" s="188" t="e">
        <f>F41-E41</f>
        <v>#DIV/0!</v>
      </c>
      <c r="H41" s="234" t="e">
        <f>SUMIFS('Eastfork Actual'!$J$101:$U$101,'Eastfork Actual'!$J$81:$U$81,"&lt;="&amp;Summary_1!$E$2)/H5</f>
        <v>#DIV/0!</v>
      </c>
      <c r="I41" s="183" t="e">
        <f>SUMIFS('Eastfork Budget'!$J$101:$U$101,'Eastfork Budget'!$J$81:$U$81,"&lt;="&amp;Summary_1!$E$2)/I5</f>
        <v>#DIV/0!</v>
      </c>
      <c r="J41" s="189" t="e">
        <f>I41-H41</f>
        <v>#DIV/0!</v>
      </c>
      <c r="P41" s="252">
        <f>IFERROR(HLOOKUP($Q$2,'Eastfork Actual'!$J$81:$U$105,21,0)/$P$5,0)</f>
        <v>0</v>
      </c>
      <c r="Q41" s="252">
        <f>IFERROR(HLOOKUP($Q$2,'Eastfork Budget'!$J$81:$U$105,21,0)/$Q$5,0)</f>
        <v>0</v>
      </c>
      <c r="R41" s="252">
        <f>HLOOKUP($Q$2,'Eastfork Actual'!$J$81:$U$105,21,0)</f>
        <v>0</v>
      </c>
      <c r="S41" s="252">
        <f>HLOOKUP($Q$2,'Eastfork Budget'!$J$81:$U$105,21,0)</f>
        <v>0</v>
      </c>
    </row>
    <row r="42" spans="2:19" x14ac:dyDescent="0.25">
      <c r="B42" s="172" t="s">
        <v>65</v>
      </c>
      <c r="C42" s="172" t="s">
        <v>63</v>
      </c>
      <c r="D42" s="171"/>
      <c r="E42" s="219" t="e">
        <f>HLOOKUP($E$2,'Eastfork Actual'!$J$81:$U$105,22,0)/$E$5</f>
        <v>#DIV/0!</v>
      </c>
      <c r="F42" s="218" t="e">
        <f>HLOOKUP($E$2,'Eastfork Budget'!$J$81:$U$105,22,0)/$F$5</f>
        <v>#DIV/0!</v>
      </c>
      <c r="G42" s="176" t="e">
        <f>F42-E42</f>
        <v>#DIV/0!</v>
      </c>
      <c r="H42" s="235" t="e">
        <f>SUMIFS('Eastfork Budget'!$J$102:$U$102,'Eastfork Budget'!$J$81:$U$81,"&lt;="&amp;Summary_1!$E$2)/H5</f>
        <v>#DIV/0!</v>
      </c>
      <c r="I42" s="179" t="e">
        <f>SUMIFS('Eastfork Budget'!$J$102:$U$102,'Eastfork Budget'!$J$81:$U$81,"&lt;="&amp;Summary_1!$E$2)/I5</f>
        <v>#DIV/0!</v>
      </c>
      <c r="J42" s="187" t="e">
        <f>I42-H42</f>
        <v>#DIV/0!</v>
      </c>
      <c r="P42" s="253">
        <f>IFERROR(HLOOKUP($Q$2,'Eastfork Actual'!$J$81:$U$105,22,0)/$P$5,0)</f>
        <v>0</v>
      </c>
      <c r="Q42" s="253">
        <f>IFERROR(HLOOKUP($Q$2,'Eastfork Budget'!$J$81:$U$105,22,0)/$Q$5,0)</f>
        <v>0</v>
      </c>
      <c r="R42" s="253">
        <f>HLOOKUP($Q$2,'Eastfork Actual'!$J$81:$U$105,22,0)</f>
        <v>0</v>
      </c>
      <c r="S42" s="253">
        <f>HLOOKUP($Q$2,'Eastfork Budget'!$J$81:$U$105,22,0)</f>
        <v>0</v>
      </c>
    </row>
    <row r="43" spans="2:19" x14ac:dyDescent="0.25">
      <c r="B43" s="169" t="s">
        <v>149</v>
      </c>
      <c r="C43" s="169" t="s">
        <v>63</v>
      </c>
      <c r="D43" s="158" t="s">
        <v>150</v>
      </c>
      <c r="E43" s="220" t="e">
        <f t="shared" ref="E43:J43" si="7">SUM(E39:E42)</f>
        <v>#DIV/0!</v>
      </c>
      <c r="F43" s="221" t="e">
        <f t="shared" si="7"/>
        <v>#DIV/0!</v>
      </c>
      <c r="G43" s="188" t="e">
        <f t="shared" si="7"/>
        <v>#DIV/0!</v>
      </c>
      <c r="H43" s="234" t="e">
        <f t="shared" si="7"/>
        <v>#DIV/0!</v>
      </c>
      <c r="I43" s="183" t="e">
        <f t="shared" si="7"/>
        <v>#DIV/0!</v>
      </c>
      <c r="J43" s="189" t="e">
        <f t="shared" si="7"/>
        <v>#DIV/0!</v>
      </c>
      <c r="P43" s="252">
        <f t="shared" ref="P43:Q43" si="8">SUM(P39:P42)</f>
        <v>0</v>
      </c>
      <c r="Q43" s="252">
        <f t="shared" si="8"/>
        <v>0</v>
      </c>
      <c r="R43" s="252">
        <f t="shared" ref="R43" si="9">SUM(R39:R42)</f>
        <v>0</v>
      </c>
      <c r="S43" s="252">
        <f t="shared" ref="S43" si="10">SUM(S39:S42)</f>
        <v>0</v>
      </c>
    </row>
    <row r="44" spans="2:19" x14ac:dyDescent="0.25">
      <c r="E44" s="220"/>
      <c r="F44" s="373"/>
      <c r="H44" s="234"/>
      <c r="I44" s="183"/>
      <c r="J44" s="185"/>
      <c r="P44" s="252"/>
      <c r="Q44" s="252"/>
      <c r="R44" s="252"/>
      <c r="S44" s="252"/>
    </row>
    <row r="45" spans="2:19" x14ac:dyDescent="0.25">
      <c r="B45" s="157" t="s">
        <v>66</v>
      </c>
      <c r="C45" s="157" t="s">
        <v>67</v>
      </c>
      <c r="E45" s="220" t="e">
        <f>HLOOKUP($E$2,'Eastfork Actual'!$J$81:$U$105,23,0)/$E$5</f>
        <v>#DIV/0!</v>
      </c>
      <c r="F45" s="221" t="e">
        <f>HLOOKUP($E$2,'Eastfork Budget'!$J$81:$U$105,23,0)/$F$5</f>
        <v>#DIV/0!</v>
      </c>
      <c r="G45" s="190" t="e">
        <f>F45-E45</f>
        <v>#DIV/0!</v>
      </c>
      <c r="H45" s="234" t="e">
        <f>SUMIFS('Eastfork Actual'!$J$103:$U$103,'Eastfork Actual'!$J$81:$U$81,"&lt;="&amp;Summary_1!$E$2)/H5</f>
        <v>#DIV/0!</v>
      </c>
      <c r="I45" s="183" t="e">
        <f>SUMIFS('Eastfork Budget'!$J$103:$U$103,'Eastfork Budget'!$J$81:$U$81,"&lt;="&amp;Summary_1!$E$2)/I5</f>
        <v>#DIV/0!</v>
      </c>
      <c r="J45" s="191" t="e">
        <f>I45-H45</f>
        <v>#DIV/0!</v>
      </c>
      <c r="P45" s="252">
        <f>IFERROR(HLOOKUP($Q$2,'Eastfork Actual'!$J$81:$U$105,23,0)/$P$5,0)</f>
        <v>0</v>
      </c>
      <c r="Q45" s="252">
        <f>IFERROR(HLOOKUP($Q$2,'Eastfork Budget'!$J$81:$U$105,23,0)/$Q$5,0)</f>
        <v>0</v>
      </c>
      <c r="R45" s="252">
        <f>HLOOKUP($Q$2,'Eastfork Actual'!$J$81:$U$105,23,0)</f>
        <v>0</v>
      </c>
      <c r="S45" s="252">
        <f>HLOOKUP($Q$2,'Eastfork Budget'!$J$81:$U$105,23,0)</f>
        <v>0</v>
      </c>
    </row>
    <row r="46" spans="2:19" x14ac:dyDescent="0.25">
      <c r="B46" s="157" t="s">
        <v>234</v>
      </c>
      <c r="C46" s="157" t="s">
        <v>67</v>
      </c>
      <c r="E46" s="382" t="e">
        <f>HLOOKUP($E$2,'Eastfork Actual'!$J$81:$U$105,24,0)/$E$5</f>
        <v>#DIV/0!</v>
      </c>
      <c r="F46" s="374" t="e">
        <f>HLOOKUP($E$2,'Eastfork Budget'!$J$81:$U$105,24,0)/$F$5</f>
        <v>#DIV/0!</v>
      </c>
      <c r="G46" s="383" t="e">
        <f>F46-E46</f>
        <v>#DIV/0!</v>
      </c>
      <c r="H46" s="384" t="e">
        <f>SUMIFS('Eastfork Actual'!$J$104:$U$104,'Eastfork Actual'!$J$81:$U$81,"&lt;="&amp;Summary_1!$E$2)/H5</f>
        <v>#DIV/0!</v>
      </c>
      <c r="I46" s="385" t="e">
        <f>SUMIFS('Eastfork Budget'!$J$104:$U$104,'Eastfork Budget'!$J$81:$U$81,"&lt;="&amp;Summary_1!$E$2)/I5</f>
        <v>#DIV/0!</v>
      </c>
      <c r="J46" s="386" t="e">
        <f>I46-H46</f>
        <v>#DIV/0!</v>
      </c>
      <c r="P46" s="387">
        <f>IFERROR(HLOOKUP($Q$2,'Eastfork Actual'!$J$81:$U$105,24,0)/$P$5,0)</f>
        <v>0</v>
      </c>
      <c r="Q46" s="387">
        <f>IFERROR(HLOOKUP($Q$2,'Eastfork Budget'!$J$81:$U$105,24,0)/$Q$5,0)</f>
        <v>0</v>
      </c>
      <c r="R46" s="252">
        <f>HLOOKUP($Q$2,'Eastfork Actual'!$J$81:$U$105,24,0)</f>
        <v>10.920960000000001</v>
      </c>
      <c r="S46" s="252">
        <f>HLOOKUP($Q$2,'Eastfork Budget'!$J$81:$U$105,24,0)</f>
        <v>0</v>
      </c>
    </row>
    <row r="47" spans="2:19" x14ac:dyDescent="0.25">
      <c r="B47" s="172" t="s">
        <v>68</v>
      </c>
      <c r="C47" s="172" t="s">
        <v>67</v>
      </c>
      <c r="D47" s="171"/>
      <c r="E47" s="219" t="e">
        <f>HLOOKUP($E$2,'Eastfork Actual'!$J$81:$U$105,25,0)/$E$5</f>
        <v>#DIV/0!</v>
      </c>
      <c r="F47" s="218" t="e">
        <f>HLOOKUP($E$2,'Eastfork Budget'!$J$81:$U$105,25,0)/$F$5</f>
        <v>#DIV/0!</v>
      </c>
      <c r="G47" s="176" t="e">
        <f>F47-E47</f>
        <v>#DIV/0!</v>
      </c>
      <c r="H47" s="235" t="e">
        <f>SUMIFS('Eastfork Actual'!$J$105:$U$105,'Eastfork Actual'!$J$81:$U$81,"&lt;="&amp;Summary_1!$E$2)/H5</f>
        <v>#DIV/0!</v>
      </c>
      <c r="I47" s="179" t="e">
        <f>SUMIFS('Eastfork Budget'!$J$105:$U$105,'Eastfork Budget'!$J$81:$U$81,"&lt;="&amp;Summary_1!$E$2)/I5</f>
        <v>#DIV/0!</v>
      </c>
      <c r="J47" s="187" t="e">
        <f>I47-H47</f>
        <v>#DIV/0!</v>
      </c>
      <c r="P47" s="253">
        <f>IFERROR(HLOOKUP($Q$2,'Eastfork Actual'!$J$81:$U$105,25,0)/$P$5,0)</f>
        <v>0</v>
      </c>
      <c r="Q47" s="253">
        <f>IFERROR(HLOOKUP($Q$2,'Eastfork Budget'!$J$81:$U$105,25,0)/$Q$5,0)</f>
        <v>0</v>
      </c>
      <c r="R47" s="253">
        <f>HLOOKUP($Q$2,'Eastfork Actual'!$J$81:$U$105,25,0)</f>
        <v>0</v>
      </c>
      <c r="S47" s="253">
        <f>HLOOKUP($Q$2,'Eastfork Budget'!$J$81:$U$105,25,0)</f>
        <v>0</v>
      </c>
    </row>
    <row r="48" spans="2:19" x14ac:dyDescent="0.25">
      <c r="B48" s="169" t="s">
        <v>151</v>
      </c>
      <c r="C48" s="169" t="s">
        <v>67</v>
      </c>
      <c r="D48" s="158" t="s">
        <v>152</v>
      </c>
      <c r="E48" s="220" t="e">
        <f t="shared" ref="E48:J48" si="11">SUM(E45:E47)</f>
        <v>#DIV/0!</v>
      </c>
      <c r="F48" s="221" t="e">
        <f t="shared" si="11"/>
        <v>#DIV/0!</v>
      </c>
      <c r="G48" s="190" t="e">
        <f t="shared" si="11"/>
        <v>#DIV/0!</v>
      </c>
      <c r="H48" s="234" t="e">
        <f t="shared" si="11"/>
        <v>#DIV/0!</v>
      </c>
      <c r="I48" s="183" t="e">
        <f t="shared" si="11"/>
        <v>#DIV/0!</v>
      </c>
      <c r="J48" s="191" t="e">
        <f t="shared" si="11"/>
        <v>#DIV/0!</v>
      </c>
      <c r="P48" s="252">
        <f t="shared" ref="P48" si="12">SUM(P45:P47)</f>
        <v>0</v>
      </c>
      <c r="Q48" s="252">
        <f>SUM(Q45:Q47)</f>
        <v>0</v>
      </c>
      <c r="R48" s="252">
        <f t="shared" ref="R48" si="13">SUM(R45:R47)</f>
        <v>10.920960000000001</v>
      </c>
      <c r="S48" s="252">
        <f>SUM(S45:S47)</f>
        <v>0</v>
      </c>
    </row>
    <row r="49" spans="2:19" x14ac:dyDescent="0.25">
      <c r="B49" s="169"/>
      <c r="C49" s="169"/>
      <c r="E49" s="226"/>
      <c r="H49" s="234"/>
      <c r="I49" s="183"/>
      <c r="J49" s="185"/>
      <c r="P49" s="252"/>
      <c r="Q49" s="252"/>
      <c r="R49" s="252"/>
      <c r="S49" s="252"/>
    </row>
    <row r="50" spans="2:19" x14ac:dyDescent="0.25">
      <c r="B50" s="170" t="s">
        <v>153</v>
      </c>
      <c r="C50" s="172"/>
      <c r="D50" s="171" t="s">
        <v>154</v>
      </c>
      <c r="E50" s="227" t="e">
        <f>E21+E29+E33+E37+E43+E48</f>
        <v>#DIV/0!</v>
      </c>
      <c r="F50" s="176" t="e">
        <f>F21+F29+F33+F37+F43+F48</f>
        <v>#DIV/0!</v>
      </c>
      <c r="G50" s="176" t="e">
        <f>F50-E50</f>
        <v>#DIV/0!</v>
      </c>
      <c r="H50" s="235" t="e">
        <f>H21+H29+H33+H37+H43+H48</f>
        <v>#DIV/0!</v>
      </c>
      <c r="I50" s="179" t="e">
        <f>I21+I29+I33+I37+I43+I48</f>
        <v>#DIV/0!</v>
      </c>
      <c r="J50" s="187" t="e">
        <f>I50-H50</f>
        <v>#DIV/0!</v>
      </c>
      <c r="P50" s="253">
        <f>P21+P29+P33+P37+P43+P48</f>
        <v>0</v>
      </c>
      <c r="Q50" s="253">
        <f>Q21+Q29+Q33+Q37+Q43+Q48</f>
        <v>0</v>
      </c>
      <c r="R50" s="253">
        <f>R21+R29+R33+R37+R43+R48</f>
        <v>10.920960000000001</v>
      </c>
      <c r="S50" s="253">
        <f>S21+S29+S33+S37+S43+S48</f>
        <v>0</v>
      </c>
    </row>
    <row r="51" spans="2:19" x14ac:dyDescent="0.25">
      <c r="E51" s="226"/>
      <c r="H51" s="234"/>
      <c r="I51" s="183"/>
      <c r="J51" s="185"/>
      <c r="P51" s="252"/>
      <c r="Q51" s="252"/>
      <c r="R51" s="252"/>
      <c r="S51" s="252"/>
    </row>
    <row r="52" spans="2:19" x14ac:dyDescent="0.25">
      <c r="B52" s="170" t="s">
        <v>155</v>
      </c>
      <c r="C52" s="170"/>
      <c r="D52" s="171" t="s">
        <v>156</v>
      </c>
      <c r="E52" s="227" t="e">
        <f>E9+E11+E50</f>
        <v>#DIV/0!</v>
      </c>
      <c r="F52" s="176" t="e">
        <f>F9+F11+F50</f>
        <v>#DIV/0!</v>
      </c>
      <c r="G52" s="176" t="e">
        <f>F52-E52</f>
        <v>#DIV/0!</v>
      </c>
      <c r="H52" s="235" t="e">
        <f>H9+H11+H50</f>
        <v>#DIV/0!</v>
      </c>
      <c r="I52" s="179" t="e">
        <f>I9+I11+I50</f>
        <v>#DIV/0!</v>
      </c>
      <c r="J52" s="187" t="e">
        <f>I52-H52</f>
        <v>#DIV/0!</v>
      </c>
      <c r="P52" s="253">
        <f>P9+P11+P50</f>
        <v>0</v>
      </c>
      <c r="Q52" s="253">
        <f>Q9+Q11+Q50</f>
        <v>0</v>
      </c>
      <c r="R52" s="253">
        <f>R9+R11+R50</f>
        <v>10.920960000000001</v>
      </c>
      <c r="S52" s="253">
        <f>S9+S11+S50</f>
        <v>0</v>
      </c>
    </row>
    <row r="53" spans="2:19" x14ac:dyDescent="0.25">
      <c r="E53" s="226"/>
      <c r="H53" s="234"/>
      <c r="I53" s="183"/>
      <c r="J53" s="185"/>
      <c r="P53" s="252"/>
      <c r="Q53" s="252"/>
      <c r="R53" s="252"/>
      <c r="S53" s="252"/>
    </row>
    <row r="54" spans="2:19" x14ac:dyDescent="0.25">
      <c r="B54" s="173" t="s">
        <v>157</v>
      </c>
      <c r="C54" s="173"/>
      <c r="D54" s="174" t="s">
        <v>158</v>
      </c>
      <c r="E54" s="228" t="e">
        <f>E7-E52</f>
        <v>#DIV/0!</v>
      </c>
      <c r="F54" s="192" t="e">
        <f>F7-F52</f>
        <v>#DIV/0!</v>
      </c>
      <c r="G54" s="192" t="e">
        <f>F54-E54</f>
        <v>#DIV/0!</v>
      </c>
      <c r="H54" s="236" t="e">
        <f>H7-H52</f>
        <v>#DIV/0!</v>
      </c>
      <c r="I54" s="193" t="e">
        <f>I7-I52</f>
        <v>#DIV/0!</v>
      </c>
      <c r="J54" s="194" t="e">
        <f>I54-H54</f>
        <v>#DIV/0!</v>
      </c>
      <c r="P54" s="252">
        <f>P7-P52</f>
        <v>0</v>
      </c>
      <c r="Q54" s="252">
        <f>Q7-Q52</f>
        <v>0</v>
      </c>
      <c r="R54" s="252">
        <f>R7-R52</f>
        <v>682549.07903999998</v>
      </c>
      <c r="S54" s="252">
        <f>S7-S52</f>
        <v>0</v>
      </c>
    </row>
    <row r="55" spans="2:19" ht="15.75" thickBot="1" x14ac:dyDescent="0.3">
      <c r="B55" s="169" t="s">
        <v>159</v>
      </c>
      <c r="D55" s="158" t="s">
        <v>160</v>
      </c>
      <c r="E55" s="226" t="e">
        <f t="shared" ref="E55:J55" si="14">E54*E5</f>
        <v>#DIV/0!</v>
      </c>
      <c r="F55" s="188" t="e">
        <f t="shared" si="14"/>
        <v>#DIV/0!</v>
      </c>
      <c r="G55" s="188" t="e">
        <f t="shared" si="14"/>
        <v>#DIV/0!</v>
      </c>
      <c r="H55" s="234" t="e">
        <f t="shared" si="14"/>
        <v>#DIV/0!</v>
      </c>
      <c r="I55" s="183" t="e">
        <f t="shared" si="14"/>
        <v>#DIV/0!</v>
      </c>
      <c r="J55" s="189" t="e">
        <f t="shared" si="14"/>
        <v>#DIV/0!</v>
      </c>
      <c r="P55" s="254">
        <f>P54*P5</f>
        <v>0</v>
      </c>
      <c r="Q55" s="254">
        <f>Q54*Q5</f>
        <v>0</v>
      </c>
      <c r="R55" s="254">
        <f>R54</f>
        <v>682549.07903999998</v>
      </c>
      <c r="S55" s="254">
        <f>S54</f>
        <v>0</v>
      </c>
    </row>
    <row r="56" spans="2:19" x14ac:dyDescent="0.25">
      <c r="E56" s="226"/>
      <c r="F56" s="188"/>
      <c r="H56" s="234"/>
      <c r="J56" s="185"/>
    </row>
    <row r="57" spans="2:19" x14ac:dyDescent="0.25">
      <c r="E57" s="226"/>
      <c r="H57" s="234"/>
      <c r="J57" s="185"/>
    </row>
    <row r="58" spans="2:19" x14ac:dyDescent="0.25">
      <c r="B58" s="173" t="s">
        <v>161</v>
      </c>
      <c r="C58" s="173"/>
      <c r="D58" s="174" t="s">
        <v>162</v>
      </c>
      <c r="E58" s="228"/>
      <c r="F58" s="152"/>
      <c r="G58" s="152"/>
      <c r="H58" s="236"/>
      <c r="I58" s="195"/>
      <c r="J58" s="196"/>
    </row>
    <row r="59" spans="2:19" x14ac:dyDescent="0.25">
      <c r="E59" s="226"/>
      <c r="H59" s="234"/>
      <c r="J59" s="185"/>
    </row>
    <row r="60" spans="2:19" ht="15.75" thickBot="1" x14ac:dyDescent="0.3">
      <c r="B60" s="169" t="s">
        <v>163</v>
      </c>
      <c r="C60" s="169"/>
      <c r="D60" s="158" t="s">
        <v>164</v>
      </c>
      <c r="E60" s="229"/>
      <c r="F60" s="197"/>
      <c r="G60" s="197"/>
      <c r="H60" s="237"/>
      <c r="I60" s="198"/>
      <c r="J60" s="199"/>
    </row>
  </sheetData>
  <conditionalFormatting sqref="H1:J2 H4:J4">
    <cfRule type="cellIs" dxfId="6" priority="1" operator="lessThan">
      <formula>0</formula>
    </cfRule>
  </conditionalFormatting>
  <dataValidations count="1">
    <dataValidation type="list" allowBlank="1" showInputMessage="1" showErrorMessage="1" sqref="E2" xr:uid="{567C84F3-9B57-43D6-8FD0-1107CDBCC471}">
      <formula1>"1/01/2025,1/02/2025,1/03/2025,1/04/2025,1/05/2025,1/06/2025,1/07/2025,1/08/2025,1/09/2025,1/10/2025,1/11/2025,1/12/2025"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ADEE5-E89E-4CA9-B4E7-604ABF444DEE}">
  <sheetPr codeName="Sheet18">
    <tabColor theme="0" tint="-0.14999847407452621"/>
  </sheetPr>
  <dimension ref="A1:V60"/>
  <sheetViews>
    <sheetView workbookViewId="0">
      <selection activeCell="E16" sqref="E16"/>
    </sheetView>
  </sheetViews>
  <sheetFormatPr defaultColWidth="9.140625" defaultRowHeight="15" x14ac:dyDescent="0.25"/>
  <cols>
    <col min="1" max="1" width="9.140625" style="149"/>
    <col min="2" max="2" width="41.28515625" style="157" customWidth="1"/>
    <col min="3" max="3" width="16.85546875" style="157" bestFit="1" customWidth="1"/>
    <col min="4" max="4" width="14.42578125" style="158" bestFit="1" customWidth="1"/>
    <col min="5" max="5" width="11.5703125" style="223" bestFit="1" customWidth="1"/>
    <col min="6" max="6" width="11.5703125" style="149" bestFit="1" customWidth="1"/>
    <col min="7" max="7" width="14.28515625" style="149" bestFit="1" customWidth="1"/>
    <col min="8" max="8" width="11.7109375" style="223" bestFit="1" customWidth="1"/>
    <col min="9" max="9" width="12.42578125" style="157" bestFit="1" customWidth="1"/>
    <col min="10" max="10" width="14.28515625" style="149" bestFit="1" customWidth="1"/>
    <col min="11" max="15" width="9.140625" style="149"/>
    <col min="16" max="16" width="11.5703125" style="149" bestFit="1" customWidth="1"/>
    <col min="17" max="17" width="11.28515625" style="149" bestFit="1" customWidth="1"/>
    <col min="18" max="18" width="11.28515625" style="149" customWidth="1"/>
    <col min="19" max="19" width="13.42578125" style="149" customWidth="1"/>
    <col min="20" max="16384" width="9.140625" style="149"/>
  </cols>
  <sheetData>
    <row r="1" spans="1:22" ht="15.75" thickBot="1" x14ac:dyDescent="0.3">
      <c r="A1" s="247">
        <f>MONTH(E2)</f>
        <v>1</v>
      </c>
      <c r="B1" s="169" t="str">
        <f>'Waipuna Actual'!B2</f>
        <v>Waipuna</v>
      </c>
      <c r="F1" s="157"/>
      <c r="G1" s="157"/>
      <c r="J1" s="157"/>
      <c r="P1" s="149">
        <f>MONTH(Q2)</f>
        <v>1</v>
      </c>
      <c r="T1" t="s">
        <v>177</v>
      </c>
      <c r="U1" t="s">
        <v>178</v>
      </c>
    </row>
    <row r="2" spans="1:22" ht="15.75" thickBot="1" x14ac:dyDescent="0.3">
      <c r="A2" s="247" t="str">
        <f>_xlfn.XLOOKUP(A1,T2:T13,U2:U13,0,0)</f>
        <v>January</v>
      </c>
      <c r="B2" s="159"/>
      <c r="C2" s="159"/>
      <c r="D2" s="160"/>
      <c r="E2" s="238">
        <v>45658</v>
      </c>
      <c r="F2" s="161"/>
      <c r="G2" s="161"/>
      <c r="H2" s="230" t="s">
        <v>123</v>
      </c>
      <c r="I2" s="162"/>
      <c r="J2" s="163"/>
      <c r="M2" s="175"/>
      <c r="P2" t="s">
        <v>179</v>
      </c>
      <c r="Q2" s="248">
        <f>_xlfn.XLOOKUP(P2,U2:U13,V2:V13,0,0)</f>
        <v>45658</v>
      </c>
      <c r="R2" s="248"/>
      <c r="T2">
        <v>1</v>
      </c>
      <c r="U2" t="s">
        <v>179</v>
      </c>
      <c r="V2" s="249">
        <v>45658</v>
      </c>
    </row>
    <row r="3" spans="1:22" x14ac:dyDescent="0.25">
      <c r="B3" s="159"/>
      <c r="C3" s="159"/>
      <c r="D3" s="160"/>
      <c r="E3" s="224" t="s">
        <v>124</v>
      </c>
      <c r="F3" s="180" t="s">
        <v>125</v>
      </c>
      <c r="G3" s="180" t="s">
        <v>126</v>
      </c>
      <c r="H3" s="231" t="s">
        <v>124</v>
      </c>
      <c r="I3" s="180" t="s">
        <v>125</v>
      </c>
      <c r="J3" s="181" t="s">
        <v>126</v>
      </c>
      <c r="L3" s="447" t="s">
        <v>13</v>
      </c>
      <c r="M3" s="250" t="s">
        <v>125</v>
      </c>
      <c r="P3" s="250" t="s">
        <v>180</v>
      </c>
      <c r="Q3" s="250" t="s">
        <v>125</v>
      </c>
      <c r="R3" s="250" t="s">
        <v>180</v>
      </c>
      <c r="S3" s="250" t="s">
        <v>125</v>
      </c>
      <c r="T3">
        <v>2</v>
      </c>
      <c r="U3" t="s">
        <v>181</v>
      </c>
      <c r="V3" s="249">
        <v>45689</v>
      </c>
    </row>
    <row r="4" spans="1:22" ht="15.75" thickBot="1" x14ac:dyDescent="0.3">
      <c r="B4" s="164"/>
      <c r="C4" s="164"/>
      <c r="D4" s="165"/>
      <c r="E4" s="225" t="s">
        <v>127</v>
      </c>
      <c r="F4" s="166" t="s">
        <v>128</v>
      </c>
      <c r="G4" s="166" t="s">
        <v>129</v>
      </c>
      <c r="H4" s="232" t="s">
        <v>130</v>
      </c>
      <c r="I4" s="167" t="s">
        <v>131</v>
      </c>
      <c r="J4" s="168" t="s">
        <v>132</v>
      </c>
      <c r="L4" s="251"/>
      <c r="M4" s="251" t="s">
        <v>240</v>
      </c>
      <c r="P4" s="251" t="s">
        <v>203</v>
      </c>
      <c r="Q4" s="251" t="s">
        <v>203</v>
      </c>
      <c r="R4" s="251" t="s">
        <v>204</v>
      </c>
      <c r="S4" s="251" t="s">
        <v>204</v>
      </c>
      <c r="T4">
        <v>3</v>
      </c>
      <c r="U4" t="s">
        <v>182</v>
      </c>
      <c r="V4" s="249">
        <v>45717</v>
      </c>
    </row>
    <row r="5" spans="1:22" x14ac:dyDescent="0.25">
      <c r="B5" s="169" t="s">
        <v>133</v>
      </c>
      <c r="C5" s="169"/>
      <c r="D5" s="158" t="s">
        <v>134</v>
      </c>
      <c r="E5" s="375">
        <f>HLOOKUP($E$2,'Waipuna Actual'!$J$3:$U$16,14,0)</f>
        <v>0</v>
      </c>
      <c r="F5" s="221">
        <f>HLOOKUP($E$2,'Waipuna Budget'!$J$3:$U$16,14,0)</f>
        <v>0</v>
      </c>
      <c r="G5" s="182">
        <f>E5-F5</f>
        <v>0</v>
      </c>
      <c r="H5" s="233">
        <f>SUMIFS('Waipuna Actual'!$J$16:$U$16,'Waipuna Actual'!$J$3:$U$3,"&lt;="&amp;Summary_2!$E$2)</f>
        <v>0</v>
      </c>
      <c r="I5" s="183">
        <f>SUMIFS('Waipuna Budget'!$J$16:$U$16,'Waipuna Budget'!$J$3:$U$3,"&lt;="&amp;Summary_2!$E$2)</f>
        <v>0</v>
      </c>
      <c r="J5" s="184">
        <f>H5-I5</f>
        <v>0</v>
      </c>
      <c r="L5" s="442" t="s">
        <v>20</v>
      </c>
      <c r="M5" s="443">
        <f>$S$5*'Waipuna Budget'!C20</f>
        <v>0</v>
      </c>
      <c r="P5" s="252">
        <f>HLOOKUP($Q$2,'Waipuna Actual'!$J$3:$U$16,14,0)</f>
        <v>0</v>
      </c>
      <c r="Q5" s="252">
        <f>HLOOKUP($Q$2,'Waipuna Budget'!$J$3:$U$16,14,0)</f>
        <v>0</v>
      </c>
      <c r="R5" s="252">
        <f>HLOOKUP($Q$2,'Waipuna Actual'!$J$3:$U$16,14,0)</f>
        <v>0</v>
      </c>
      <c r="S5" s="252">
        <f>HLOOKUP($Q$2,'Waipuna Budget'!$J$3:$U$16,14,0)</f>
        <v>0</v>
      </c>
      <c r="T5">
        <v>4</v>
      </c>
      <c r="U5" t="s">
        <v>183</v>
      </c>
      <c r="V5" s="249">
        <v>45748</v>
      </c>
    </row>
    <row r="6" spans="1:22" x14ac:dyDescent="0.25">
      <c r="B6" s="169"/>
      <c r="C6" s="169"/>
      <c r="E6" s="220"/>
      <c r="F6" s="151"/>
      <c r="H6" s="234"/>
      <c r="I6" s="183"/>
      <c r="J6" s="185"/>
      <c r="L6" s="444" t="s">
        <v>22</v>
      </c>
      <c r="M6" s="189">
        <f>$S$5*'Waipuna Budget'!C21</f>
        <v>0</v>
      </c>
      <c r="P6" s="252"/>
      <c r="Q6" s="252"/>
      <c r="R6" s="252"/>
      <c r="S6" s="252"/>
      <c r="T6">
        <v>5</v>
      </c>
      <c r="U6" t="s">
        <v>184</v>
      </c>
      <c r="V6" s="249">
        <v>45778</v>
      </c>
    </row>
    <row r="7" spans="1:22" x14ac:dyDescent="0.25">
      <c r="B7" s="170" t="s">
        <v>135</v>
      </c>
      <c r="C7" s="170"/>
      <c r="D7" s="171" t="s">
        <v>136</v>
      </c>
      <c r="E7" s="219" t="e">
        <f>(HLOOKUP($E$2,'Waipuna Actual'!$J$19:$U$46,28,0))/E5</f>
        <v>#DIV/0!</v>
      </c>
      <c r="F7" s="218" t="e">
        <f>(HLOOKUP($E$2,'Waipuna Budget'!$J$19:$U$46,28,0))/F5</f>
        <v>#DIV/0!</v>
      </c>
      <c r="G7" s="177" t="e">
        <f>E7-F7</f>
        <v>#DIV/0!</v>
      </c>
      <c r="H7" s="235" t="e">
        <f>SUMIFS('Waipuna Actual'!$J$46:$U$46,'Waipuna Actual'!J19:U19,"&lt;="&amp;Summary_2!$E$2)/H5</f>
        <v>#DIV/0!</v>
      </c>
      <c r="I7" s="179" t="e">
        <f>SUMIFS('Waipuna Budget'!$J$46:$U$46,'Waipuna Budget'!J19:U19,"&lt;="&amp;Summary_2!$E$2)/I5</f>
        <v>#DIV/0!</v>
      </c>
      <c r="J7" s="186" t="e">
        <f>H7-I7</f>
        <v>#DIV/0!</v>
      </c>
      <c r="L7" s="444" t="s">
        <v>25</v>
      </c>
      <c r="M7" s="189">
        <f>$S$5*'Waipuna Budget'!C22</f>
        <v>0</v>
      </c>
      <c r="P7" s="253">
        <f>IFERROR(HLOOKUP($Q$2,'Waipuna Actual'!$J$19:$U$46,28,0)/P5,0)</f>
        <v>0</v>
      </c>
      <c r="Q7" s="253">
        <f>IFERROR(HLOOKUP($Q$2,'Waipuna Budget'!$J$19:$U$46,28,0)/Q5,0)</f>
        <v>0</v>
      </c>
      <c r="R7" s="253">
        <f>HLOOKUP($Q$2,'Waipuna Actual'!$J$19:$U$46,28,0)</f>
        <v>0</v>
      </c>
      <c r="S7" s="253">
        <f>(HLOOKUP($Q$2,'Waipuna Budget'!$J$19:$U$46,28,0))</f>
        <v>0</v>
      </c>
      <c r="T7">
        <v>6</v>
      </c>
      <c r="U7" t="s">
        <v>185</v>
      </c>
      <c r="V7" s="249">
        <v>45809</v>
      </c>
    </row>
    <row r="8" spans="1:22" x14ac:dyDescent="0.25">
      <c r="E8" s="220"/>
      <c r="F8" s="151"/>
      <c r="H8" s="234"/>
      <c r="I8" s="183"/>
      <c r="J8" s="185"/>
      <c r="L8" s="444" t="s">
        <v>30</v>
      </c>
      <c r="M8" s="189">
        <f>$S$5*'Waipuna Budget'!C23</f>
        <v>0</v>
      </c>
      <c r="P8" s="252"/>
      <c r="Q8" s="252"/>
      <c r="R8" s="252"/>
      <c r="S8" s="252"/>
      <c r="T8">
        <v>7</v>
      </c>
      <c r="U8" t="s">
        <v>186</v>
      </c>
      <c r="V8" s="249">
        <v>45839</v>
      </c>
    </row>
    <row r="9" spans="1:22" x14ac:dyDescent="0.25">
      <c r="B9" s="170" t="s">
        <v>137</v>
      </c>
      <c r="C9" s="170"/>
      <c r="D9" s="171" t="s">
        <v>138</v>
      </c>
      <c r="E9" s="219" t="e">
        <f>HLOOKUP($E$2,'Waipuna Actual'!$J$50:$U$51,2,0)/E5</f>
        <v>#DIV/0!</v>
      </c>
      <c r="F9" s="218" t="e">
        <f>HLOOKUP($E$2,'Waipuna Budget'!$J$50:$U$51,2,0)/F5</f>
        <v>#DIV/0!</v>
      </c>
      <c r="G9" s="176" t="e">
        <f>F9-E9</f>
        <v>#DIV/0!</v>
      </c>
      <c r="H9" s="235" t="e">
        <f>SUMIFS('Waipuna Actual'!$J$51:$U$51,'Waipuna Actual'!J50:U50,"&lt;="&amp;Summary_2!$E$2)/H5</f>
        <v>#DIV/0!</v>
      </c>
      <c r="I9" s="179" t="e">
        <f>SUMIFS('Waipuna Budget'!$J$51:$U$51,'Waipuna Budget'!J50:U50,"&lt;="&amp;Summary_2!$E$2)/I5</f>
        <v>#DIV/0!</v>
      </c>
      <c r="J9" s="187" t="e">
        <f>I9-H9</f>
        <v>#DIV/0!</v>
      </c>
      <c r="L9" s="444" t="s">
        <v>222</v>
      </c>
      <c r="M9" s="189">
        <f>$S$5*'Waipuna Budget'!C24</f>
        <v>0</v>
      </c>
      <c r="P9" s="253">
        <f>IFERROR(HLOOKUP($Q$2,'Waipuna Actual'!$J$50:$U$51,2,0)/P5,0)</f>
        <v>0</v>
      </c>
      <c r="Q9" s="253">
        <f>IFERROR(HLOOKUP($Q$2,'Waipuna Budget'!$J$50:$U$51,2,0)/Q5,0)</f>
        <v>0</v>
      </c>
      <c r="R9" s="253">
        <f>HLOOKUP($Q$2,'Waipuna Actual'!$J$50:$U$51,2,0)</f>
        <v>0</v>
      </c>
      <c r="S9" s="253">
        <f>HLOOKUP($Q$2,'Waipuna Budget'!$J$50:$U$51,2,0)</f>
        <v>0</v>
      </c>
      <c r="T9">
        <v>8</v>
      </c>
      <c r="U9" t="s">
        <v>187</v>
      </c>
      <c r="V9" s="249">
        <v>45870</v>
      </c>
    </row>
    <row r="10" spans="1:22" x14ac:dyDescent="0.25">
      <c r="E10" s="220"/>
      <c r="F10" s="151"/>
      <c r="H10" s="234"/>
      <c r="I10" s="183"/>
      <c r="J10" s="185"/>
      <c r="L10" s="444" t="s">
        <v>34</v>
      </c>
      <c r="M10" s="189">
        <f>$S$5*'Waipuna Budget'!C25</f>
        <v>0</v>
      </c>
      <c r="P10" s="252"/>
      <c r="Q10" s="252"/>
      <c r="R10" s="252"/>
      <c r="S10" s="252"/>
      <c r="T10">
        <v>9</v>
      </c>
      <c r="U10" t="s">
        <v>188</v>
      </c>
      <c r="V10" s="249">
        <v>45901</v>
      </c>
    </row>
    <row r="11" spans="1:22" x14ac:dyDescent="0.25">
      <c r="B11" s="170" t="s">
        <v>139</v>
      </c>
      <c r="C11" s="170"/>
      <c r="D11" s="171" t="s">
        <v>140</v>
      </c>
      <c r="E11" s="219" t="e">
        <f>HLOOKUP($E$2,'Waipuna Actual'!$J$55:$U$78,24,0)/E5</f>
        <v>#DIV/0!</v>
      </c>
      <c r="F11" s="218" t="e">
        <f>HLOOKUP($E$2,'Waipuna Budget'!$J$55:$U$78,24,0)/F5</f>
        <v>#DIV/0!</v>
      </c>
      <c r="G11" s="176" t="e">
        <f>F11-E11</f>
        <v>#DIV/0!</v>
      </c>
      <c r="H11" s="235" t="e">
        <f>SUMIFS('Waipuna Actual'!$J$78:$U$78,'Waipuna Actual'!$J$55:$U$55,"&lt;="&amp;Summary_2!$E$2)/H5</f>
        <v>#DIV/0!</v>
      </c>
      <c r="I11" s="179" t="e">
        <f>SUMIFS('Waipuna Budget'!$J$78:$U$78,'Waipuna Budget'!$J$55:$U$55,"&lt;="&amp;Summary_2!$E$2)/I5</f>
        <v>#DIV/0!</v>
      </c>
      <c r="J11" s="187" t="e">
        <f>I11-H11</f>
        <v>#DIV/0!</v>
      </c>
      <c r="L11" s="444" t="s">
        <v>37</v>
      </c>
      <c r="M11" s="189">
        <f>$S$5*'Waipuna Budget'!C26</f>
        <v>0</v>
      </c>
      <c r="P11" s="253">
        <f>IFERROR(HLOOKUP($Q$2,'Waipuna Actual'!$J$55:$U$78,24,0)/P5,0)</f>
        <v>0</v>
      </c>
      <c r="Q11" s="253">
        <f>IFERROR(HLOOKUP($Q$2,'Waipuna Budget'!$J$55:$U$78,24,0)/Q5,0)</f>
        <v>0</v>
      </c>
      <c r="R11" s="253">
        <f>HLOOKUP($Q$2,'Waipuna Actual'!$J$55:$U$78,24,0)</f>
        <v>0</v>
      </c>
      <c r="S11" s="253">
        <f>HLOOKUP($Q$2,'Waipuna Budget'!$J$55:$U$78,24,0)</f>
        <v>0</v>
      </c>
      <c r="T11">
        <v>10</v>
      </c>
      <c r="U11" t="s">
        <v>189</v>
      </c>
      <c r="V11" s="249">
        <v>45931</v>
      </c>
    </row>
    <row r="12" spans="1:22" x14ac:dyDescent="0.25">
      <c r="E12" s="220"/>
      <c r="F12" s="373"/>
      <c r="H12" s="234"/>
      <c r="I12" s="183"/>
      <c r="J12" s="185"/>
      <c r="L12" s="444" t="s">
        <v>174</v>
      </c>
      <c r="M12" s="189">
        <f>$S$5*'Waipuna Budget'!C27</f>
        <v>0</v>
      </c>
      <c r="P12" s="252"/>
      <c r="Q12" s="252"/>
      <c r="R12" s="252"/>
      <c r="S12" s="252"/>
      <c r="T12">
        <v>11</v>
      </c>
      <c r="U12" t="s">
        <v>190</v>
      </c>
      <c r="V12" s="249">
        <v>45962</v>
      </c>
    </row>
    <row r="13" spans="1:22" x14ac:dyDescent="0.25">
      <c r="B13" s="157" t="s">
        <v>52</v>
      </c>
      <c r="C13" s="157" t="s">
        <v>53</v>
      </c>
      <c r="E13" s="220" t="e">
        <f>HLOOKUP($E$2,'Waipuna Actual'!$J$81:$U$105,2,0)/$E$5</f>
        <v>#DIV/0!</v>
      </c>
      <c r="F13" s="221" t="e">
        <f>HLOOKUP($E$2,'Waipuna Budget'!$J$81:$U$105,2,0)/$F$5</f>
        <v>#DIV/0!</v>
      </c>
      <c r="G13" s="188" t="e">
        <f t="shared" ref="G13:G20" si="0">F13-E13</f>
        <v>#DIV/0!</v>
      </c>
      <c r="H13" s="234" t="e">
        <f>SUMIFS('Waipuna Actual'!$J$82:$U$82,'Waipuna Actual'!$J$81:$U$81,"&lt;="&amp;Summary_2!$E$2)/H5</f>
        <v>#DIV/0!</v>
      </c>
      <c r="I13" s="183" t="e">
        <f>SUMIFS('Waipuna Budget'!$J$82:$U$82,'Waipuna Budget'!$J$81:$U$81,"&lt;="&amp;Summary_2!$E$2)/I5</f>
        <v>#DIV/0!</v>
      </c>
      <c r="J13" s="189" t="e">
        <f t="shared" ref="J13:J20" si="1">I13-H13</f>
        <v>#DIV/0!</v>
      </c>
      <c r="L13" s="444" t="s">
        <v>202</v>
      </c>
      <c r="M13" s="189">
        <f>$S$5*'Waipuna Budget'!C28</f>
        <v>0</v>
      </c>
      <c r="P13" s="252">
        <f>IFERROR(HLOOKUP($Q$2,'Waipuna Actual'!$J$81:$U$105,2,0)/$P$5,0)</f>
        <v>0</v>
      </c>
      <c r="Q13" s="252">
        <f>IFERROR(HLOOKUP($Q$2,'Waipuna Budget'!$J$81:$U$105,2,0)/$Q$5,0)</f>
        <v>0</v>
      </c>
      <c r="R13" s="252">
        <f>HLOOKUP($Q$2,'Waipuna Actual'!$J$81:$U$105,2,0)</f>
        <v>0</v>
      </c>
      <c r="S13" s="252">
        <f>HLOOKUP($Q$2,'Waipuna Budget'!$J$81:$U$105,2,0)</f>
        <v>0</v>
      </c>
      <c r="T13">
        <v>12</v>
      </c>
      <c r="U13" t="s">
        <v>191</v>
      </c>
      <c r="V13" s="249">
        <v>45992</v>
      </c>
    </row>
    <row r="14" spans="1:22" x14ac:dyDescent="0.25">
      <c r="B14" s="157" t="s">
        <v>227</v>
      </c>
      <c r="C14" s="157" t="s">
        <v>53</v>
      </c>
      <c r="E14" s="220" t="e">
        <f>HLOOKUP($E$2,'Waipuna Actual'!$J$81:$U$105,3,0)/$E$5</f>
        <v>#DIV/0!</v>
      </c>
      <c r="F14" s="221" t="e">
        <f>HLOOKUP($E$2,'Waipuna Budget'!$J$81:$U$105,3,0)/$F$5</f>
        <v>#DIV/0!</v>
      </c>
      <c r="G14" s="188" t="e">
        <f t="shared" si="0"/>
        <v>#DIV/0!</v>
      </c>
      <c r="H14" s="234" t="e">
        <f>SUMIFS('Waipuna Actual'!$J$83:$U$83,'Waipuna Actual'!$J$81:$U$81,"&lt;="&amp;Summary_2!$E$2)/H5</f>
        <v>#DIV/0!</v>
      </c>
      <c r="I14" s="183" t="e">
        <f>SUMIFS('Waipuna Budget'!$J$83:$U$83,'Waipuna Budget'!$J$81:$U$81,"&lt;="&amp;Summary_2!$E$2)/I5</f>
        <v>#DIV/0!</v>
      </c>
      <c r="J14" s="189" t="e">
        <f t="shared" si="1"/>
        <v>#DIV/0!</v>
      </c>
      <c r="L14" s="444" t="s">
        <v>175</v>
      </c>
      <c r="M14" s="189">
        <f>$S$5*'Waipuna Budget'!C29</f>
        <v>0</v>
      </c>
      <c r="P14" s="252">
        <f>IFERROR(HLOOKUP($Q$2,'Waipuna Actual'!$J$81:$U$105,3,0)/$P$5,0)</f>
        <v>0</v>
      </c>
      <c r="Q14" s="252">
        <f>IFERROR(HLOOKUP($Q$2,'Waipuna Budget'!$J$81:$U$105,3,0)/$Q$5,0)</f>
        <v>0</v>
      </c>
      <c r="R14" s="252">
        <f>HLOOKUP($Q$2,'Waipuna Actual'!$J$81:$U$105,3,0)</f>
        <v>0</v>
      </c>
      <c r="S14" s="252">
        <f>HLOOKUP($Q$2,'Waipuna Budget'!$J$81:$U$105,3,0)</f>
        <v>0</v>
      </c>
    </row>
    <row r="15" spans="1:22" x14ac:dyDescent="0.25">
      <c r="B15" s="157" t="s">
        <v>54</v>
      </c>
      <c r="C15" s="157" t="s">
        <v>53</v>
      </c>
      <c r="E15" s="220" t="e">
        <f>HLOOKUP($E$2,'Waipuna Actual'!$J$81:$U$105,4,0)/$E$5</f>
        <v>#DIV/0!</v>
      </c>
      <c r="F15" s="221" t="e">
        <f>HLOOKUP($E$2,'Waipuna Budget'!$J$81:$U$105,4,0)/$F$5</f>
        <v>#DIV/0!</v>
      </c>
      <c r="G15" s="188" t="e">
        <f t="shared" si="0"/>
        <v>#DIV/0!</v>
      </c>
      <c r="H15" s="234" t="e">
        <f>SUMIFS('Waipuna Actual'!$J$84:$U$84,'Waipuna Actual'!$J$81:$U$81,"&lt;="&amp;Summary_2!$E$2)/H5</f>
        <v>#DIV/0!</v>
      </c>
      <c r="I15" s="183" t="e">
        <f>SUMIFS('Waipuna Budget'!$J$84:$U$84,'Waipuna Budget'!$J$81:$U$81,"&lt;="&amp;Summary_2!$E$2)/I5</f>
        <v>#DIV/0!</v>
      </c>
      <c r="J15" s="189" t="e">
        <f t="shared" si="1"/>
        <v>#DIV/0!</v>
      </c>
      <c r="L15" s="444" t="s">
        <v>176</v>
      </c>
      <c r="M15" s="189">
        <f>$S$5*'Waipuna Budget'!C30</f>
        <v>0</v>
      </c>
      <c r="P15" s="252">
        <f>IFERROR(HLOOKUP($Q$2,'Waipuna Actual'!$J$81:$U$105,4,0)/$P$5,0)</f>
        <v>0</v>
      </c>
      <c r="Q15" s="252">
        <f>IFERROR(HLOOKUP($Q$2,'Waipuna Budget'!$J$81:$U$105,4,0)/$Q$5,0)</f>
        <v>0</v>
      </c>
      <c r="R15" s="252">
        <f>HLOOKUP($Q$2,'Waipuna Actual'!$J$81:$U$105,4,0)</f>
        <v>0</v>
      </c>
      <c r="S15" s="252">
        <f>HLOOKUP($Q$2,'Waipuna Budget'!$J$81:$U$105,4,0)</f>
        <v>0</v>
      </c>
    </row>
    <row r="16" spans="1:22" x14ac:dyDescent="0.25">
      <c r="B16" s="157" t="s">
        <v>55</v>
      </c>
      <c r="C16" s="157" t="s">
        <v>53</v>
      </c>
      <c r="E16" s="220" t="e">
        <f>HLOOKUP($E$2,'Waipuna Actual'!$J$81:$U$105,5,0)/$E$5</f>
        <v>#DIV/0!</v>
      </c>
      <c r="F16" s="221" t="e">
        <f>HLOOKUP($E$2,'Waipuna Budget'!$J$81:$U$105,5,0)/$F$5</f>
        <v>#DIV/0!</v>
      </c>
      <c r="G16" s="188" t="e">
        <f t="shared" si="0"/>
        <v>#DIV/0!</v>
      </c>
      <c r="H16" s="234" t="e">
        <f>SUMIFS('Waipuna Actual'!$J$85:$U$85,'Waipuna Actual'!$J$81:$U$81,"&lt;="&amp;Summary_2!$E$2)/H5</f>
        <v>#DIV/0!</v>
      </c>
      <c r="I16" s="183" t="e">
        <f>SUMIFS('Waipuna Budget'!$J$85:$U$85,'Waipuna Budget'!$J$81:$U$81,"&lt;="&amp;Summary_2!$E$2)/I5</f>
        <v>#DIV/0!</v>
      </c>
      <c r="J16" s="189" t="e">
        <f t="shared" si="1"/>
        <v>#DIV/0!</v>
      </c>
      <c r="L16" s="444" t="s">
        <v>23</v>
      </c>
      <c r="M16" s="189">
        <f>$S$5*'Waipuna Budget'!C31</f>
        <v>0</v>
      </c>
      <c r="P16" s="252">
        <f>IFERROR(HLOOKUP($Q$2,'Waipuna Actual'!$J$81:$U$105,5,0)/$P$5,0)</f>
        <v>0</v>
      </c>
      <c r="Q16" s="252">
        <f>IFERROR(HLOOKUP($Q$2,'Waipuna Budget'!$J$81:$U$105,5,0)/$Q$5,0)</f>
        <v>0</v>
      </c>
      <c r="R16" s="252">
        <f>HLOOKUP($Q$2,'Waipuna Actual'!$J$81:$U$105,5,0)</f>
        <v>0</v>
      </c>
      <c r="S16" s="252">
        <f>HLOOKUP($Q$2,'Waipuna Budget'!$J$81:$U$105,5,0)</f>
        <v>0</v>
      </c>
    </row>
    <row r="17" spans="2:19" x14ac:dyDescent="0.25">
      <c r="B17" s="157" t="s">
        <v>228</v>
      </c>
      <c r="C17" s="157" t="s">
        <v>53</v>
      </c>
      <c r="E17" s="220" t="e">
        <f>HLOOKUP($E$2,'Waipuna Actual'!$J$81:$U$105,6,0)/$E$5</f>
        <v>#DIV/0!</v>
      </c>
      <c r="F17" s="221" t="e">
        <f>HLOOKUP($E$2,'Waipuna Budget'!$J$81:$U$105,6,0)/$F$5</f>
        <v>#DIV/0!</v>
      </c>
      <c r="G17" s="188" t="e">
        <f t="shared" si="0"/>
        <v>#DIV/0!</v>
      </c>
      <c r="H17" s="234" t="e">
        <f>SUMIFS('Waipuna Actual'!$J$86:$U$86,'Waipuna Actual'!$J$81:$U$81,"&lt;="&amp;Summary_2!$E$2)/H5</f>
        <v>#DIV/0!</v>
      </c>
      <c r="I17" s="183" t="e">
        <f>SUMIFS('Waipuna Budget'!$J$86:$U$86,'Waipuna Budget'!$J$81:$U$81,"&lt;="&amp;Summary_2!$E$2)/I5</f>
        <v>#DIV/0!</v>
      </c>
      <c r="J17" s="189" t="e">
        <f t="shared" si="1"/>
        <v>#DIV/0!</v>
      </c>
      <c r="L17" s="444" t="s">
        <v>24</v>
      </c>
      <c r="M17" s="189">
        <f>$S$5*'Waipuna Budget'!C32</f>
        <v>0</v>
      </c>
      <c r="P17" s="252">
        <f>IFERROR(HLOOKUP($Q$2,'Waipuna Actual'!$J$81:$U$105,6,0)/$P$5,0)</f>
        <v>0</v>
      </c>
      <c r="Q17" s="252">
        <f>IFERROR(HLOOKUP($Q$2,'Waipuna Budget'!$J$81:$U$105,6,0)/$Q$5,0)</f>
        <v>0</v>
      </c>
      <c r="R17" s="252">
        <f>HLOOKUP($Q$2,'Waipuna Actual'!$J$81:$U$105,6,0)</f>
        <v>0</v>
      </c>
      <c r="S17" s="252">
        <f>HLOOKUP($Q$2,'Waipuna Budget'!$J$81:$U$105,6,0)</f>
        <v>0</v>
      </c>
    </row>
    <row r="18" spans="2:19" x14ac:dyDescent="0.25">
      <c r="B18" s="157" t="s">
        <v>56</v>
      </c>
      <c r="C18" s="157" t="s">
        <v>53</v>
      </c>
      <c r="E18" s="220" t="e">
        <f>HLOOKUP($E$2,'Waipuna Actual'!$J$81:$U$105,7,0)/$E$5</f>
        <v>#DIV/0!</v>
      </c>
      <c r="F18" s="221" t="e">
        <f>HLOOKUP($E$2,'Waipuna Budget'!$J$81:$U$105,7,0)/$F$5</f>
        <v>#DIV/0!</v>
      </c>
      <c r="G18" s="188" t="e">
        <f t="shared" si="0"/>
        <v>#DIV/0!</v>
      </c>
      <c r="H18" s="234" t="e">
        <f>SUMIFS('Waipuna Actual'!$J$87:$U$87,'Waipuna Actual'!$J$81:$U$81,"&lt;="&amp;Summary_2!$E$2)/H5</f>
        <v>#DIV/0!</v>
      </c>
      <c r="I18" s="183" t="e">
        <f>SUMIFS('Waipuna Budget'!$J$87:$U$87,'Waipuna Budget'!$J$81:$U$81,"&lt;="&amp;Summary_2!$E$2)/I5</f>
        <v>#DIV/0!</v>
      </c>
      <c r="J18" s="189" t="e">
        <f t="shared" si="1"/>
        <v>#DIV/0!</v>
      </c>
      <c r="L18" s="444" t="s">
        <v>26</v>
      </c>
      <c r="M18" s="189">
        <f>$S$5*'Waipuna Budget'!C33</f>
        <v>0</v>
      </c>
      <c r="P18" s="252">
        <f>IFERROR(HLOOKUP($Q$2,'Waipuna Actual'!$J$81:$U$105,7,0)/$P$5,0)</f>
        <v>0</v>
      </c>
      <c r="Q18" s="252">
        <f>IFERROR(HLOOKUP($Q$2,'Waipuna Budget'!$J$81:$U$105,7,0)/$Q$5,0)</f>
        <v>0</v>
      </c>
      <c r="R18" s="252">
        <f>HLOOKUP($Q$2,'Waipuna Actual'!$J$81:$U$105,7,0)</f>
        <v>0</v>
      </c>
      <c r="S18" s="252">
        <f>HLOOKUP($Q$2,'Waipuna Budget'!$J$81:$U$105,7,0)</f>
        <v>0</v>
      </c>
    </row>
    <row r="19" spans="2:19" x14ac:dyDescent="0.25">
      <c r="B19" s="157" t="s">
        <v>57</v>
      </c>
      <c r="C19" s="157" t="s">
        <v>53</v>
      </c>
      <c r="E19" s="220" t="e">
        <f>HLOOKUP($E$2,'Waipuna Actual'!$J$81:$U$105,8,0)/$E$5</f>
        <v>#DIV/0!</v>
      </c>
      <c r="F19" s="221" t="e">
        <f>HLOOKUP($E$2,'Waipuna Budget'!$J$81:$U$105,8,0)/$F$5</f>
        <v>#DIV/0!</v>
      </c>
      <c r="G19" s="188" t="e">
        <f t="shared" si="0"/>
        <v>#DIV/0!</v>
      </c>
      <c r="H19" s="234" t="e">
        <f>SUMIFS('Waipuna Actual'!$J$88:$U$88,'Waipuna Actual'!$J$81:$U$81,"&lt;="&amp;Summary_2!$E$2)/H5</f>
        <v>#DIV/0!</v>
      </c>
      <c r="I19" s="183" t="e">
        <f>SUMIFS('Waipuna Budget'!$J$88:$U$88,'Waipuna Budget'!$J$81:$U$81,"&lt;="&amp;Summary_2!$E$2)/I5</f>
        <v>#DIV/0!</v>
      </c>
      <c r="J19" s="189" t="e">
        <f t="shared" si="1"/>
        <v>#DIV/0!</v>
      </c>
      <c r="L19" s="444" t="s">
        <v>27</v>
      </c>
      <c r="M19" s="189">
        <f>$S$5*'Waipuna Budget'!C34</f>
        <v>0</v>
      </c>
      <c r="P19" s="252">
        <f>IFERROR(HLOOKUP($Q$2,'Waipuna Actual'!$J$81:$U$105,8,0)/$P$5,0)</f>
        <v>0</v>
      </c>
      <c r="Q19" s="252">
        <f>IFERROR(HLOOKUP($Q$2,'Waipuna Budget'!$J$81:$U$105,8,0)/$Q$5,0)</f>
        <v>0</v>
      </c>
      <c r="R19" s="252">
        <f>HLOOKUP($Q$2,'Waipuna Actual'!$J$81:$U$105,8,0)</f>
        <v>0</v>
      </c>
      <c r="S19" s="252">
        <f>HLOOKUP($Q$2,'Waipuna Budget'!$J$81:$U$105,8,0)</f>
        <v>0</v>
      </c>
    </row>
    <row r="20" spans="2:19" x14ac:dyDescent="0.25">
      <c r="B20" s="172" t="s">
        <v>229</v>
      </c>
      <c r="C20" s="172" t="s">
        <v>53</v>
      </c>
      <c r="D20" s="171"/>
      <c r="E20" s="219" t="e">
        <f>HLOOKUP($E$2,'Waipuna Actual'!$J$81:$U$105,9,0)/$E$5</f>
        <v>#DIV/0!</v>
      </c>
      <c r="F20" s="218" t="e">
        <f>HLOOKUP($E$2,'Waipuna Budget'!$J$81:$U$105,9,0)/$F$5</f>
        <v>#DIV/0!</v>
      </c>
      <c r="G20" s="176" t="e">
        <f t="shared" si="0"/>
        <v>#DIV/0!</v>
      </c>
      <c r="H20" s="235" t="e">
        <f>SUMIFS('Waipuna Actual'!$J$89:$U$89,'Waipuna Actual'!$J$81:$U$81,"&lt;="&amp;Summary_2!$E$2)/H5</f>
        <v>#DIV/0!</v>
      </c>
      <c r="I20" s="179" t="e">
        <f>SUMIFS('Waipuna Budget'!$J$89:$U$89,'Waipuna Budget'!$J$81:$U$81,"&lt;="&amp;Summary_2!$E$2)/I5</f>
        <v>#DIV/0!</v>
      </c>
      <c r="J20" s="187" t="e">
        <f t="shared" si="1"/>
        <v>#DIV/0!</v>
      </c>
      <c r="L20" s="444" t="s">
        <v>29</v>
      </c>
      <c r="M20" s="189">
        <f>$S$5*'Waipuna Budget'!C35</f>
        <v>0</v>
      </c>
      <c r="P20" s="253">
        <f>IFERROR(HLOOKUP($Q$2,'Waipuna Actual'!$J$81:$U$105,9,0)/$P$5,0)</f>
        <v>0</v>
      </c>
      <c r="Q20" s="253">
        <f>IFERROR(HLOOKUP($Q$2,'Waipuna Budget'!$J$81:$U$105,9,0)/$Q$5,0)</f>
        <v>0</v>
      </c>
      <c r="R20" s="253">
        <f>HLOOKUP($Q$2,'Waipuna Actual'!$J$81:$U$105,9,0)</f>
        <v>0</v>
      </c>
      <c r="S20" s="253">
        <f>HLOOKUP($Q$2,'Waipuna Budget'!$J$81:$U$105,9,0)</f>
        <v>0</v>
      </c>
    </row>
    <row r="21" spans="2:19" x14ac:dyDescent="0.25">
      <c r="B21" s="169" t="s">
        <v>141</v>
      </c>
      <c r="C21" s="169" t="s">
        <v>53</v>
      </c>
      <c r="D21" s="158" t="s">
        <v>142</v>
      </c>
      <c r="E21" s="220" t="e">
        <f t="shared" ref="E21:J21" si="2">SUM(E13:E20)</f>
        <v>#DIV/0!</v>
      </c>
      <c r="F21" s="221" t="e">
        <f t="shared" si="2"/>
        <v>#DIV/0!</v>
      </c>
      <c r="G21" s="188" t="e">
        <f t="shared" si="2"/>
        <v>#DIV/0!</v>
      </c>
      <c r="H21" s="234" t="e">
        <f t="shared" si="2"/>
        <v>#DIV/0!</v>
      </c>
      <c r="I21" s="183" t="e">
        <f t="shared" si="2"/>
        <v>#DIV/0!</v>
      </c>
      <c r="J21" s="189" t="e">
        <f t="shared" si="2"/>
        <v>#DIV/0!</v>
      </c>
      <c r="L21" s="444" t="s">
        <v>28</v>
      </c>
      <c r="M21" s="189">
        <f>$S$5*'Waipuna Budget'!C36</f>
        <v>0</v>
      </c>
      <c r="P21" s="252">
        <f>SUM(P13:P20)</f>
        <v>0</v>
      </c>
      <c r="Q21" s="252">
        <f>SUM(Q13:Q20)</f>
        <v>0</v>
      </c>
      <c r="R21" s="252">
        <f>SUM(R13:R20)</f>
        <v>0</v>
      </c>
      <c r="S21" s="252">
        <f>SUM(S13:S20)</f>
        <v>0</v>
      </c>
    </row>
    <row r="22" spans="2:19" x14ac:dyDescent="0.25">
      <c r="E22" s="220"/>
      <c r="F22" s="373"/>
      <c r="H22" s="234"/>
      <c r="I22" s="183"/>
      <c r="J22" s="185"/>
      <c r="L22" s="444" t="s">
        <v>31</v>
      </c>
      <c r="M22" s="189">
        <f>$S$5*'Waipuna Budget'!C37</f>
        <v>0</v>
      </c>
      <c r="P22" s="252"/>
      <c r="Q22" s="252"/>
      <c r="R22" s="252"/>
      <c r="S22" s="252"/>
    </row>
    <row r="23" spans="2:19" x14ac:dyDescent="0.25">
      <c r="B23" s="329" t="s">
        <v>238</v>
      </c>
      <c r="C23" s="157" t="s">
        <v>59</v>
      </c>
      <c r="E23" s="220" t="e">
        <f>HLOOKUP($E$2,'Waipuna Actual'!$J$81:$U$105,10,0)/$E$5</f>
        <v>#DIV/0!</v>
      </c>
      <c r="F23" s="221" t="e">
        <f>HLOOKUP($E$2,'Waipuna Budget'!$J$81:$U$105,10,0)/$F$5</f>
        <v>#DIV/0!</v>
      </c>
      <c r="G23" s="188" t="e">
        <f t="shared" ref="G23:G28" si="3">F23-E23</f>
        <v>#DIV/0!</v>
      </c>
      <c r="H23" s="234" t="e">
        <f>SUMIFS('Waipuna Actual'!$J$90:$U$90,'Waipuna Actual'!$J$81:$U$81,"&lt;="&amp;Summary_2!$E$2)/H5</f>
        <v>#DIV/0!</v>
      </c>
      <c r="I23" s="183" t="e">
        <f>SUMIFS('Waipuna Budget'!$J$90:$U$90,'Waipuna Budget'!$J$81:$U$81,"&lt;="&amp;Summary_2!$E$2)/I5</f>
        <v>#DIV/0!</v>
      </c>
      <c r="J23" s="189" t="e">
        <f t="shared" ref="J23:J28" si="4">I23-H23</f>
        <v>#DIV/0!</v>
      </c>
      <c r="L23" s="444" t="s">
        <v>32</v>
      </c>
      <c r="M23" s="189">
        <f>$S$5*'Waipuna Budget'!C38</f>
        <v>0</v>
      </c>
      <c r="P23" s="252">
        <f>IFERROR(HLOOKUP($Q$2,'Waipuna Actual'!$J$81:$U$105,10,0)/$P$5,0)</f>
        <v>0</v>
      </c>
      <c r="Q23" s="252">
        <f>IFERROR(HLOOKUP($Q$2,'Waipuna Budget'!$J$81:$U$105,10,0)/$Q$5,0)</f>
        <v>0</v>
      </c>
      <c r="R23" s="252">
        <f>HLOOKUP($Q$2,'Waipuna Actual'!$J$81:$U$105,10,0)</f>
        <v>0</v>
      </c>
      <c r="S23" s="252">
        <f>HLOOKUP($Q$2,'Waipuna Budget'!$J$81:$U$105,10,0)</f>
        <v>0</v>
      </c>
    </row>
    <row r="24" spans="2:19" x14ac:dyDescent="0.25">
      <c r="B24" s="329" t="s">
        <v>225</v>
      </c>
      <c r="C24" s="157" t="s">
        <v>59</v>
      </c>
      <c r="E24" s="220" t="e">
        <f>HLOOKUP($E$2,'Waipuna Actual'!$J$81:$U$105,11,0)/$E$5</f>
        <v>#DIV/0!</v>
      </c>
      <c r="F24" s="221" t="e">
        <f>HLOOKUP($E$2,'Waipuna Budget'!$J$81:$U$105,11,0)/$F$5</f>
        <v>#DIV/0!</v>
      </c>
      <c r="G24" s="188" t="e">
        <f t="shared" si="3"/>
        <v>#DIV/0!</v>
      </c>
      <c r="H24" s="234" t="e">
        <f>SUMIFS('Waipuna Actual'!$J$91:$U$91,'Waipuna Actual'!$J$81:$U$81,"&lt;="&amp;Summary_2!$E$2)/H5</f>
        <v>#DIV/0!</v>
      </c>
      <c r="I24" s="183" t="e">
        <f>SUMIFS('Waipuna Budget'!$J$91:$U$91,'Waipuna Budget'!$J$81:$U$81,"&lt;="&amp;Summary_2!$E$2)/I5</f>
        <v>#DIV/0!</v>
      </c>
      <c r="J24" s="189" t="e">
        <f t="shared" si="4"/>
        <v>#DIV/0!</v>
      </c>
      <c r="L24" s="444" t="s">
        <v>33</v>
      </c>
      <c r="M24" s="189">
        <f>$S$5*'Waipuna Budget'!C39</f>
        <v>0</v>
      </c>
      <c r="P24" s="252">
        <f>IFERROR(HLOOKUP($Q$2,'Waipuna Actual'!$J$81:$U$105,11,0)/$P$5,0)</f>
        <v>0</v>
      </c>
      <c r="Q24" s="252">
        <f>IFERROR(HLOOKUP($Q$2,'Waipuna Budget'!$J$81:$U$105,11,0)/$Q$5,0)</f>
        <v>0</v>
      </c>
      <c r="R24" s="252">
        <f>HLOOKUP($Q$2,'Waipuna Actual'!$J$81:$U$105,11,0)</f>
        <v>0</v>
      </c>
      <c r="S24" s="252">
        <f>HLOOKUP($Q$2,'Waipuna Budget'!$J$81:$U$105,11,0)</f>
        <v>0</v>
      </c>
    </row>
    <row r="25" spans="2:19" x14ac:dyDescent="0.25">
      <c r="B25" s="329" t="s">
        <v>226</v>
      </c>
      <c r="C25" s="157" t="s">
        <v>59</v>
      </c>
      <c r="E25" s="220" t="e">
        <f>HLOOKUP($E$2,'Waipuna Actual'!$J$81:$U$105,12,0)/$E$5</f>
        <v>#DIV/0!</v>
      </c>
      <c r="F25" s="221" t="e">
        <f>HLOOKUP($E$2,'Waipuna Budget'!$J$81:$U$105,12,0)/$F$5</f>
        <v>#DIV/0!</v>
      </c>
      <c r="G25" s="188" t="e">
        <f t="shared" si="3"/>
        <v>#DIV/0!</v>
      </c>
      <c r="H25" s="234" t="e">
        <f>SUMIFS('Waipuna Actual'!$J$92:$U$92,'Waipuna Actual'!$J$81:$U$81,"&lt;="&amp;Summary_2!$E$2)/H5</f>
        <v>#DIV/0!</v>
      </c>
      <c r="I25" s="183" t="e">
        <f>SUMIFS('Waipuna Budget'!$J$92:$U$92,'Waipuna Budget'!$J$81:$U$81,"&lt;="&amp;Summary_2!$E$2)/I5</f>
        <v>#DIV/0!</v>
      </c>
      <c r="J25" s="189" t="e">
        <f t="shared" si="4"/>
        <v>#DIV/0!</v>
      </c>
      <c r="L25" s="444" t="s">
        <v>35</v>
      </c>
      <c r="M25" s="189">
        <f>$S$5*'Waipuna Budget'!C40</f>
        <v>0</v>
      </c>
      <c r="P25" s="252">
        <f>IFERROR(HLOOKUP($Q$2,'Waipuna Actual'!$J$81:$U$105,12,0)/$P$5,0)</f>
        <v>0</v>
      </c>
      <c r="Q25" s="252">
        <f>IFERROR(HLOOKUP($Q$2,'Waipuna Budget'!$J$81:$U$105,12,0)/$Q$5,0)</f>
        <v>0</v>
      </c>
      <c r="R25" s="252">
        <f>HLOOKUP($Q$2,'Waipuna Actual'!$J$81:$U$105,12,0)</f>
        <v>0</v>
      </c>
      <c r="S25" s="252">
        <f>HLOOKUP($Q$2,'Waipuna Budget'!$J$81:$U$105,12,0)</f>
        <v>0</v>
      </c>
    </row>
    <row r="26" spans="2:19" ht="15.75" thickBot="1" x14ac:dyDescent="0.3">
      <c r="B26" s="329" t="s">
        <v>205</v>
      </c>
      <c r="C26" s="157" t="s">
        <v>59</v>
      </c>
      <c r="E26" s="220" t="e">
        <f>HLOOKUP($E$2,'Waipuna Actual'!$J$81:$U$105,13,0)/$E$5</f>
        <v>#DIV/0!</v>
      </c>
      <c r="F26" s="221" t="e">
        <f>HLOOKUP($E$2,'Waipuna Budget'!$J$81:$U$105,13,0)/$F$5</f>
        <v>#DIV/0!</v>
      </c>
      <c r="G26" s="188" t="e">
        <f t="shared" si="3"/>
        <v>#DIV/0!</v>
      </c>
      <c r="H26" s="234" t="e">
        <f>SUMIFS('Waipuna Actual'!$J$93:$U$93,'Waipuna Actual'!$J$81:$U$81,"&lt;="&amp;Summary_2!$E$2)/H5</f>
        <v>#DIV/0!</v>
      </c>
      <c r="I26" s="183" t="e">
        <f>SUMIFS('Waipuna Budget'!$J$93:$U$93,'Waipuna Budget'!$J$81:$U$81,"&lt;="&amp;Summary_2!$E$2)/I5</f>
        <v>#DIV/0!</v>
      </c>
      <c r="J26" s="189" t="e">
        <f t="shared" si="4"/>
        <v>#DIV/0!</v>
      </c>
      <c r="L26" s="445" t="s">
        <v>36</v>
      </c>
      <c r="M26" s="446">
        <f>$S$5*'Waipuna Budget'!C41</f>
        <v>0</v>
      </c>
      <c r="P26" s="252">
        <f>IFERROR(HLOOKUP($Q$2,'Waipuna Actual'!$J$81:$U$105,13,0)/$P$5,0)</f>
        <v>0</v>
      </c>
      <c r="Q26" s="252">
        <f>IFERROR(HLOOKUP($Q$2,'Waipuna Budget'!$J$81:$U$105,13,0)/$Q$5,0)</f>
        <v>0</v>
      </c>
      <c r="R26" s="252">
        <f>HLOOKUP($Q$2,'Waipuna Actual'!$J$81:$U$105,13,0)</f>
        <v>0</v>
      </c>
      <c r="S26" s="252">
        <f>HLOOKUP($Q$2,'Waipuna Budget'!$J$81:$U$105,13,0)</f>
        <v>0</v>
      </c>
    </row>
    <row r="27" spans="2:19" x14ac:dyDescent="0.25">
      <c r="B27" s="329" t="s">
        <v>60</v>
      </c>
      <c r="C27" s="157" t="s">
        <v>59</v>
      </c>
      <c r="E27" s="220" t="e">
        <f>HLOOKUP($E$2,'Waipuna Actual'!$J$81:$U$105,14,0)/$E$5</f>
        <v>#DIV/0!</v>
      </c>
      <c r="F27" s="221" t="e">
        <f>HLOOKUP($E$2,'Waipuna Budget'!$J$81:$U$105,14,0)/$F$5</f>
        <v>#DIV/0!</v>
      </c>
      <c r="G27" s="188" t="e">
        <f t="shared" si="3"/>
        <v>#DIV/0!</v>
      </c>
      <c r="H27" s="234" t="e">
        <f>SUMIFS('Waipuna Actual'!$J$94:$U$94,'Waipuna Actual'!$J$81:$U$81,"&lt;="&amp;Summary_2!$E$2)/H5</f>
        <v>#DIV/0!</v>
      </c>
      <c r="I27" s="183" t="e">
        <f>SUMIFS('Waipuna Budget'!$J$94:$U$94,'Waipuna Budget'!$J$81:$U$81,"&lt;="&amp;Summary_2!$E$2)/I5</f>
        <v>#DIV/0!</v>
      </c>
      <c r="J27" s="189" t="e">
        <f t="shared" si="4"/>
        <v>#DIV/0!</v>
      </c>
      <c r="P27" s="252">
        <f>IFERROR(HLOOKUP($Q$2,'Waipuna Actual'!$J$81:$U$105,14,0)/$P$5,0)</f>
        <v>0</v>
      </c>
      <c r="Q27" s="252">
        <f>IFERROR(HLOOKUP($Q$2,'Waipuna Budget'!$J$81:$U$105,14,0)/$Q$5,0)</f>
        <v>0</v>
      </c>
      <c r="R27" s="252">
        <f>HLOOKUP($Q$2,'Waipuna Actual'!$J$81:$U$105,14,0)</f>
        <v>0</v>
      </c>
      <c r="S27" s="252">
        <f>HLOOKUP($Q$2,'Waipuna Budget'!$J$81:$U$105,14,0)</f>
        <v>0</v>
      </c>
    </row>
    <row r="28" spans="2:19" x14ac:dyDescent="0.25">
      <c r="B28" s="329" t="s">
        <v>80</v>
      </c>
      <c r="C28" s="172" t="s">
        <v>59</v>
      </c>
      <c r="D28" s="171"/>
      <c r="E28" s="219" t="e">
        <f>HLOOKUP($E$2,'Waipuna Actual'!$J$81:$U$105,15,0)/$E$5</f>
        <v>#DIV/0!</v>
      </c>
      <c r="F28" s="218" t="e">
        <f>HLOOKUP($E$2,'Waipuna Budget'!$J$81:$U$105,15,0)/$F$5</f>
        <v>#DIV/0!</v>
      </c>
      <c r="G28" s="176" t="e">
        <f t="shared" si="3"/>
        <v>#DIV/0!</v>
      </c>
      <c r="H28" s="235" t="e">
        <f>SUMIFS('Waipuna Actual'!$J$95:$U$95,'Waipuna Actual'!$J$81:$U$81,"&lt;="&amp;Summary_2!$E$2)/H5</f>
        <v>#DIV/0!</v>
      </c>
      <c r="I28" s="179" t="e">
        <f>SUMIFS('Waipuna Budget'!$J$95:$U$95,'Waipuna Budget'!$J$81:$U$81,"&lt;="&amp;Summary_2!$E$2)/I5</f>
        <v>#DIV/0!</v>
      </c>
      <c r="J28" s="187" t="e">
        <f t="shared" si="4"/>
        <v>#DIV/0!</v>
      </c>
      <c r="P28" s="253">
        <f>IFERROR(HLOOKUP($Q$2,'Waipuna Actual'!$J$81:$U$105,15,0)/$P$5,0)</f>
        <v>0</v>
      </c>
      <c r="Q28" s="253">
        <f>IFERROR(HLOOKUP($Q$2,'Waipuna Budget'!$J$81:$U$105,15,0)/$Q$5,0)</f>
        <v>0</v>
      </c>
      <c r="R28" s="253">
        <f>HLOOKUP($Q$2,'Waipuna Actual'!$J$81:$U$105,15,0)</f>
        <v>0</v>
      </c>
      <c r="S28" s="253">
        <f>HLOOKUP($Q$2,'Waipuna Budget'!$J$81:$U$105,15,0)</f>
        <v>0</v>
      </c>
    </row>
    <row r="29" spans="2:19" x14ac:dyDescent="0.25">
      <c r="B29" s="169" t="s">
        <v>143</v>
      </c>
      <c r="C29" s="169" t="s">
        <v>59</v>
      </c>
      <c r="D29" s="158" t="s">
        <v>144</v>
      </c>
      <c r="E29" s="220" t="e">
        <f t="shared" ref="E29:J29" si="5">SUM(E23:E28)</f>
        <v>#DIV/0!</v>
      </c>
      <c r="F29" s="373" t="e">
        <f t="shared" si="5"/>
        <v>#DIV/0!</v>
      </c>
      <c r="G29" s="188" t="e">
        <f t="shared" si="5"/>
        <v>#DIV/0!</v>
      </c>
      <c r="H29" s="234" t="e">
        <f t="shared" si="5"/>
        <v>#DIV/0!</v>
      </c>
      <c r="I29" s="183" t="e">
        <f t="shared" si="5"/>
        <v>#DIV/0!</v>
      </c>
      <c r="J29" s="189" t="e">
        <f t="shared" si="5"/>
        <v>#DIV/0!</v>
      </c>
      <c r="P29" s="252">
        <f>SUM(P23:P28)</f>
        <v>0</v>
      </c>
      <c r="Q29" s="252">
        <f>SUM(Q23:Q28)</f>
        <v>0</v>
      </c>
      <c r="R29" s="252">
        <f>SUM(R23:R28)</f>
        <v>0</v>
      </c>
      <c r="S29" s="252">
        <f>SUM(S23:S28)</f>
        <v>0</v>
      </c>
    </row>
    <row r="30" spans="2:19" x14ac:dyDescent="0.25">
      <c r="C30" s="169"/>
      <c r="E30" s="220"/>
      <c r="F30" s="221"/>
      <c r="H30" s="234"/>
      <c r="I30" s="183"/>
      <c r="J30" s="185"/>
      <c r="P30" s="252"/>
      <c r="Q30" s="252"/>
      <c r="R30" s="252"/>
      <c r="S30" s="252"/>
    </row>
    <row r="31" spans="2:19" x14ac:dyDescent="0.25">
      <c r="B31" s="157" t="s">
        <v>230</v>
      </c>
      <c r="C31" s="157" t="s">
        <v>61</v>
      </c>
      <c r="E31" s="220" t="e">
        <f>HLOOKUP($E$2,'Waipuna Actual'!$J$81:$U$105,16,0)/$E$5</f>
        <v>#DIV/0!</v>
      </c>
      <c r="F31" s="221" t="e">
        <f>HLOOKUP($E$2,'Waipuna Budget'!$J$81:$U$105,16,0)/$F$5</f>
        <v>#DIV/0!</v>
      </c>
      <c r="G31" s="188" t="e">
        <f>F31-E31</f>
        <v>#DIV/0!</v>
      </c>
      <c r="H31" s="234" t="e">
        <f>SUMIFS('Waipuna Actual'!$J$96:$U$96,'Waipuna Actual'!$J$81:$U$81,"&lt;="&amp;Summary_2!$E$2)/H5</f>
        <v>#DIV/0!</v>
      </c>
      <c r="I31" s="183" t="e">
        <f>SUMIFS('Waipuna Budget'!$J$96:$U$96,'Waipuna Budget'!$J$81:$U$81,"&lt;="&amp;Summary_2!$E$2)/I5</f>
        <v>#DIV/0!</v>
      </c>
      <c r="J31" s="189" t="e">
        <f>I31-H31</f>
        <v>#DIV/0!</v>
      </c>
      <c r="P31" s="252">
        <f>IFERROR(HLOOKUP($Q$2,'Waipuna Actual'!$J$81:$U$105,16,0)/$P$5,0)</f>
        <v>0</v>
      </c>
      <c r="Q31" s="252">
        <f>IFERROR(HLOOKUP($Q$2,'Waipuna Budget'!$J$81:$U$105,16,0)/$Q$5,0)</f>
        <v>0</v>
      </c>
      <c r="R31" s="252">
        <f>HLOOKUP($Q$2,'Waipuna Actual'!$J$81:$U$105,16,0)</f>
        <v>0</v>
      </c>
      <c r="S31" s="252">
        <f>HLOOKUP($Q$2,'Waipuna Budget'!$J$81:$U$105,16,0)</f>
        <v>0</v>
      </c>
    </row>
    <row r="32" spans="2:19" x14ac:dyDescent="0.25">
      <c r="B32" s="172" t="s">
        <v>231</v>
      </c>
      <c r="C32" s="172" t="s">
        <v>61</v>
      </c>
      <c r="D32" s="171"/>
      <c r="E32" s="219" t="e">
        <f>HLOOKUP($E$2,'Waipuna Actual'!$J$81:$U$105,17,0)/$E$5</f>
        <v>#DIV/0!</v>
      </c>
      <c r="F32" s="218" t="e">
        <f>HLOOKUP($E$2,'Waipuna Budget'!$J$81:$U$105,17,0)/$F$5</f>
        <v>#DIV/0!</v>
      </c>
      <c r="G32" s="176" t="e">
        <f>F32-E32</f>
        <v>#DIV/0!</v>
      </c>
      <c r="H32" s="235" t="e">
        <f>SUMIFS('Waipuna Actual'!$J$97:$U$97,'Waipuna Actual'!$J$81:$U$81,"&lt;="&amp;Summary_2!$E$2)/H5</f>
        <v>#DIV/0!</v>
      </c>
      <c r="I32" s="179" t="e">
        <f>SUMIFS('Waipuna Budget'!$J$97:$U$97,'Waipuna Budget'!$J$81:$U$81,"&lt;="&amp;Summary_2!$E$2)/I5</f>
        <v>#DIV/0!</v>
      </c>
      <c r="J32" s="187" t="e">
        <f>I32-H32</f>
        <v>#DIV/0!</v>
      </c>
      <c r="P32" s="253">
        <f>IFERROR(HLOOKUP($Q$2,'Waipuna Actual'!$J$81:$U$105,17,0)/$P$5,0)</f>
        <v>0</v>
      </c>
      <c r="Q32" s="253">
        <f>IFERROR(HLOOKUP($Q$2,'Waipuna Budget'!$J$81:$U$105,17,0)/$Q$5,0)</f>
        <v>0</v>
      </c>
      <c r="R32" s="253">
        <f>HLOOKUP($Q$2,'Waipuna Actual'!$J$81:$U$105,17,0)</f>
        <v>0</v>
      </c>
      <c r="S32" s="253">
        <f>HLOOKUP($Q$2,'Waipuna Budget'!$J$81:$U$105,17,0)</f>
        <v>0</v>
      </c>
    </row>
    <row r="33" spans="2:19" x14ac:dyDescent="0.25">
      <c r="B33" s="169" t="s">
        <v>145</v>
      </c>
      <c r="C33" s="169" t="s">
        <v>61</v>
      </c>
      <c r="D33" s="158" t="s">
        <v>146</v>
      </c>
      <c r="E33" s="220" t="e">
        <f t="shared" ref="E33:J33" si="6">SUM(E31:E32)</f>
        <v>#DIV/0!</v>
      </c>
      <c r="F33" s="373" t="e">
        <f t="shared" si="6"/>
        <v>#DIV/0!</v>
      </c>
      <c r="G33" s="188" t="e">
        <f t="shared" si="6"/>
        <v>#DIV/0!</v>
      </c>
      <c r="H33" s="234" t="e">
        <f t="shared" si="6"/>
        <v>#DIV/0!</v>
      </c>
      <c r="I33" s="183" t="e">
        <f t="shared" si="6"/>
        <v>#DIV/0!</v>
      </c>
      <c r="J33" s="189" t="e">
        <f t="shared" si="6"/>
        <v>#DIV/0!</v>
      </c>
      <c r="P33" s="252">
        <f>SUM(P31:P32)</f>
        <v>0</v>
      </c>
      <c r="Q33" s="252">
        <f>SUM(Q31:Q32)</f>
        <v>0</v>
      </c>
      <c r="R33" s="252">
        <f>SUM(R31:R32)</f>
        <v>0</v>
      </c>
      <c r="S33" s="252">
        <f>SUM(S31:S32)</f>
        <v>0</v>
      </c>
    </row>
    <row r="34" spans="2:19" x14ac:dyDescent="0.25">
      <c r="E34" s="220"/>
      <c r="F34" s="373"/>
      <c r="H34" s="234"/>
      <c r="I34" s="183"/>
      <c r="J34" s="185"/>
      <c r="P34" s="252"/>
      <c r="Q34" s="252"/>
      <c r="R34" s="252"/>
      <c r="S34" s="252"/>
    </row>
    <row r="35" spans="2:19" x14ac:dyDescent="0.25">
      <c r="B35" s="157" t="s">
        <v>232</v>
      </c>
      <c r="C35" s="157" t="s">
        <v>62</v>
      </c>
      <c r="E35" s="220" t="e">
        <f>HLOOKUP($E$2,'Waipuna Actual'!$J$81:$U$105,18,0)/$E$5</f>
        <v>#DIV/0!</v>
      </c>
      <c r="F35" s="221" t="e">
        <f>HLOOKUP($E$2,'Waipuna Budget'!$J$81:$U$105,18,0)/$F$5</f>
        <v>#DIV/0!</v>
      </c>
      <c r="G35" s="188" t="e">
        <f>F35-E35</f>
        <v>#DIV/0!</v>
      </c>
      <c r="H35" s="234" t="e">
        <f>SUMIFS('Waipuna Actual'!$J$98:$U$98,'Waipuna Actual'!$J$81:$U$81,"&lt;="&amp;Summary_2!$E$2)/H5</f>
        <v>#DIV/0!</v>
      </c>
      <c r="I35" s="183" t="e">
        <f>SUMIFS('Waipuna Budget'!$J$98:$U$98,'Waipuna Budget'!$J$81:$U$81,"&lt;="&amp;Summary_2!$E$2)/I5</f>
        <v>#DIV/0!</v>
      </c>
      <c r="J35" s="189" t="e">
        <f>I35-H35</f>
        <v>#DIV/0!</v>
      </c>
      <c r="P35" s="252">
        <f>IFERROR(HLOOKUP($Q$2,'Waipuna Actual'!$J$81:$U$105,18,0)/$P$5,0)</f>
        <v>0</v>
      </c>
      <c r="Q35" s="252">
        <f>IFERROR(HLOOKUP($Q$2,'Waipuna Budget'!$J$81:$U$105,18,0)/$Q$5,0)</f>
        <v>0</v>
      </c>
      <c r="R35" s="252">
        <f>HLOOKUP($Q$2,'Waipuna Actual'!$J$81:$U$105,18,0)</f>
        <v>0</v>
      </c>
      <c r="S35" s="252">
        <f>HLOOKUP($Q$2,'Waipuna Budget'!$J$81:$U$105,18,0)</f>
        <v>0</v>
      </c>
    </row>
    <row r="36" spans="2:19" x14ac:dyDescent="0.25">
      <c r="B36" s="172" t="s">
        <v>233</v>
      </c>
      <c r="C36" s="172" t="s">
        <v>62</v>
      </c>
      <c r="D36" s="171"/>
      <c r="E36" s="219" t="e">
        <f>HLOOKUP($E$2,'Waipuna Actual'!$J$81:$U$105,19,0)/$E$5</f>
        <v>#DIV/0!</v>
      </c>
      <c r="F36" s="218" t="e">
        <f>HLOOKUP($E$2,'Waipuna Budget'!$J$81:$U$105,19,0)/$F$5</f>
        <v>#DIV/0!</v>
      </c>
      <c r="G36" s="176" t="e">
        <f>F36-E36</f>
        <v>#DIV/0!</v>
      </c>
      <c r="H36" s="235" t="e">
        <f>SUMIFS('Waipuna Actual'!$J$99:$U$99,'Waipuna Actual'!$J$81:$U$81,"&lt;="&amp;Summary_2!$E$2)/H5</f>
        <v>#DIV/0!</v>
      </c>
      <c r="I36" s="179" t="e">
        <f>SUMIFS('Waipuna Budget'!$J$99:$U$99,'Waipuna Budget'!$J$81:$U$81,"&lt;="&amp;Summary_2!$E$2)/I5</f>
        <v>#DIV/0!</v>
      </c>
      <c r="J36" s="187" t="e">
        <f>I36-H36</f>
        <v>#DIV/0!</v>
      </c>
      <c r="P36" s="253">
        <f>IFERROR(HLOOKUP($Q$2,'Waipuna Actual'!$J$81:$U$105,19,0)/$P$5,0)</f>
        <v>0</v>
      </c>
      <c r="Q36" s="253">
        <f>IFERROR(HLOOKUP($Q$2,'Waipuna Budget'!$J$81:$U$105,19,0)/$Q$5,0)</f>
        <v>0</v>
      </c>
      <c r="R36" s="253">
        <f>HLOOKUP($Q$2,'Waipuna Actual'!$J$81:$U$105,19,0)</f>
        <v>0</v>
      </c>
      <c r="S36" s="253">
        <f>HLOOKUP($Q$2,'Waipuna Budget'!$J$81:$U$105,19,0)</f>
        <v>0</v>
      </c>
    </row>
    <row r="37" spans="2:19" x14ac:dyDescent="0.25">
      <c r="B37" s="169" t="s">
        <v>147</v>
      </c>
      <c r="C37" s="169" t="s">
        <v>62</v>
      </c>
      <c r="D37" s="158" t="s">
        <v>148</v>
      </c>
      <c r="E37" s="220" t="e">
        <f>SUM(E35:E36)</f>
        <v>#DIV/0!</v>
      </c>
      <c r="F37" s="373" t="e">
        <f>SUM(F35:F36)</f>
        <v>#DIV/0!</v>
      </c>
      <c r="H37" s="234" t="e">
        <f>SUM(H35:H36)</f>
        <v>#DIV/0!</v>
      </c>
      <c r="I37" s="183" t="e">
        <f>SUM(I35:I36)</f>
        <v>#DIV/0!</v>
      </c>
      <c r="J37" s="185"/>
      <c r="P37" s="252">
        <f>SUM(P35:P36)</f>
        <v>0</v>
      </c>
      <c r="Q37" s="252">
        <f>SUM(Q35:Q36)</f>
        <v>0</v>
      </c>
      <c r="R37" s="252">
        <f>SUM(R35:R36)</f>
        <v>0</v>
      </c>
      <c r="S37" s="252">
        <f>SUM(S35:S36)</f>
        <v>0</v>
      </c>
    </row>
    <row r="38" spans="2:19" x14ac:dyDescent="0.25">
      <c r="E38" s="220"/>
      <c r="F38" s="373"/>
      <c r="H38" s="234"/>
      <c r="I38" s="183"/>
      <c r="J38" s="185"/>
      <c r="P38" s="252"/>
      <c r="Q38" s="252"/>
      <c r="R38" s="252"/>
      <c r="S38" s="252"/>
    </row>
    <row r="39" spans="2:19" x14ac:dyDescent="0.25">
      <c r="E39" s="220"/>
      <c r="F39" s="221"/>
      <c r="G39" s="188"/>
      <c r="H39" s="234"/>
      <c r="I39" s="183"/>
      <c r="J39" s="189"/>
      <c r="P39" s="252"/>
      <c r="Q39" s="252"/>
      <c r="R39" s="252"/>
      <c r="S39" s="252"/>
    </row>
    <row r="40" spans="2:19" x14ac:dyDescent="0.25">
      <c r="B40" s="157" t="s">
        <v>235</v>
      </c>
      <c r="C40" s="157" t="s">
        <v>63</v>
      </c>
      <c r="E40" s="220" t="e">
        <f>HLOOKUP($E$2,'Waipuna Actual'!$J$81:$U$105,20,0)/$E$5</f>
        <v>#DIV/0!</v>
      </c>
      <c r="F40" s="221" t="e">
        <f>HLOOKUP($E$2,'Waipuna Budget'!$J$81:$U$105,20,0)/$F$5</f>
        <v>#DIV/0!</v>
      </c>
      <c r="G40" s="190" t="e">
        <f>F40-E40</f>
        <v>#DIV/0!</v>
      </c>
      <c r="H40" s="234" t="e">
        <f>SUMIFS('Waipuna Actual'!$J$100:$U$100,'Waipuna Actual'!$J$81:$U$81,"&lt;="&amp;Summary_2!$E$2)/H5</f>
        <v>#DIV/0!</v>
      </c>
      <c r="I40" s="183" t="e">
        <f>SUMIFS('Waipuna Budget'!$J$100:$U$100,'Waipuna Budget'!$J$81:$U$81,"&lt;="&amp;Summary_2!$E$2)/I5</f>
        <v>#DIV/0!</v>
      </c>
      <c r="J40" s="191" t="e">
        <f>I40-H40</f>
        <v>#DIV/0!</v>
      </c>
      <c r="P40" s="252">
        <f>IFERROR(HLOOKUP($Q$2,'Waipuna Actual'!$J$81:$U$105,20,0)/$P$5,0)</f>
        <v>0</v>
      </c>
      <c r="Q40" s="252">
        <f>IFERROR(HLOOKUP($Q$2,'Waipuna Budget'!$J$81:$U$105,20,0)/$Q$5,0)</f>
        <v>0</v>
      </c>
      <c r="R40" s="252">
        <f>HLOOKUP($Q$2,'Waipuna Actual'!$J$81:$U$105,20,0)</f>
        <v>0</v>
      </c>
      <c r="S40" s="252">
        <f>HLOOKUP($Q$2,'Waipuna Budget'!$J$81:$U$105,20,0)</f>
        <v>0</v>
      </c>
    </row>
    <row r="41" spans="2:19" x14ac:dyDescent="0.25">
      <c r="B41" s="157" t="s">
        <v>64</v>
      </c>
      <c r="C41" s="157" t="s">
        <v>63</v>
      </c>
      <c r="E41" s="220" t="e">
        <f>HLOOKUP($E$2,'Waipuna Actual'!$J$81:$U$105,21,0)/$E$5</f>
        <v>#DIV/0!</v>
      </c>
      <c r="F41" s="221" t="e">
        <f>HLOOKUP($E$2,'Waipuna Budget'!$J$81:$U$105,21,0)/$F$5</f>
        <v>#DIV/0!</v>
      </c>
      <c r="G41" s="188" t="e">
        <f>F41-E41</f>
        <v>#DIV/0!</v>
      </c>
      <c r="H41" s="234" t="e">
        <f>SUMIFS('Waipuna Actual'!$J$101:$U$101,'Waipuna Actual'!$J$81:$U$81,"&lt;="&amp;Summary_2!$E$2)/H5</f>
        <v>#DIV/0!</v>
      </c>
      <c r="I41" s="183" t="e">
        <f>SUMIFS('Waipuna Budget'!$J$101:$U$101,'Waipuna Budget'!$J$81:$U$81,"&lt;="&amp;Summary_2!$E$2)/I5</f>
        <v>#DIV/0!</v>
      </c>
      <c r="J41" s="189" t="e">
        <f>I41-H41</f>
        <v>#DIV/0!</v>
      </c>
      <c r="P41" s="252">
        <f>IFERROR(HLOOKUP($Q$2,'Waipuna Actual'!$J$81:$U$105,21,0)/$P$5,0)</f>
        <v>0</v>
      </c>
      <c r="Q41" s="252">
        <f>IFERROR(HLOOKUP($Q$2,'Waipuna Budget'!$J$81:$U$105,21,0)/$Q$5,0)</f>
        <v>0</v>
      </c>
      <c r="R41" s="252">
        <f>HLOOKUP($Q$2,'Waipuna Actual'!$J$81:$U$105,21,0)</f>
        <v>0</v>
      </c>
      <c r="S41" s="252">
        <f>HLOOKUP($Q$2,'Waipuna Budget'!$J$81:$U$105,21,0)</f>
        <v>0</v>
      </c>
    </row>
    <row r="42" spans="2:19" x14ac:dyDescent="0.25">
      <c r="B42" s="172" t="s">
        <v>65</v>
      </c>
      <c r="C42" s="172" t="s">
        <v>63</v>
      </c>
      <c r="D42" s="171"/>
      <c r="E42" s="219" t="e">
        <f>HLOOKUP($E$2,'Waipuna Actual'!$J$81:$U$105,22,0)/$E$5</f>
        <v>#DIV/0!</v>
      </c>
      <c r="F42" s="218" t="e">
        <f>HLOOKUP($E$2,'Waipuna Budget'!$J$81:$U$105,22,0)/$F$5</f>
        <v>#DIV/0!</v>
      </c>
      <c r="G42" s="176" t="e">
        <f>F42-E42</f>
        <v>#DIV/0!</v>
      </c>
      <c r="H42" s="235" t="e">
        <f>SUMIFS('Waipuna Budget'!$J$102:$U$102,'Waipuna Budget'!$J$81:$U$81,"&lt;="&amp;Summary_2!$E$2)/H5</f>
        <v>#DIV/0!</v>
      </c>
      <c r="I42" s="179" t="e">
        <f>SUMIFS('Waipuna Budget'!$J$102:$U$102,'Waipuna Budget'!$J$81:$U$81,"&lt;="&amp;Summary_2!$E$2)/I5</f>
        <v>#DIV/0!</v>
      </c>
      <c r="J42" s="187" t="e">
        <f>I42-H42</f>
        <v>#DIV/0!</v>
      </c>
      <c r="P42" s="253">
        <f>IFERROR(HLOOKUP($Q$2,'Waipuna Actual'!$J$81:$U$105,22,0)/$P$5,0)</f>
        <v>0</v>
      </c>
      <c r="Q42" s="253">
        <f>IFERROR(HLOOKUP($Q$2,'Waipuna Budget'!$J$81:$U$105,22,0)/$Q$5,0)</f>
        <v>0</v>
      </c>
      <c r="R42" s="253">
        <f>HLOOKUP($Q$2,'Waipuna Actual'!$J$81:$U$105,22,0)</f>
        <v>0</v>
      </c>
      <c r="S42" s="253">
        <f>HLOOKUP($Q$2,'Waipuna Budget'!$J$81:$U$105,22,0)</f>
        <v>0</v>
      </c>
    </row>
    <row r="43" spans="2:19" x14ac:dyDescent="0.25">
      <c r="B43" s="169" t="s">
        <v>149</v>
      </c>
      <c r="C43" s="169" t="s">
        <v>63</v>
      </c>
      <c r="D43" s="158" t="s">
        <v>150</v>
      </c>
      <c r="E43" s="220" t="e">
        <f t="shared" ref="E43:J43" si="7">SUM(E39:E42)</f>
        <v>#DIV/0!</v>
      </c>
      <c r="F43" s="221" t="e">
        <f t="shared" si="7"/>
        <v>#DIV/0!</v>
      </c>
      <c r="G43" s="188" t="e">
        <f t="shared" si="7"/>
        <v>#DIV/0!</v>
      </c>
      <c r="H43" s="234" t="e">
        <f t="shared" si="7"/>
        <v>#DIV/0!</v>
      </c>
      <c r="I43" s="183" t="e">
        <f t="shared" si="7"/>
        <v>#DIV/0!</v>
      </c>
      <c r="J43" s="189" t="e">
        <f t="shared" si="7"/>
        <v>#DIV/0!</v>
      </c>
      <c r="P43" s="252">
        <f>SUM(P39:P42)</f>
        <v>0</v>
      </c>
      <c r="Q43" s="252">
        <f>SUM(Q39:Q42)</f>
        <v>0</v>
      </c>
      <c r="R43" s="252">
        <f>SUM(R39:R42)</f>
        <v>0</v>
      </c>
      <c r="S43" s="252">
        <f>SUM(S39:S42)</f>
        <v>0</v>
      </c>
    </row>
    <row r="44" spans="2:19" x14ac:dyDescent="0.25">
      <c r="E44" s="220"/>
      <c r="F44" s="373"/>
      <c r="H44" s="234"/>
      <c r="I44" s="183"/>
      <c r="J44" s="185"/>
      <c r="P44" s="252"/>
      <c r="Q44" s="252"/>
      <c r="R44" s="252"/>
      <c r="S44" s="252"/>
    </row>
    <row r="45" spans="2:19" x14ac:dyDescent="0.25">
      <c r="B45" s="157" t="s">
        <v>66</v>
      </c>
      <c r="C45" s="157" t="s">
        <v>67</v>
      </c>
      <c r="E45" s="220" t="e">
        <f>HLOOKUP($E$2,'Waipuna Actual'!$J$81:$U$105,23,0)/$E$5</f>
        <v>#DIV/0!</v>
      </c>
      <c r="F45" s="221" t="e">
        <f>HLOOKUP($E$2,'Waipuna Budget'!$J$81:$U$105,23,0)/$F$5</f>
        <v>#DIV/0!</v>
      </c>
      <c r="G45" s="190" t="e">
        <f>F45-E45</f>
        <v>#DIV/0!</v>
      </c>
      <c r="H45" s="234" t="e">
        <f>SUMIFS('Waipuna Actual'!$J$103:$U$103,'Waipuna Actual'!$J$81:$U$81,"&lt;="&amp;Summary_2!$E$2)/H5</f>
        <v>#DIV/0!</v>
      </c>
      <c r="I45" s="183" t="e">
        <f>SUMIFS('Waipuna Budget'!$J$103:$U$103,'Waipuna Budget'!$J$81:$U$81,"&lt;="&amp;Summary_2!$E$2)/I5</f>
        <v>#DIV/0!</v>
      </c>
      <c r="J45" s="191" t="e">
        <f>I45-H45</f>
        <v>#DIV/0!</v>
      </c>
      <c r="P45" s="252">
        <f>IFERROR(HLOOKUP($Q$2,'Waipuna Actual'!$J$81:$U$105,23,0)/$P$5,0)</f>
        <v>0</v>
      </c>
      <c r="Q45" s="252">
        <f>IFERROR(HLOOKUP($Q$2,'Waipuna Budget'!$J$81:$U$105,23,0)/$Q$5,0)</f>
        <v>0</v>
      </c>
      <c r="R45" s="252">
        <f>HLOOKUP($Q$2,'Waipuna Actual'!$J$81:$U$105,23,0)</f>
        <v>0</v>
      </c>
      <c r="S45" s="252">
        <f>HLOOKUP($Q$2,'Waipuna Budget'!$J$81:$U$105,23,0)</f>
        <v>0</v>
      </c>
    </row>
    <row r="46" spans="2:19" x14ac:dyDescent="0.25">
      <c r="B46" s="157" t="s">
        <v>234</v>
      </c>
      <c r="C46" s="157" t="s">
        <v>67</v>
      </c>
      <c r="E46" s="382" t="e">
        <f>HLOOKUP($E$2,'Waipuna Actual'!$J$81:$U$105,24,0)/$E$5</f>
        <v>#DIV/0!</v>
      </c>
      <c r="F46" s="374" t="e">
        <f>HLOOKUP($E$2,'Waipuna Budget'!$J$81:$U$105,24,0)/$F$5</f>
        <v>#DIV/0!</v>
      </c>
      <c r="G46" s="383" t="e">
        <f>F46-E46</f>
        <v>#DIV/0!</v>
      </c>
      <c r="H46" s="384" t="e">
        <f>SUMIFS('Waipuna Actual'!$J$104:$U$104,'Waipuna Actual'!$J$81:$U$81,"&lt;="&amp;Summary_2!$E$2)/H5</f>
        <v>#DIV/0!</v>
      </c>
      <c r="I46" s="385" t="e">
        <f>SUMIFS('Waipuna Budget'!$J$104:$U$104,'Waipuna Budget'!$J$81:$U$81,"&lt;="&amp;Summary_2!$E$2)/I5</f>
        <v>#DIV/0!</v>
      </c>
      <c r="J46" s="386" t="e">
        <f>I46-H46</f>
        <v>#DIV/0!</v>
      </c>
      <c r="P46" s="387">
        <f>IFERROR(HLOOKUP($Q$2,'Waipuna Actual'!$J$81:$U$105,24,0)/$P$5,0)</f>
        <v>0</v>
      </c>
      <c r="Q46" s="387">
        <f>IFERROR(HLOOKUP($Q$2,'Waipuna Budget'!$J$81:$U$105,24,0)/$Q$5,0)</f>
        <v>0</v>
      </c>
      <c r="R46" s="252">
        <f>HLOOKUP($Q$2,'Waipuna Actual'!$J$81:$U$105,24,0)</f>
        <v>0</v>
      </c>
      <c r="S46" s="252">
        <f>HLOOKUP($Q$2,'Waipuna Budget'!$J$81:$U$105,24,0)</f>
        <v>0</v>
      </c>
    </row>
    <row r="47" spans="2:19" x14ac:dyDescent="0.25">
      <c r="B47" s="172" t="s">
        <v>68</v>
      </c>
      <c r="C47" s="172" t="s">
        <v>67</v>
      </c>
      <c r="D47" s="171"/>
      <c r="E47" s="219" t="e">
        <f>HLOOKUP($E$2,'Waipuna Actual'!$J$81:$U$105,25,0)/$E$5</f>
        <v>#DIV/0!</v>
      </c>
      <c r="F47" s="218" t="e">
        <f>HLOOKUP($E$2,'Waipuna Budget'!$J$81:$U$105,25,0)/$F$5</f>
        <v>#DIV/0!</v>
      </c>
      <c r="G47" s="176" t="e">
        <f>F47-E47</f>
        <v>#DIV/0!</v>
      </c>
      <c r="H47" s="235" t="e">
        <f>SUMIFS('Waipuna Actual'!$J$105:$U$105,'Waipuna Actual'!$J$81:$U$81,"&lt;="&amp;Summary_2!$E$2)/H5</f>
        <v>#DIV/0!</v>
      </c>
      <c r="I47" s="179" t="e">
        <f>SUMIFS('Waipuna Budget'!$J$105:$U$105,'Waipuna Budget'!$J$81:$U$81,"&lt;="&amp;Summary_2!$E$2)/I5</f>
        <v>#DIV/0!</v>
      </c>
      <c r="J47" s="187" t="e">
        <f>I47-H47</f>
        <v>#DIV/0!</v>
      </c>
      <c r="P47" s="253">
        <f>IFERROR(HLOOKUP($Q$2,'Waipuna Actual'!$J$81:$U$105,25,0)/$P$5,0)</f>
        <v>0</v>
      </c>
      <c r="Q47" s="253">
        <f>IFERROR(HLOOKUP($Q$2,'Waipuna Budget'!$J$81:$U$105,25,0)/$Q$5,0)</f>
        <v>0</v>
      </c>
      <c r="R47" s="253">
        <f>HLOOKUP($Q$2,'Waipuna Actual'!$J$81:$U$105,25,0)</f>
        <v>0</v>
      </c>
      <c r="S47" s="253">
        <f>HLOOKUP($Q$2,'Waipuna Budget'!$J$81:$U$105,25,0)</f>
        <v>0</v>
      </c>
    </row>
    <row r="48" spans="2:19" x14ac:dyDescent="0.25">
      <c r="B48" s="169" t="s">
        <v>151</v>
      </c>
      <c r="C48" s="169" t="s">
        <v>67</v>
      </c>
      <c r="D48" s="158" t="s">
        <v>152</v>
      </c>
      <c r="E48" s="220" t="e">
        <f t="shared" ref="E48:J48" si="8">SUM(E45:E47)</f>
        <v>#DIV/0!</v>
      </c>
      <c r="F48" s="221" t="e">
        <f t="shared" si="8"/>
        <v>#DIV/0!</v>
      </c>
      <c r="G48" s="190" t="e">
        <f t="shared" si="8"/>
        <v>#DIV/0!</v>
      </c>
      <c r="H48" s="234" t="e">
        <f t="shared" si="8"/>
        <v>#DIV/0!</v>
      </c>
      <c r="I48" s="183" t="e">
        <f t="shared" si="8"/>
        <v>#DIV/0!</v>
      </c>
      <c r="J48" s="191" t="e">
        <f t="shared" si="8"/>
        <v>#DIV/0!</v>
      </c>
      <c r="P48" s="252">
        <f>SUM(P45:P47)</f>
        <v>0</v>
      </c>
      <c r="Q48" s="252">
        <f>SUM(Q45:Q47)</f>
        <v>0</v>
      </c>
      <c r="R48" s="252">
        <f>SUM(R45:R47)</f>
        <v>0</v>
      </c>
      <c r="S48" s="252">
        <f>SUM(S45:S47)</f>
        <v>0</v>
      </c>
    </row>
    <row r="49" spans="2:19" x14ac:dyDescent="0.25">
      <c r="B49" s="169"/>
      <c r="C49" s="169"/>
      <c r="E49" s="226"/>
      <c r="H49" s="234"/>
      <c r="I49" s="183"/>
      <c r="J49" s="185"/>
      <c r="P49" s="252"/>
      <c r="Q49" s="252"/>
      <c r="R49" s="252"/>
      <c r="S49" s="252"/>
    </row>
    <row r="50" spans="2:19" x14ac:dyDescent="0.25">
      <c r="B50" s="170" t="s">
        <v>153</v>
      </c>
      <c r="C50" s="172"/>
      <c r="D50" s="171" t="s">
        <v>154</v>
      </c>
      <c r="E50" s="227" t="e">
        <f>E21+E29+E33+E37+E43+E48</f>
        <v>#DIV/0!</v>
      </c>
      <c r="F50" s="176" t="e">
        <f>F21+F29+F33+F37+F43+F48</f>
        <v>#DIV/0!</v>
      </c>
      <c r="G50" s="176" t="e">
        <f>F50-E50</f>
        <v>#DIV/0!</v>
      </c>
      <c r="H50" s="235" t="e">
        <f>H21+H29+H33+H37+H43+H48</f>
        <v>#DIV/0!</v>
      </c>
      <c r="I50" s="179" t="e">
        <f>I21+I29+I33+I37+I43+I48</f>
        <v>#DIV/0!</v>
      </c>
      <c r="J50" s="187" t="e">
        <f>I50-H50</f>
        <v>#DIV/0!</v>
      </c>
      <c r="P50" s="253">
        <f>P21+P29+P33+P37+P43+P48</f>
        <v>0</v>
      </c>
      <c r="Q50" s="253">
        <f>Q21+Q29+Q33+Q37+Q43+Q48</f>
        <v>0</v>
      </c>
      <c r="R50" s="253">
        <f>R21+R29+R33+R37+R43+R48</f>
        <v>0</v>
      </c>
      <c r="S50" s="253">
        <f>S21+S29+S33+S37+S43+S48</f>
        <v>0</v>
      </c>
    </row>
    <row r="51" spans="2:19" x14ac:dyDescent="0.25">
      <c r="E51" s="226"/>
      <c r="H51" s="234"/>
      <c r="I51" s="183"/>
      <c r="J51" s="185"/>
      <c r="P51" s="252"/>
      <c r="Q51" s="252"/>
      <c r="R51" s="252"/>
      <c r="S51" s="252"/>
    </row>
    <row r="52" spans="2:19" x14ac:dyDescent="0.25">
      <c r="B52" s="170" t="s">
        <v>155</v>
      </c>
      <c r="C52" s="170"/>
      <c r="D52" s="171" t="s">
        <v>156</v>
      </c>
      <c r="E52" s="227" t="e">
        <f>E9+E11+E50</f>
        <v>#DIV/0!</v>
      </c>
      <c r="F52" s="176" t="e">
        <f>F9+F11+F50</f>
        <v>#DIV/0!</v>
      </c>
      <c r="G52" s="176" t="e">
        <f>F52-E52</f>
        <v>#DIV/0!</v>
      </c>
      <c r="H52" s="235" t="e">
        <f>H9+H11+H50</f>
        <v>#DIV/0!</v>
      </c>
      <c r="I52" s="179" t="e">
        <f>I9+I11+I50</f>
        <v>#DIV/0!</v>
      </c>
      <c r="J52" s="187" t="e">
        <f>I52-H52</f>
        <v>#DIV/0!</v>
      </c>
      <c r="P52" s="253">
        <f>P9+P11+P50</f>
        <v>0</v>
      </c>
      <c r="Q52" s="253">
        <f>Q9+Q11+Q50</f>
        <v>0</v>
      </c>
      <c r="R52" s="253">
        <f>R9+R11+R50</f>
        <v>0</v>
      </c>
      <c r="S52" s="253">
        <f>S9+S11+S50</f>
        <v>0</v>
      </c>
    </row>
    <row r="53" spans="2:19" x14ac:dyDescent="0.25">
      <c r="E53" s="226"/>
      <c r="H53" s="234"/>
      <c r="I53" s="183"/>
      <c r="J53" s="185"/>
      <c r="P53" s="252"/>
      <c r="Q53" s="252"/>
      <c r="R53" s="252"/>
      <c r="S53" s="252"/>
    </row>
    <row r="54" spans="2:19" x14ac:dyDescent="0.25">
      <c r="B54" s="173" t="s">
        <v>157</v>
      </c>
      <c r="C54" s="173"/>
      <c r="D54" s="174" t="s">
        <v>158</v>
      </c>
      <c r="E54" s="228" t="e">
        <f>E7-E52</f>
        <v>#DIV/0!</v>
      </c>
      <c r="F54" s="192" t="e">
        <f>F7-F52</f>
        <v>#DIV/0!</v>
      </c>
      <c r="G54" s="192" t="e">
        <f>F54-E54</f>
        <v>#DIV/0!</v>
      </c>
      <c r="H54" s="236" t="e">
        <f>H7-H52</f>
        <v>#DIV/0!</v>
      </c>
      <c r="I54" s="193" t="e">
        <f>I7-I52</f>
        <v>#DIV/0!</v>
      </c>
      <c r="J54" s="194" t="e">
        <f>I54-H54</f>
        <v>#DIV/0!</v>
      </c>
      <c r="P54" s="252">
        <f>P7-P52</f>
        <v>0</v>
      </c>
      <c r="Q54" s="252">
        <f>Q7-Q52</f>
        <v>0</v>
      </c>
      <c r="R54" s="252">
        <f>R7-R52</f>
        <v>0</v>
      </c>
      <c r="S54" s="252">
        <f>S7-S52</f>
        <v>0</v>
      </c>
    </row>
    <row r="55" spans="2:19" ht="15.75" thickBot="1" x14ac:dyDescent="0.3">
      <c r="B55" s="169" t="s">
        <v>159</v>
      </c>
      <c r="D55" s="158" t="s">
        <v>160</v>
      </c>
      <c r="E55" s="226" t="e">
        <f t="shared" ref="E55:J55" si="9">E54*E5</f>
        <v>#DIV/0!</v>
      </c>
      <c r="F55" s="188" t="e">
        <f t="shared" si="9"/>
        <v>#DIV/0!</v>
      </c>
      <c r="G55" s="188" t="e">
        <f t="shared" si="9"/>
        <v>#DIV/0!</v>
      </c>
      <c r="H55" s="234" t="e">
        <f t="shared" si="9"/>
        <v>#DIV/0!</v>
      </c>
      <c r="I55" s="183" t="e">
        <f t="shared" si="9"/>
        <v>#DIV/0!</v>
      </c>
      <c r="J55" s="189" t="e">
        <f t="shared" si="9"/>
        <v>#DIV/0!</v>
      </c>
      <c r="P55" s="254">
        <f>P54*P5</f>
        <v>0</v>
      </c>
      <c r="Q55" s="254">
        <f>Q54*Q5</f>
        <v>0</v>
      </c>
      <c r="R55" s="254">
        <f>R54</f>
        <v>0</v>
      </c>
      <c r="S55" s="254">
        <f>S54</f>
        <v>0</v>
      </c>
    </row>
    <row r="56" spans="2:19" x14ac:dyDescent="0.25">
      <c r="E56" s="226"/>
      <c r="F56" s="188"/>
      <c r="H56" s="234"/>
      <c r="J56" s="185"/>
    </row>
    <row r="57" spans="2:19" x14ac:dyDescent="0.25">
      <c r="E57" s="226"/>
      <c r="H57" s="234"/>
      <c r="J57" s="185"/>
    </row>
    <row r="58" spans="2:19" x14ac:dyDescent="0.25">
      <c r="B58" s="173" t="s">
        <v>161</v>
      </c>
      <c r="C58" s="173"/>
      <c r="D58" s="174" t="s">
        <v>162</v>
      </c>
      <c r="E58" s="228"/>
      <c r="F58" s="152"/>
      <c r="G58" s="152"/>
      <c r="H58" s="236"/>
      <c r="I58" s="195"/>
      <c r="J58" s="196"/>
    </row>
    <row r="59" spans="2:19" x14ac:dyDescent="0.25">
      <c r="E59" s="226"/>
      <c r="H59" s="234"/>
      <c r="J59" s="185"/>
    </row>
    <row r="60" spans="2:19" ht="15.75" thickBot="1" x14ac:dyDescent="0.3">
      <c r="B60" s="169" t="s">
        <v>163</v>
      </c>
      <c r="C60" s="169"/>
      <c r="D60" s="158" t="s">
        <v>164</v>
      </c>
      <c r="E60" s="229"/>
      <c r="F60" s="197"/>
      <c r="G60" s="197"/>
      <c r="H60" s="237"/>
      <c r="I60" s="198"/>
      <c r="J60" s="199"/>
    </row>
  </sheetData>
  <conditionalFormatting sqref="H1:J2 H4:J4">
    <cfRule type="cellIs" dxfId="5" priority="1" operator="lessThan">
      <formula>0</formula>
    </cfRule>
  </conditionalFormatting>
  <dataValidations count="1">
    <dataValidation type="list" allowBlank="1" showInputMessage="1" showErrorMessage="1" sqref="E2" xr:uid="{567C84F3-9B57-43D6-8FD0-1107CDBCC471}">
      <formula1>"1/01/2025,1/02/2025,1/03/2025,1/04/2025,1/05/2025,1/06/2025,1/07/2025,1/08/2025,1/09/2025,1/10/2025,1/11/2025,1/12/2025"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8FC03-B321-4E2D-8886-13FD220A7115}">
  <sheetPr codeName="Sheet19">
    <tabColor theme="0" tint="-0.14999847407452621"/>
  </sheetPr>
  <dimension ref="A1:V60"/>
  <sheetViews>
    <sheetView workbookViewId="0">
      <selection activeCell="E16" sqref="E16"/>
    </sheetView>
  </sheetViews>
  <sheetFormatPr defaultColWidth="9.140625" defaultRowHeight="15" x14ac:dyDescent="0.25"/>
  <cols>
    <col min="1" max="1" width="9.140625" style="149"/>
    <col min="2" max="2" width="41.28515625" style="157" customWidth="1"/>
    <col min="3" max="3" width="16.85546875" style="157" bestFit="1" customWidth="1"/>
    <col min="4" max="4" width="14.42578125" style="158" bestFit="1" customWidth="1"/>
    <col min="5" max="5" width="11.5703125" style="223" bestFit="1" customWidth="1"/>
    <col min="6" max="6" width="11.5703125" style="149" bestFit="1" customWidth="1"/>
    <col min="7" max="7" width="14.28515625" style="149" bestFit="1" customWidth="1"/>
    <col min="8" max="8" width="11.7109375" style="223" bestFit="1" customWidth="1"/>
    <col min="9" max="9" width="12.42578125" style="157" bestFit="1" customWidth="1"/>
    <col min="10" max="10" width="14.28515625" style="149" bestFit="1" customWidth="1"/>
    <col min="11" max="12" width="9.140625" style="149"/>
    <col min="13" max="13" width="10.42578125" style="149" customWidth="1"/>
    <col min="14" max="15" width="9.140625" style="149"/>
    <col min="16" max="16" width="11.5703125" style="149" bestFit="1" customWidth="1"/>
    <col min="17" max="17" width="11.28515625" style="149" bestFit="1" customWidth="1"/>
    <col min="18" max="18" width="11.28515625" style="149" customWidth="1"/>
    <col min="19" max="19" width="13.42578125" style="149" customWidth="1"/>
    <col min="20" max="16384" width="9.140625" style="149"/>
  </cols>
  <sheetData>
    <row r="1" spans="1:22" ht="15.75" thickBot="1" x14ac:dyDescent="0.3">
      <c r="A1" s="247">
        <f>MONTH(E2)</f>
        <v>1</v>
      </c>
      <c r="B1" s="169" t="str">
        <f>'Whakatikei Actual'!B2</f>
        <v>Whakatikei</v>
      </c>
      <c r="F1" s="157"/>
      <c r="G1" s="157"/>
      <c r="J1" s="157"/>
      <c r="P1" s="149">
        <f>MONTH(Q2)</f>
        <v>1</v>
      </c>
      <c r="T1" t="s">
        <v>177</v>
      </c>
      <c r="U1" t="s">
        <v>178</v>
      </c>
    </row>
    <row r="2" spans="1:22" ht="15.75" thickBot="1" x14ac:dyDescent="0.3">
      <c r="A2" s="247" t="str">
        <f>_xlfn.XLOOKUP(A1,T2:T13,U2:U13,0,0)</f>
        <v>January</v>
      </c>
      <c r="B2" s="159"/>
      <c r="C2" s="159"/>
      <c r="D2" s="160"/>
      <c r="E2" s="238">
        <v>45658</v>
      </c>
      <c r="F2" s="161"/>
      <c r="G2" s="161"/>
      <c r="H2" s="230" t="s">
        <v>123</v>
      </c>
      <c r="I2" s="162"/>
      <c r="J2" s="163"/>
      <c r="M2" s="175"/>
      <c r="P2" t="s">
        <v>179</v>
      </c>
      <c r="Q2" s="248">
        <f>_xlfn.XLOOKUP(P2,U2:U13,V2:V13,0,0)</f>
        <v>45658</v>
      </c>
      <c r="R2" s="248"/>
      <c r="T2">
        <v>1</v>
      </c>
      <c r="U2" t="s">
        <v>179</v>
      </c>
      <c r="V2" s="249">
        <v>45658</v>
      </c>
    </row>
    <row r="3" spans="1:22" x14ac:dyDescent="0.25">
      <c r="B3" s="159"/>
      <c r="C3" s="159"/>
      <c r="D3" s="160"/>
      <c r="E3" s="224" t="s">
        <v>124</v>
      </c>
      <c r="F3" s="180" t="s">
        <v>125</v>
      </c>
      <c r="G3" s="180" t="s">
        <v>126</v>
      </c>
      <c r="H3" s="231" t="s">
        <v>124</v>
      </c>
      <c r="I3" s="180" t="s">
        <v>125</v>
      </c>
      <c r="J3" s="181" t="s">
        <v>126</v>
      </c>
      <c r="L3" s="447" t="s">
        <v>13</v>
      </c>
      <c r="M3" s="250" t="s">
        <v>125</v>
      </c>
      <c r="P3" s="250" t="s">
        <v>180</v>
      </c>
      <c r="Q3" s="250" t="s">
        <v>125</v>
      </c>
      <c r="R3" s="250" t="s">
        <v>180</v>
      </c>
      <c r="S3" s="250" t="s">
        <v>125</v>
      </c>
      <c r="T3">
        <v>2</v>
      </c>
      <c r="U3" t="s">
        <v>181</v>
      </c>
      <c r="V3" s="249">
        <v>45689</v>
      </c>
    </row>
    <row r="4" spans="1:22" ht="15.75" thickBot="1" x14ac:dyDescent="0.3">
      <c r="B4" s="164"/>
      <c r="C4" s="164"/>
      <c r="D4" s="165"/>
      <c r="E4" s="225" t="s">
        <v>127</v>
      </c>
      <c r="F4" s="166" t="s">
        <v>128</v>
      </c>
      <c r="G4" s="166" t="s">
        <v>129</v>
      </c>
      <c r="H4" s="232" t="s">
        <v>130</v>
      </c>
      <c r="I4" s="167" t="s">
        <v>131</v>
      </c>
      <c r="J4" s="168" t="s">
        <v>132</v>
      </c>
      <c r="L4" s="251"/>
      <c r="M4" s="251" t="s">
        <v>240</v>
      </c>
      <c r="P4" s="251" t="s">
        <v>203</v>
      </c>
      <c r="Q4" s="251" t="s">
        <v>203</v>
      </c>
      <c r="R4" s="251" t="s">
        <v>204</v>
      </c>
      <c r="S4" s="251" t="s">
        <v>204</v>
      </c>
      <c r="T4">
        <v>3</v>
      </c>
      <c r="U4" t="s">
        <v>182</v>
      </c>
      <c r="V4" s="249">
        <v>45717</v>
      </c>
    </row>
    <row r="5" spans="1:22" x14ac:dyDescent="0.25">
      <c r="B5" s="169" t="s">
        <v>133</v>
      </c>
      <c r="C5" s="169"/>
      <c r="D5" s="158" t="s">
        <v>134</v>
      </c>
      <c r="E5" s="375">
        <f>HLOOKUP($E$2,'Whakatikei Actual'!$J$3:$U$16,14,0)</f>
        <v>0</v>
      </c>
      <c r="F5" s="221">
        <f>HLOOKUP($E$2,'Whakatikei Budget'!$J$3:$U$16,14,0)</f>
        <v>0</v>
      </c>
      <c r="G5" s="182">
        <f>E5-F5</f>
        <v>0</v>
      </c>
      <c r="H5" s="233">
        <f>SUMIFS('Whakatikei Actual'!$J$16:$U$16,'Whakatikei Actual'!$J$3:$U$3,"&lt;="&amp;Summary_3!$E$2)</f>
        <v>0</v>
      </c>
      <c r="I5" s="183">
        <f>SUMIFS('Whakatikei Budget'!$J$16:$U$16,'Whakatikei Budget'!$J$3:$U$3,"&lt;="&amp;Summary_3!$E$2)</f>
        <v>0</v>
      </c>
      <c r="J5" s="184">
        <f>H5-I5</f>
        <v>0</v>
      </c>
      <c r="L5" s="442" t="s">
        <v>20</v>
      </c>
      <c r="M5" s="443">
        <f>$S$5*'Whakatikei Budget'!C20</f>
        <v>0</v>
      </c>
      <c r="P5" s="252">
        <f>HLOOKUP($Q$2,'Whakatikei Actual'!$J$3:$U$16,14,0)</f>
        <v>0</v>
      </c>
      <c r="Q5" s="252">
        <f>HLOOKUP($Q$2,'Whakatikei Budget'!$J$3:$U$16,14,0)</f>
        <v>0</v>
      </c>
      <c r="R5" s="252">
        <f>HLOOKUP($Q$2,'Whakatikei Actual'!$J$3:$U$16,14,0)</f>
        <v>0</v>
      </c>
      <c r="S5" s="252">
        <f>HLOOKUP($Q$2,'Whakatikei Budget'!$J$3:$U$16,14,0)</f>
        <v>0</v>
      </c>
      <c r="T5">
        <v>4</v>
      </c>
      <c r="U5" t="s">
        <v>183</v>
      </c>
      <c r="V5" s="249">
        <v>45748</v>
      </c>
    </row>
    <row r="6" spans="1:22" x14ac:dyDescent="0.25">
      <c r="B6" s="169"/>
      <c r="C6" s="169"/>
      <c r="E6" s="220"/>
      <c r="F6" s="151"/>
      <c r="H6" s="234"/>
      <c r="I6" s="183"/>
      <c r="J6" s="185"/>
      <c r="L6" s="444" t="s">
        <v>22</v>
      </c>
      <c r="M6" s="189">
        <f>$S$5*'Whakatikei Budget'!C21</f>
        <v>0</v>
      </c>
      <c r="P6" s="252"/>
      <c r="Q6" s="252"/>
      <c r="R6" s="252"/>
      <c r="S6" s="252"/>
      <c r="T6">
        <v>5</v>
      </c>
      <c r="U6" t="s">
        <v>184</v>
      </c>
      <c r="V6" s="249">
        <v>45778</v>
      </c>
    </row>
    <row r="7" spans="1:22" x14ac:dyDescent="0.25">
      <c r="B7" s="170" t="s">
        <v>135</v>
      </c>
      <c r="C7" s="170"/>
      <c r="D7" s="171" t="s">
        <v>136</v>
      </c>
      <c r="E7" s="219" t="e">
        <f>(HLOOKUP($E$2,'Whakatikei Actual'!$J$19:$U$46,28,0))/E5</f>
        <v>#DIV/0!</v>
      </c>
      <c r="F7" s="218" t="e">
        <f>(HLOOKUP($E$2,'Whakatikei Budget'!$J$19:$U$46,28,0))/F5</f>
        <v>#DIV/0!</v>
      </c>
      <c r="G7" s="177" t="e">
        <f>E7-F7</f>
        <v>#DIV/0!</v>
      </c>
      <c r="H7" s="235" t="e">
        <f>SUMIFS('Whakatikei Actual'!$J$46:$U$46,'Whakatikei Actual'!J19:U19,"&lt;="&amp;Summary_3!$E$2)/H5</f>
        <v>#DIV/0!</v>
      </c>
      <c r="I7" s="179" t="e">
        <f>SUMIFS('Whakatikei Budget'!$J$46:$U$46,'Whakatikei Budget'!J19:U19,"&lt;="&amp;Summary_3!$E$2)/I5</f>
        <v>#DIV/0!</v>
      </c>
      <c r="J7" s="186" t="e">
        <f>H7-I7</f>
        <v>#DIV/0!</v>
      </c>
      <c r="L7" s="444" t="s">
        <v>25</v>
      </c>
      <c r="M7" s="189">
        <f>$S$5*'Whakatikei Budget'!C22</f>
        <v>0</v>
      </c>
      <c r="P7" s="253">
        <f>IFERROR(HLOOKUP($Q$2,'Whakatikei Actual'!$J$19:$U$46,28,0)/P5,0)</f>
        <v>0</v>
      </c>
      <c r="Q7" s="253">
        <f>IFERROR(HLOOKUP($Q$2,'Whakatikei Budget'!$J$19:$U$46,28,0)/Q5,0)</f>
        <v>0</v>
      </c>
      <c r="R7" s="253">
        <f>HLOOKUP($Q$2,'Whakatikei Actual'!$J$19:$U$46,28,0)</f>
        <v>0</v>
      </c>
      <c r="S7" s="253">
        <f>(HLOOKUP($Q$2,'Whakatikei Budget'!$J$19:$U$46,28,0))</f>
        <v>0</v>
      </c>
      <c r="T7">
        <v>6</v>
      </c>
      <c r="U7" t="s">
        <v>185</v>
      </c>
      <c r="V7" s="249">
        <v>45809</v>
      </c>
    </row>
    <row r="8" spans="1:22" x14ac:dyDescent="0.25">
      <c r="E8" s="220"/>
      <c r="F8" s="151"/>
      <c r="H8" s="234"/>
      <c r="I8" s="183"/>
      <c r="J8" s="185"/>
      <c r="L8" s="444" t="s">
        <v>30</v>
      </c>
      <c r="M8" s="189">
        <f>$S$5*'Whakatikei Budget'!C23</f>
        <v>0</v>
      </c>
      <c r="P8" s="252"/>
      <c r="Q8" s="252"/>
      <c r="R8" s="252"/>
      <c r="S8" s="252"/>
      <c r="T8">
        <v>7</v>
      </c>
      <c r="U8" t="s">
        <v>186</v>
      </c>
      <c r="V8" s="249">
        <v>45839</v>
      </c>
    </row>
    <row r="9" spans="1:22" x14ac:dyDescent="0.25">
      <c r="B9" s="170" t="s">
        <v>137</v>
      </c>
      <c r="C9" s="170"/>
      <c r="D9" s="171" t="s">
        <v>138</v>
      </c>
      <c r="E9" s="219" t="e">
        <f>HLOOKUP($E$2,'Whakatikei Actual'!$J$50:$U$51,2,0)/E5</f>
        <v>#DIV/0!</v>
      </c>
      <c r="F9" s="218" t="e">
        <f>HLOOKUP($E$2,'Whakatikei Budget'!$J$50:$U$51,2,0)/F5</f>
        <v>#DIV/0!</v>
      </c>
      <c r="G9" s="176" t="e">
        <f>F9-E9</f>
        <v>#DIV/0!</v>
      </c>
      <c r="H9" s="235" t="e">
        <f>SUMIFS('Whakatikei Actual'!$J$51:$U$51,'Whakatikei Actual'!J50:U50,"&lt;="&amp;Summary_3!$E$2)/H5</f>
        <v>#DIV/0!</v>
      </c>
      <c r="I9" s="179" t="e">
        <f>SUMIFS('Whakatikei Budget'!$J$51:$U$51,'Whakatikei Budget'!J50:U50,"&lt;="&amp;Summary_3!$E$2)/I5</f>
        <v>#DIV/0!</v>
      </c>
      <c r="J9" s="187" t="e">
        <f>I9-H9</f>
        <v>#DIV/0!</v>
      </c>
      <c r="L9" s="444" t="s">
        <v>222</v>
      </c>
      <c r="M9" s="189">
        <f>$S$5*'Whakatikei Budget'!C24</f>
        <v>0</v>
      </c>
      <c r="P9" s="253">
        <f>IFERROR(HLOOKUP($Q$2,'Whakatikei Actual'!$J$50:$U$51,2,0)/P5,0)</f>
        <v>0</v>
      </c>
      <c r="Q9" s="253">
        <f>IFERROR(HLOOKUP($Q$2,'Whakatikei Budget'!$J$50:$U$51,2,0)/Q5,0)</f>
        <v>0</v>
      </c>
      <c r="R9" s="253">
        <f>HLOOKUP($Q$2,'Whakatikei Actual'!$J$50:$U$51,2,0)</f>
        <v>0</v>
      </c>
      <c r="S9" s="253">
        <f>HLOOKUP($Q$2,'Whakatikei Budget'!$J$50:$U$51,2,0)</f>
        <v>0</v>
      </c>
      <c r="T9">
        <v>8</v>
      </c>
      <c r="U9" t="s">
        <v>187</v>
      </c>
      <c r="V9" s="249">
        <v>45870</v>
      </c>
    </row>
    <row r="10" spans="1:22" x14ac:dyDescent="0.25">
      <c r="E10" s="220"/>
      <c r="F10" s="151"/>
      <c r="H10" s="234"/>
      <c r="I10" s="183"/>
      <c r="J10" s="185"/>
      <c r="L10" s="444" t="s">
        <v>34</v>
      </c>
      <c r="M10" s="189">
        <f>$S$5*'Whakatikei Budget'!C25</f>
        <v>0</v>
      </c>
      <c r="P10" s="252"/>
      <c r="Q10" s="252"/>
      <c r="R10" s="252"/>
      <c r="S10" s="252"/>
      <c r="T10">
        <v>9</v>
      </c>
      <c r="U10" t="s">
        <v>188</v>
      </c>
      <c r="V10" s="249">
        <v>45901</v>
      </c>
    </row>
    <row r="11" spans="1:22" x14ac:dyDescent="0.25">
      <c r="B11" s="170" t="s">
        <v>139</v>
      </c>
      <c r="C11" s="170"/>
      <c r="D11" s="171" t="s">
        <v>140</v>
      </c>
      <c r="E11" s="219" t="e">
        <f>HLOOKUP($E$2,'Whakatikei Actual'!$J$55:$U$78,24,0)/E5</f>
        <v>#DIV/0!</v>
      </c>
      <c r="F11" s="218" t="e">
        <f>HLOOKUP($E$2,'Whakatikei Budget'!$J$55:$U$78,24,0)/F5</f>
        <v>#DIV/0!</v>
      </c>
      <c r="G11" s="176" t="e">
        <f>F11-E11</f>
        <v>#DIV/0!</v>
      </c>
      <c r="H11" s="235" t="e">
        <f>SUMIFS('Whakatikei Actual'!$J$78:$U$78,'Whakatikei Actual'!$J$55:$U$55,"&lt;="&amp;Summary_3!$E$2)/H5</f>
        <v>#DIV/0!</v>
      </c>
      <c r="I11" s="179" t="e">
        <f>SUMIFS('Whakatikei Budget'!$J$78:$U$78,'Whakatikei Budget'!$J$55:$U$55,"&lt;="&amp;Summary_3!$E$2)/I5</f>
        <v>#DIV/0!</v>
      </c>
      <c r="J11" s="187" t="e">
        <f>I11-H11</f>
        <v>#DIV/0!</v>
      </c>
      <c r="L11" s="444" t="s">
        <v>37</v>
      </c>
      <c r="M11" s="189">
        <f>$S$5*'Whakatikei Budget'!C26</f>
        <v>0</v>
      </c>
      <c r="P11" s="253">
        <f>IFERROR(HLOOKUP($Q$2,'Whakatikei Actual'!$J$55:$U$78,24,0)/P5,0)</f>
        <v>0</v>
      </c>
      <c r="Q11" s="253">
        <f>IFERROR(HLOOKUP($Q$2,'Whakatikei Budget'!$J$55:$U$78,24,0)/Q5,0)</f>
        <v>0</v>
      </c>
      <c r="R11" s="253">
        <f>HLOOKUP($Q$2,'Whakatikei Actual'!$J$55:$U$78,24,0)</f>
        <v>0</v>
      </c>
      <c r="S11" s="253">
        <f>HLOOKUP($Q$2,'Whakatikei Budget'!$J$55:$U$78,24,0)</f>
        <v>0</v>
      </c>
      <c r="T11">
        <v>10</v>
      </c>
      <c r="U11" t="s">
        <v>189</v>
      </c>
      <c r="V11" s="249">
        <v>45931</v>
      </c>
    </row>
    <row r="12" spans="1:22" x14ac:dyDescent="0.25">
      <c r="E12" s="220"/>
      <c r="F12" s="373"/>
      <c r="H12" s="234"/>
      <c r="I12" s="183"/>
      <c r="J12" s="185"/>
      <c r="L12" s="444" t="s">
        <v>174</v>
      </c>
      <c r="M12" s="189">
        <f>$S$5*'Whakatikei Budget'!C27</f>
        <v>0</v>
      </c>
      <c r="P12" s="252"/>
      <c r="Q12" s="252"/>
      <c r="R12" s="252"/>
      <c r="S12" s="252"/>
      <c r="T12">
        <v>11</v>
      </c>
      <c r="U12" t="s">
        <v>190</v>
      </c>
      <c r="V12" s="249">
        <v>45962</v>
      </c>
    </row>
    <row r="13" spans="1:22" x14ac:dyDescent="0.25">
      <c r="B13" s="157" t="s">
        <v>52</v>
      </c>
      <c r="C13" s="157" t="s">
        <v>53</v>
      </c>
      <c r="E13" s="220" t="e">
        <f>HLOOKUP($E$2,'Whakatikei Actual'!$J$81:$U$105,2,0)/$E$5</f>
        <v>#DIV/0!</v>
      </c>
      <c r="F13" s="221" t="e">
        <f>HLOOKUP($E$2,'Whakatikei Budget'!$J$81:$U$105,2,0)/$F$5</f>
        <v>#DIV/0!</v>
      </c>
      <c r="G13" s="188" t="e">
        <f t="shared" ref="G13:G20" si="0">F13-E13</f>
        <v>#DIV/0!</v>
      </c>
      <c r="H13" s="234" t="e">
        <f>SUMIFS('Whakatikei Actual'!$J$82:$U$82,'Whakatikei Actual'!$J$81:$U$81,"&lt;="&amp;Summary_3!$E$2)/H5</f>
        <v>#DIV/0!</v>
      </c>
      <c r="I13" s="183" t="e">
        <f>SUMIFS('Whakatikei Budget'!$J$82:$U$82,'Whakatikei Budget'!$J$81:$U$81,"&lt;="&amp;Summary_3!$E$2)/I5</f>
        <v>#DIV/0!</v>
      </c>
      <c r="J13" s="189" t="e">
        <f t="shared" ref="J13:J20" si="1">I13-H13</f>
        <v>#DIV/0!</v>
      </c>
      <c r="L13" s="444" t="s">
        <v>202</v>
      </c>
      <c r="M13" s="189">
        <f>$S$5*'Whakatikei Budget'!C28</f>
        <v>0</v>
      </c>
      <c r="P13" s="252">
        <f>IFERROR(HLOOKUP($Q$2,'Whakatikei Actual'!$J$81:$U$105,2,0)/$P$5,0)</f>
        <v>0</v>
      </c>
      <c r="Q13" s="252">
        <f>IFERROR(HLOOKUP($Q$2,'Whakatikei Budget'!$J$81:$U$105,2,0)/$Q$5,0)</f>
        <v>0</v>
      </c>
      <c r="R13" s="252">
        <f>HLOOKUP($Q$2,'Whakatikei Actual'!$J$81:$U$105,2,0)</f>
        <v>0</v>
      </c>
      <c r="S13" s="252">
        <f>HLOOKUP($Q$2,'Whakatikei Budget'!$J$81:$U$105,2,0)</f>
        <v>0</v>
      </c>
      <c r="T13">
        <v>12</v>
      </c>
      <c r="U13" t="s">
        <v>191</v>
      </c>
      <c r="V13" s="249">
        <v>45992</v>
      </c>
    </row>
    <row r="14" spans="1:22" x14ac:dyDescent="0.25">
      <c r="B14" s="157" t="s">
        <v>227</v>
      </c>
      <c r="C14" s="157" t="s">
        <v>53</v>
      </c>
      <c r="E14" s="220" t="e">
        <f>HLOOKUP($E$2,'Whakatikei Actual'!$J$81:$U$105,3,0)/$E$5</f>
        <v>#DIV/0!</v>
      </c>
      <c r="F14" s="221" t="e">
        <f>HLOOKUP($E$2,'Whakatikei Budget'!$J$81:$U$105,3,0)/$F$5</f>
        <v>#DIV/0!</v>
      </c>
      <c r="G14" s="188" t="e">
        <f t="shared" si="0"/>
        <v>#DIV/0!</v>
      </c>
      <c r="H14" s="234" t="e">
        <f>SUMIFS('Whakatikei Actual'!$J$83:$U$83,'Whakatikei Actual'!$J$81:$U$81,"&lt;="&amp;Summary_3!$E$2)/H5</f>
        <v>#DIV/0!</v>
      </c>
      <c r="I14" s="183" t="e">
        <f>SUMIFS('Whakatikei Budget'!$J$83:$U$83,'Whakatikei Budget'!$J$81:$U$81,"&lt;="&amp;Summary_3!$E$2)/I5</f>
        <v>#DIV/0!</v>
      </c>
      <c r="J14" s="189" t="e">
        <f t="shared" si="1"/>
        <v>#DIV/0!</v>
      </c>
      <c r="L14" s="444" t="s">
        <v>175</v>
      </c>
      <c r="M14" s="189">
        <f>$S$5*'Whakatikei Budget'!C29</f>
        <v>0</v>
      </c>
      <c r="P14" s="252">
        <f>IFERROR(HLOOKUP($Q$2,'Whakatikei Actual'!$J$81:$U$105,3,0)/$P$5,0)</f>
        <v>0</v>
      </c>
      <c r="Q14" s="252">
        <f>IFERROR(HLOOKUP($Q$2,'Whakatikei Budget'!$J$81:$U$105,3,0)/$Q$5,0)</f>
        <v>0</v>
      </c>
      <c r="R14" s="252">
        <f>HLOOKUP($Q$2,'Whakatikei Actual'!$J$81:$U$105,3,0)</f>
        <v>0</v>
      </c>
      <c r="S14" s="252">
        <f>HLOOKUP($Q$2,'Whakatikei Budget'!$J$81:$U$105,3,0)</f>
        <v>0</v>
      </c>
    </row>
    <row r="15" spans="1:22" x14ac:dyDescent="0.25">
      <c r="B15" s="157" t="s">
        <v>54</v>
      </c>
      <c r="C15" s="157" t="s">
        <v>53</v>
      </c>
      <c r="E15" s="220" t="e">
        <f>HLOOKUP($E$2,'Whakatikei Actual'!$J$81:$U$105,4,0)/$E$5</f>
        <v>#DIV/0!</v>
      </c>
      <c r="F15" s="221" t="e">
        <f>HLOOKUP($E$2,'Whakatikei Budget'!$J$81:$U$105,4,0)/$F$5</f>
        <v>#DIV/0!</v>
      </c>
      <c r="G15" s="188" t="e">
        <f t="shared" si="0"/>
        <v>#DIV/0!</v>
      </c>
      <c r="H15" s="234" t="e">
        <f>SUMIFS('Whakatikei Actual'!$J$84:$U$84,'Whakatikei Actual'!$J$81:$U$81,"&lt;="&amp;Summary_3!$E$2)/H5</f>
        <v>#DIV/0!</v>
      </c>
      <c r="I15" s="183" t="e">
        <f>SUMIFS('Whakatikei Budget'!$J$84:$U$84,'Whakatikei Budget'!$J$81:$U$81,"&lt;="&amp;Summary_3!$E$2)/I5</f>
        <v>#DIV/0!</v>
      </c>
      <c r="J15" s="189" t="e">
        <f t="shared" si="1"/>
        <v>#DIV/0!</v>
      </c>
      <c r="L15" s="444" t="s">
        <v>176</v>
      </c>
      <c r="M15" s="189">
        <f>$S$5*'Whakatikei Budget'!C30</f>
        <v>0</v>
      </c>
      <c r="P15" s="252">
        <f>IFERROR(HLOOKUP($Q$2,'Whakatikei Actual'!$J$81:$U$105,4,0)/$P$5,0)</f>
        <v>0</v>
      </c>
      <c r="Q15" s="252">
        <f>IFERROR(HLOOKUP($Q$2,'Whakatikei Budget'!$J$81:$U$105,4,0)/$Q$5,0)</f>
        <v>0</v>
      </c>
      <c r="R15" s="252">
        <f>HLOOKUP($Q$2,'Whakatikei Actual'!$J$81:$U$105,4,0)</f>
        <v>0</v>
      </c>
      <c r="S15" s="252">
        <f>HLOOKUP($Q$2,'Whakatikei Budget'!$J$81:$U$105,4,0)</f>
        <v>0</v>
      </c>
    </row>
    <row r="16" spans="1:22" x14ac:dyDescent="0.25">
      <c r="B16" s="157" t="s">
        <v>55</v>
      </c>
      <c r="C16" s="157" t="s">
        <v>53</v>
      </c>
      <c r="E16" s="220" t="e">
        <f>HLOOKUP($E$2,'Whakatikei Actual'!$J$81:$U$105,5,0)/$E$5</f>
        <v>#DIV/0!</v>
      </c>
      <c r="F16" s="221" t="e">
        <f>HLOOKUP($E$2,'Whakatikei Budget'!$J$81:$U$105,5,0)/$F$5</f>
        <v>#DIV/0!</v>
      </c>
      <c r="G16" s="188" t="e">
        <f t="shared" si="0"/>
        <v>#DIV/0!</v>
      </c>
      <c r="H16" s="234" t="e">
        <f>SUMIFS('Whakatikei Actual'!$J$85:$U$85,'Whakatikei Actual'!$J$81:$U$81,"&lt;="&amp;Summary_3!$E$2)/H5</f>
        <v>#DIV/0!</v>
      </c>
      <c r="I16" s="183" t="e">
        <f>SUMIFS('Whakatikei Budget'!$J$85:$U$85,'Whakatikei Budget'!$J$81:$U$81,"&lt;="&amp;Summary_3!$E$2)/I5</f>
        <v>#DIV/0!</v>
      </c>
      <c r="J16" s="189" t="e">
        <f t="shared" si="1"/>
        <v>#DIV/0!</v>
      </c>
      <c r="L16" s="444" t="s">
        <v>23</v>
      </c>
      <c r="M16" s="189">
        <f>$S$5*'Whakatikei Budget'!C31</f>
        <v>0</v>
      </c>
      <c r="P16" s="252">
        <f>IFERROR(HLOOKUP($Q$2,'Whakatikei Actual'!$J$81:$U$105,5,0)/$P$5,0)</f>
        <v>0</v>
      </c>
      <c r="Q16" s="252">
        <f>IFERROR(HLOOKUP($Q$2,'Whakatikei Budget'!$J$81:$U$105,5,0)/$Q$5,0)</f>
        <v>0</v>
      </c>
      <c r="R16" s="252">
        <f>HLOOKUP($Q$2,'Whakatikei Actual'!$J$81:$U$105,5,0)</f>
        <v>0</v>
      </c>
      <c r="S16" s="252">
        <f>HLOOKUP($Q$2,'Whakatikei Budget'!$J$81:$U$105,5,0)</f>
        <v>0</v>
      </c>
    </row>
    <row r="17" spans="2:19" x14ac:dyDescent="0.25">
      <c r="B17" s="157" t="s">
        <v>228</v>
      </c>
      <c r="C17" s="157" t="s">
        <v>53</v>
      </c>
      <c r="E17" s="220" t="e">
        <f>HLOOKUP($E$2,'Whakatikei Actual'!$J$81:$U$105,6,0)/$E$5</f>
        <v>#DIV/0!</v>
      </c>
      <c r="F17" s="221" t="e">
        <f>HLOOKUP($E$2,'Whakatikei Budget'!$J$81:$U$105,6,0)/$F$5</f>
        <v>#DIV/0!</v>
      </c>
      <c r="G17" s="188" t="e">
        <f t="shared" si="0"/>
        <v>#DIV/0!</v>
      </c>
      <c r="H17" s="234" t="e">
        <f>SUMIFS('Whakatikei Actual'!$J$86:$U$86,'Whakatikei Actual'!$J$81:$U$81,"&lt;="&amp;Summary_3!$E$2)/H5</f>
        <v>#DIV/0!</v>
      </c>
      <c r="I17" s="183" t="e">
        <f>SUMIFS('Whakatikei Budget'!$J$86:$U$86,'Whakatikei Budget'!$J$81:$U$81,"&lt;="&amp;Summary_3!$E$2)/I5</f>
        <v>#DIV/0!</v>
      </c>
      <c r="J17" s="189" t="e">
        <f t="shared" si="1"/>
        <v>#DIV/0!</v>
      </c>
      <c r="L17" s="444" t="s">
        <v>24</v>
      </c>
      <c r="M17" s="189">
        <f>$S$5*'Whakatikei Budget'!C32</f>
        <v>0</v>
      </c>
      <c r="P17" s="252">
        <f>IFERROR(HLOOKUP($Q$2,'Whakatikei Actual'!$J$81:$U$105,6,0)/$P$5,0)</f>
        <v>0</v>
      </c>
      <c r="Q17" s="252">
        <f>IFERROR(HLOOKUP($Q$2,'Whakatikei Budget'!$J$81:$U$105,6,0)/$Q$5,0)</f>
        <v>0</v>
      </c>
      <c r="R17" s="252">
        <f>HLOOKUP($Q$2,'Whakatikei Actual'!$J$81:$U$105,6,0)</f>
        <v>0</v>
      </c>
      <c r="S17" s="252">
        <f>HLOOKUP($Q$2,'Whakatikei Budget'!$J$81:$U$105,6,0)</f>
        <v>0</v>
      </c>
    </row>
    <row r="18" spans="2:19" x14ac:dyDescent="0.25">
      <c r="B18" s="157" t="s">
        <v>56</v>
      </c>
      <c r="C18" s="157" t="s">
        <v>53</v>
      </c>
      <c r="E18" s="220" t="e">
        <f>HLOOKUP($E$2,'Whakatikei Actual'!$J$81:$U$105,7,0)/$E$5</f>
        <v>#DIV/0!</v>
      </c>
      <c r="F18" s="221" t="e">
        <f>HLOOKUP($E$2,'Whakatikei Budget'!$J$81:$U$105,7,0)/$F$5</f>
        <v>#DIV/0!</v>
      </c>
      <c r="G18" s="188" t="e">
        <f t="shared" si="0"/>
        <v>#DIV/0!</v>
      </c>
      <c r="H18" s="234" t="e">
        <f>SUMIFS('Whakatikei Actual'!$J$87:$U$87,'Whakatikei Actual'!$J$81:$U$81,"&lt;="&amp;Summary_3!$E$2)/H5</f>
        <v>#DIV/0!</v>
      </c>
      <c r="I18" s="183" t="e">
        <f>SUMIFS('Whakatikei Budget'!$J$87:$U$87,'Whakatikei Budget'!$J$81:$U$81,"&lt;="&amp;Summary_3!$E$2)/I5</f>
        <v>#DIV/0!</v>
      </c>
      <c r="J18" s="189" t="e">
        <f t="shared" si="1"/>
        <v>#DIV/0!</v>
      </c>
      <c r="L18" s="444" t="s">
        <v>26</v>
      </c>
      <c r="M18" s="189">
        <f>$S$5*'Whakatikei Budget'!C33</f>
        <v>0</v>
      </c>
      <c r="P18" s="252">
        <f>IFERROR(HLOOKUP($Q$2,'Whakatikei Actual'!$J$81:$U$105,7,0)/$P$5,0)</f>
        <v>0</v>
      </c>
      <c r="Q18" s="252">
        <f>IFERROR(HLOOKUP($Q$2,'Whakatikei Budget'!$J$81:$U$105,7,0)/$Q$5,0)</f>
        <v>0</v>
      </c>
      <c r="R18" s="252">
        <f>HLOOKUP($Q$2,'Whakatikei Actual'!$J$81:$U$105,7,0)</f>
        <v>0</v>
      </c>
      <c r="S18" s="252">
        <f>HLOOKUP($Q$2,'Whakatikei Budget'!$J$81:$U$105,7,0)</f>
        <v>0</v>
      </c>
    </row>
    <row r="19" spans="2:19" x14ac:dyDescent="0.25">
      <c r="B19" s="157" t="s">
        <v>57</v>
      </c>
      <c r="C19" s="157" t="s">
        <v>53</v>
      </c>
      <c r="E19" s="220" t="e">
        <f>HLOOKUP($E$2,'Whakatikei Actual'!$J$81:$U$105,8,0)/$E$5</f>
        <v>#DIV/0!</v>
      </c>
      <c r="F19" s="221" t="e">
        <f>HLOOKUP($E$2,'Whakatikei Budget'!$J$81:$U$105,8,0)/$F$5</f>
        <v>#DIV/0!</v>
      </c>
      <c r="G19" s="188" t="e">
        <f t="shared" si="0"/>
        <v>#DIV/0!</v>
      </c>
      <c r="H19" s="234" t="e">
        <f>SUMIFS('Whakatikei Actual'!$J$88:$U$88,'Whakatikei Actual'!$J$81:$U$81,"&lt;="&amp;Summary_3!$E$2)/H5</f>
        <v>#DIV/0!</v>
      </c>
      <c r="I19" s="183" t="e">
        <f>SUMIFS('Whakatikei Budget'!$J$88:$U$88,'Whakatikei Budget'!$J$81:$U$81,"&lt;="&amp;Summary_3!$E$2)/I5</f>
        <v>#DIV/0!</v>
      </c>
      <c r="J19" s="189" t="e">
        <f t="shared" si="1"/>
        <v>#DIV/0!</v>
      </c>
      <c r="L19" s="444" t="s">
        <v>27</v>
      </c>
      <c r="M19" s="189">
        <f>$S$5*'Whakatikei Budget'!C34</f>
        <v>0</v>
      </c>
      <c r="P19" s="252">
        <f>IFERROR(HLOOKUP($Q$2,'Whakatikei Actual'!$J$81:$U$105,8,0)/$P$5,0)</f>
        <v>0</v>
      </c>
      <c r="Q19" s="252">
        <f>IFERROR(HLOOKUP($Q$2,'Whakatikei Budget'!$J$81:$U$105,8,0)/$Q$5,0)</f>
        <v>0</v>
      </c>
      <c r="R19" s="252">
        <f>HLOOKUP($Q$2,'Whakatikei Actual'!$J$81:$U$105,8,0)</f>
        <v>0</v>
      </c>
      <c r="S19" s="252">
        <f>HLOOKUP($Q$2,'Whakatikei Budget'!$J$81:$U$105,8,0)</f>
        <v>0</v>
      </c>
    </row>
    <row r="20" spans="2:19" x14ac:dyDescent="0.25">
      <c r="B20" s="172" t="s">
        <v>229</v>
      </c>
      <c r="C20" s="172" t="s">
        <v>53</v>
      </c>
      <c r="D20" s="171"/>
      <c r="E20" s="219" t="e">
        <f>HLOOKUP($E$2,'Whakatikei Actual'!$J$81:$U$105,9,0)/$E$5</f>
        <v>#DIV/0!</v>
      </c>
      <c r="F20" s="218" t="e">
        <f>HLOOKUP($E$2,'Whakatikei Budget'!$J$81:$U$105,9,0)/$F$5</f>
        <v>#DIV/0!</v>
      </c>
      <c r="G20" s="176" t="e">
        <f t="shared" si="0"/>
        <v>#DIV/0!</v>
      </c>
      <c r="H20" s="235" t="e">
        <f>SUMIFS('Whakatikei Actual'!$J$89:$U$89,'Whakatikei Actual'!$J$81:$U$81,"&lt;="&amp;Summary_3!$E$2)/H5</f>
        <v>#DIV/0!</v>
      </c>
      <c r="I20" s="179" t="e">
        <f>SUMIFS('Whakatikei Budget'!$J$89:$U$89,'Whakatikei Budget'!$J$81:$U$81,"&lt;="&amp;Summary_3!$E$2)/I5</f>
        <v>#DIV/0!</v>
      </c>
      <c r="J20" s="187" t="e">
        <f t="shared" si="1"/>
        <v>#DIV/0!</v>
      </c>
      <c r="L20" s="444" t="s">
        <v>29</v>
      </c>
      <c r="M20" s="189">
        <f>$S$5*'Whakatikei Budget'!C35</f>
        <v>0</v>
      </c>
      <c r="P20" s="253">
        <f>IFERROR(HLOOKUP($Q$2,'Whakatikei Actual'!$J$81:$U$105,9,0)/$P$5,0)</f>
        <v>0</v>
      </c>
      <c r="Q20" s="253">
        <f>IFERROR(HLOOKUP($Q$2,'Whakatikei Budget'!$J$81:$U$105,9,0)/$Q$5,0)</f>
        <v>0</v>
      </c>
      <c r="R20" s="253">
        <f>HLOOKUP($Q$2,'Whakatikei Actual'!$J$81:$U$105,9,0)</f>
        <v>0</v>
      </c>
      <c r="S20" s="253">
        <f>HLOOKUP($Q$2,'Whakatikei Budget'!$J$81:$U$105,9,0)</f>
        <v>0</v>
      </c>
    </row>
    <row r="21" spans="2:19" x14ac:dyDescent="0.25">
      <c r="B21" s="169" t="s">
        <v>141</v>
      </c>
      <c r="C21" s="169" t="s">
        <v>53</v>
      </c>
      <c r="D21" s="158" t="s">
        <v>142</v>
      </c>
      <c r="E21" s="220" t="e">
        <f t="shared" ref="E21:J21" si="2">SUM(E13:E20)</f>
        <v>#DIV/0!</v>
      </c>
      <c r="F21" s="221" t="e">
        <f t="shared" si="2"/>
        <v>#DIV/0!</v>
      </c>
      <c r="G21" s="188" t="e">
        <f t="shared" si="2"/>
        <v>#DIV/0!</v>
      </c>
      <c r="H21" s="234" t="e">
        <f t="shared" si="2"/>
        <v>#DIV/0!</v>
      </c>
      <c r="I21" s="183" t="e">
        <f t="shared" si="2"/>
        <v>#DIV/0!</v>
      </c>
      <c r="J21" s="189" t="e">
        <f t="shared" si="2"/>
        <v>#DIV/0!</v>
      </c>
      <c r="L21" s="444" t="s">
        <v>28</v>
      </c>
      <c r="M21" s="189">
        <f>$S$5*'Whakatikei Budget'!C36</f>
        <v>0</v>
      </c>
      <c r="P21" s="252">
        <f>SUM(P13:P20)</f>
        <v>0</v>
      </c>
      <c r="Q21" s="252">
        <f>SUM(Q13:Q20)</f>
        <v>0</v>
      </c>
      <c r="R21" s="252">
        <f>SUM(R13:R20)</f>
        <v>0</v>
      </c>
      <c r="S21" s="252">
        <f>SUM(S13:S20)</f>
        <v>0</v>
      </c>
    </row>
    <row r="22" spans="2:19" x14ac:dyDescent="0.25">
      <c r="E22" s="220"/>
      <c r="F22" s="373"/>
      <c r="H22" s="234"/>
      <c r="I22" s="183"/>
      <c r="J22" s="185"/>
      <c r="L22" s="444" t="s">
        <v>31</v>
      </c>
      <c r="M22" s="189">
        <f>$S$5*'Whakatikei Budget'!C37</f>
        <v>0</v>
      </c>
      <c r="P22" s="252"/>
      <c r="Q22" s="252"/>
      <c r="R22" s="252"/>
      <c r="S22" s="252"/>
    </row>
    <row r="23" spans="2:19" x14ac:dyDescent="0.25">
      <c r="B23" s="329" t="s">
        <v>238</v>
      </c>
      <c r="C23" s="157" t="s">
        <v>59</v>
      </c>
      <c r="E23" s="220" t="e">
        <f>HLOOKUP($E$2,'Whakatikei Actual'!$J$81:$U$105,10,0)/$E$5</f>
        <v>#DIV/0!</v>
      </c>
      <c r="F23" s="221" t="e">
        <f>HLOOKUP($E$2,'Whakatikei Budget'!$J$81:$U$105,10,0)/$F$5</f>
        <v>#DIV/0!</v>
      </c>
      <c r="G23" s="188" t="e">
        <f t="shared" ref="G23:G28" si="3">F23-E23</f>
        <v>#DIV/0!</v>
      </c>
      <c r="H23" s="234" t="e">
        <f>SUMIFS('Whakatikei Actual'!$J$90:$U$90,'Whakatikei Actual'!$J$81:$U$81,"&lt;="&amp;Summary_3!$E$2)/H5</f>
        <v>#DIV/0!</v>
      </c>
      <c r="I23" s="183" t="e">
        <f>SUMIFS('Whakatikei Budget'!$J$90:$U$90,'Whakatikei Budget'!$J$81:$U$81,"&lt;="&amp;Summary_3!$E$2)/I5</f>
        <v>#DIV/0!</v>
      </c>
      <c r="J23" s="189" t="e">
        <f t="shared" ref="J23:J28" si="4">I23-H23</f>
        <v>#DIV/0!</v>
      </c>
      <c r="L23" s="444" t="s">
        <v>32</v>
      </c>
      <c r="M23" s="189">
        <f>$S$5*'Whakatikei Budget'!C38</f>
        <v>0</v>
      </c>
      <c r="P23" s="252">
        <f>IFERROR(HLOOKUP($Q$2,'Whakatikei Actual'!$J$81:$U$105,10,0)/$P$5,0)</f>
        <v>0</v>
      </c>
      <c r="Q23" s="252">
        <f>IFERROR(HLOOKUP($Q$2,'Whakatikei Budget'!$J$81:$U$105,10,0)/$Q$5,0)</f>
        <v>0</v>
      </c>
      <c r="R23" s="252">
        <f>HLOOKUP($Q$2,'Whakatikei Actual'!$J$81:$U$105,10,0)</f>
        <v>0</v>
      </c>
      <c r="S23" s="252">
        <f>HLOOKUP($Q$2,'Whakatikei Budget'!$J$81:$U$105,10,0)</f>
        <v>0</v>
      </c>
    </row>
    <row r="24" spans="2:19" x14ac:dyDescent="0.25">
      <c r="B24" s="329" t="s">
        <v>225</v>
      </c>
      <c r="C24" s="157" t="s">
        <v>59</v>
      </c>
      <c r="E24" s="220" t="e">
        <f>HLOOKUP($E$2,'Whakatikei Actual'!$J$81:$U$105,11,0)/$E$5</f>
        <v>#DIV/0!</v>
      </c>
      <c r="F24" s="221" t="e">
        <f>HLOOKUP($E$2,'Whakatikei Budget'!$J$81:$U$105,11,0)/$F$5</f>
        <v>#DIV/0!</v>
      </c>
      <c r="G24" s="188" t="e">
        <f t="shared" si="3"/>
        <v>#DIV/0!</v>
      </c>
      <c r="H24" s="234" t="e">
        <f>SUMIFS('Whakatikei Actual'!$J$91:$U$91,'Whakatikei Actual'!$J$81:$U$81,"&lt;="&amp;Summary_3!$E$2)/H5</f>
        <v>#DIV/0!</v>
      </c>
      <c r="I24" s="183" t="e">
        <f>SUMIFS('Whakatikei Budget'!$J$91:$U$91,'Whakatikei Budget'!$J$81:$U$81,"&lt;="&amp;Summary_3!$E$2)/I5</f>
        <v>#DIV/0!</v>
      </c>
      <c r="J24" s="189" t="e">
        <f t="shared" si="4"/>
        <v>#DIV/0!</v>
      </c>
      <c r="L24" s="444" t="s">
        <v>33</v>
      </c>
      <c r="M24" s="189">
        <f>$S$5*'Whakatikei Budget'!C39</f>
        <v>0</v>
      </c>
      <c r="P24" s="252">
        <f>IFERROR(HLOOKUP($Q$2,'Whakatikei Actual'!$J$81:$U$105,11,0)/$P$5,0)</f>
        <v>0</v>
      </c>
      <c r="Q24" s="252">
        <f>IFERROR(HLOOKUP($Q$2,'Whakatikei Budget'!$J$81:$U$105,11,0)/$Q$5,0)</f>
        <v>0</v>
      </c>
      <c r="R24" s="252">
        <f>HLOOKUP($Q$2,'Whakatikei Actual'!$J$81:$U$105,11,0)</f>
        <v>0</v>
      </c>
      <c r="S24" s="252">
        <f>HLOOKUP($Q$2,'Whakatikei Budget'!$J$81:$U$105,11,0)</f>
        <v>0</v>
      </c>
    </row>
    <row r="25" spans="2:19" x14ac:dyDescent="0.25">
      <c r="B25" s="329" t="s">
        <v>226</v>
      </c>
      <c r="C25" s="157" t="s">
        <v>59</v>
      </c>
      <c r="E25" s="220" t="e">
        <f>HLOOKUP($E$2,'Whakatikei Actual'!$J$81:$U$105,12,0)/$E$5</f>
        <v>#DIV/0!</v>
      </c>
      <c r="F25" s="221" t="e">
        <f>HLOOKUP($E$2,'Whakatikei Budget'!$J$81:$U$105,12,0)/$F$5</f>
        <v>#DIV/0!</v>
      </c>
      <c r="G25" s="188" t="e">
        <f t="shared" si="3"/>
        <v>#DIV/0!</v>
      </c>
      <c r="H25" s="234" t="e">
        <f>SUMIFS('Whakatikei Actual'!$J$92:$U$92,'Whakatikei Actual'!$J$81:$U$81,"&lt;="&amp;Summary_3!$E$2)/H5</f>
        <v>#DIV/0!</v>
      </c>
      <c r="I25" s="183" t="e">
        <f>SUMIFS('Whakatikei Budget'!$J$92:$U$92,'Whakatikei Budget'!$J$81:$U$81,"&lt;="&amp;Summary_3!$E$2)/I5</f>
        <v>#DIV/0!</v>
      </c>
      <c r="J25" s="189" t="e">
        <f t="shared" si="4"/>
        <v>#DIV/0!</v>
      </c>
      <c r="L25" s="444" t="s">
        <v>35</v>
      </c>
      <c r="M25" s="189">
        <f>$S$5*'Whakatikei Budget'!C40</f>
        <v>0</v>
      </c>
      <c r="P25" s="252">
        <f>IFERROR(HLOOKUP($Q$2,'Whakatikei Actual'!$J$81:$U$105,12,0)/$P$5,0)</f>
        <v>0</v>
      </c>
      <c r="Q25" s="252">
        <f>IFERROR(HLOOKUP($Q$2,'Whakatikei Budget'!$J$81:$U$105,12,0)/$Q$5,0)</f>
        <v>0</v>
      </c>
      <c r="R25" s="252">
        <f>HLOOKUP($Q$2,'Whakatikei Actual'!$J$81:$U$105,12,0)</f>
        <v>0</v>
      </c>
      <c r="S25" s="252">
        <f>HLOOKUP($Q$2,'Whakatikei Budget'!$J$81:$U$105,12,0)</f>
        <v>0</v>
      </c>
    </row>
    <row r="26" spans="2:19" ht="15.75" thickBot="1" x14ac:dyDescent="0.3">
      <c r="B26" s="329" t="s">
        <v>205</v>
      </c>
      <c r="C26" s="157" t="s">
        <v>59</v>
      </c>
      <c r="E26" s="220" t="e">
        <f>HLOOKUP($E$2,'Whakatikei Actual'!$J$81:$U$105,13,0)/$E$5</f>
        <v>#DIV/0!</v>
      </c>
      <c r="F26" s="221" t="e">
        <f>HLOOKUP($E$2,'Whakatikei Budget'!$J$81:$U$105,13,0)/$F$5</f>
        <v>#DIV/0!</v>
      </c>
      <c r="G26" s="188" t="e">
        <f t="shared" si="3"/>
        <v>#DIV/0!</v>
      </c>
      <c r="H26" s="234" t="e">
        <f>SUMIFS('Whakatikei Actual'!$J$93:$U$93,'Whakatikei Actual'!$J$81:$U$81,"&lt;="&amp;Summary_3!$E$2)/H5</f>
        <v>#DIV/0!</v>
      </c>
      <c r="I26" s="183" t="e">
        <f>SUMIFS('Whakatikei Budget'!$J$93:$U$93,'Whakatikei Budget'!$J$81:$U$81,"&lt;="&amp;Summary_3!$E$2)/I5</f>
        <v>#DIV/0!</v>
      </c>
      <c r="J26" s="189" t="e">
        <f t="shared" si="4"/>
        <v>#DIV/0!</v>
      </c>
      <c r="L26" s="445" t="s">
        <v>36</v>
      </c>
      <c r="M26" s="446">
        <f>$S$5*'Whakatikei Budget'!C41</f>
        <v>0</v>
      </c>
      <c r="P26" s="252">
        <f>IFERROR(HLOOKUP($Q$2,'Whakatikei Actual'!$J$81:$U$105,13,0)/$P$5,0)</f>
        <v>0</v>
      </c>
      <c r="Q26" s="252">
        <f>IFERROR(HLOOKUP($Q$2,'Whakatikei Budget'!$J$81:$U$105,13,0)/$Q$5,0)</f>
        <v>0</v>
      </c>
      <c r="R26" s="252">
        <f>HLOOKUP($Q$2,'Whakatikei Actual'!$J$81:$U$105,13,0)</f>
        <v>0</v>
      </c>
      <c r="S26" s="252">
        <f>HLOOKUP($Q$2,'Whakatikei Budget'!$J$81:$U$105,13,0)</f>
        <v>0</v>
      </c>
    </row>
    <row r="27" spans="2:19" x14ac:dyDescent="0.25">
      <c r="B27" s="329" t="s">
        <v>60</v>
      </c>
      <c r="C27" s="157" t="s">
        <v>59</v>
      </c>
      <c r="E27" s="220" t="e">
        <f>HLOOKUP($E$2,'Whakatikei Actual'!$J$81:$U$105,14,0)/$E$5</f>
        <v>#DIV/0!</v>
      </c>
      <c r="F27" s="221" t="e">
        <f>HLOOKUP($E$2,'Whakatikei Budget'!$J$81:$U$105,14,0)/$F$5</f>
        <v>#DIV/0!</v>
      </c>
      <c r="G27" s="188" t="e">
        <f t="shared" si="3"/>
        <v>#DIV/0!</v>
      </c>
      <c r="H27" s="234" t="e">
        <f>SUMIFS('Whakatikei Actual'!$J$94:$U$94,'Whakatikei Actual'!$J$81:$U$81,"&lt;="&amp;Summary_3!$E$2)/H5</f>
        <v>#DIV/0!</v>
      </c>
      <c r="I27" s="183" t="e">
        <f>SUMIFS('Whakatikei Budget'!$J$94:$U$94,'Whakatikei Budget'!$J$81:$U$81,"&lt;="&amp;Summary_3!$E$2)/I5</f>
        <v>#DIV/0!</v>
      </c>
      <c r="J27" s="189" t="e">
        <f t="shared" si="4"/>
        <v>#DIV/0!</v>
      </c>
      <c r="P27" s="252">
        <f>IFERROR(HLOOKUP($Q$2,'Whakatikei Actual'!$J$81:$U$105,14,0)/$P$5,0)</f>
        <v>0</v>
      </c>
      <c r="Q27" s="252">
        <f>IFERROR(HLOOKUP($Q$2,'Whakatikei Budget'!$J$81:$U$105,14,0)/$Q$5,0)</f>
        <v>0</v>
      </c>
      <c r="R27" s="252">
        <f>HLOOKUP($Q$2,'Whakatikei Actual'!$J$81:$U$105,14,0)</f>
        <v>0</v>
      </c>
      <c r="S27" s="252">
        <f>HLOOKUP($Q$2,'Whakatikei Budget'!$J$81:$U$105,14,0)</f>
        <v>0</v>
      </c>
    </row>
    <row r="28" spans="2:19" x14ac:dyDescent="0.25">
      <c r="B28" s="329" t="s">
        <v>80</v>
      </c>
      <c r="C28" s="172" t="s">
        <v>59</v>
      </c>
      <c r="D28" s="171"/>
      <c r="E28" s="219" t="e">
        <f>HLOOKUP($E$2,'Whakatikei Actual'!$J$81:$U$105,15,0)/$E$5</f>
        <v>#DIV/0!</v>
      </c>
      <c r="F28" s="218" t="e">
        <f>HLOOKUP($E$2,'Whakatikei Budget'!$J$81:$U$105,15,0)/$F$5</f>
        <v>#DIV/0!</v>
      </c>
      <c r="G28" s="176" t="e">
        <f t="shared" si="3"/>
        <v>#DIV/0!</v>
      </c>
      <c r="H28" s="235" t="e">
        <f>SUMIFS('Whakatikei Actual'!$J$95:$U$95,'Whakatikei Actual'!$J$81:$U$81,"&lt;="&amp;Summary_3!$E$2)/H5</f>
        <v>#DIV/0!</v>
      </c>
      <c r="I28" s="179" t="e">
        <f>SUMIFS('Whakatikei Budget'!$J$95:$U$95,'Whakatikei Budget'!$J$81:$U$81,"&lt;="&amp;Summary_3!$E$2)/I5</f>
        <v>#DIV/0!</v>
      </c>
      <c r="J28" s="187" t="e">
        <f t="shared" si="4"/>
        <v>#DIV/0!</v>
      </c>
      <c r="P28" s="253">
        <f>IFERROR(HLOOKUP($Q$2,'Whakatikei Actual'!$J$81:$U$105,15,0)/$P$5,0)</f>
        <v>0</v>
      </c>
      <c r="Q28" s="253">
        <f>IFERROR(HLOOKUP($Q$2,'Whakatikei Budget'!$J$81:$U$105,15,0)/$Q$5,0)</f>
        <v>0</v>
      </c>
      <c r="R28" s="253">
        <f>HLOOKUP($Q$2,'Whakatikei Actual'!$J$81:$U$105,15,0)</f>
        <v>0</v>
      </c>
      <c r="S28" s="253">
        <f>HLOOKUP($Q$2,'Whakatikei Budget'!$J$81:$U$105,15,0)</f>
        <v>0</v>
      </c>
    </row>
    <row r="29" spans="2:19" x14ac:dyDescent="0.25">
      <c r="B29" s="169" t="s">
        <v>143</v>
      </c>
      <c r="C29" s="169" t="s">
        <v>59</v>
      </c>
      <c r="D29" s="158" t="s">
        <v>144</v>
      </c>
      <c r="E29" s="220" t="e">
        <f t="shared" ref="E29:J29" si="5">SUM(E23:E28)</f>
        <v>#DIV/0!</v>
      </c>
      <c r="F29" s="373" t="e">
        <f t="shared" si="5"/>
        <v>#DIV/0!</v>
      </c>
      <c r="G29" s="188" t="e">
        <f t="shared" si="5"/>
        <v>#DIV/0!</v>
      </c>
      <c r="H29" s="234" t="e">
        <f t="shared" si="5"/>
        <v>#DIV/0!</v>
      </c>
      <c r="I29" s="183" t="e">
        <f t="shared" si="5"/>
        <v>#DIV/0!</v>
      </c>
      <c r="J29" s="189" t="e">
        <f t="shared" si="5"/>
        <v>#DIV/0!</v>
      </c>
      <c r="P29" s="252">
        <f>SUM(P23:P28)</f>
        <v>0</v>
      </c>
      <c r="Q29" s="252">
        <f>SUM(Q23:Q28)</f>
        <v>0</v>
      </c>
      <c r="R29" s="252">
        <f>SUM(R23:R28)</f>
        <v>0</v>
      </c>
      <c r="S29" s="252">
        <f>SUM(S23:S28)</f>
        <v>0</v>
      </c>
    </row>
    <row r="30" spans="2:19" x14ac:dyDescent="0.25">
      <c r="C30" s="169"/>
      <c r="E30" s="220"/>
      <c r="F30" s="221"/>
      <c r="H30" s="234"/>
      <c r="I30" s="183"/>
      <c r="J30" s="185"/>
      <c r="P30" s="252"/>
      <c r="Q30" s="252"/>
      <c r="R30" s="252"/>
      <c r="S30" s="252"/>
    </row>
    <row r="31" spans="2:19" x14ac:dyDescent="0.25">
      <c r="B31" s="157" t="s">
        <v>230</v>
      </c>
      <c r="C31" s="157" t="s">
        <v>61</v>
      </c>
      <c r="E31" s="220" t="e">
        <f>HLOOKUP($E$2,'Whakatikei Actual'!$J$81:$U$105,16,0)/$E$5</f>
        <v>#DIV/0!</v>
      </c>
      <c r="F31" s="221" t="e">
        <f>HLOOKUP($E$2,'Whakatikei Budget'!$J$81:$U$105,16,0)/$F$5</f>
        <v>#DIV/0!</v>
      </c>
      <c r="G31" s="188" t="e">
        <f>F31-E31</f>
        <v>#DIV/0!</v>
      </c>
      <c r="H31" s="234" t="e">
        <f>SUMIFS('Whakatikei Actual'!$J$96:$U$96,'Whakatikei Actual'!$J$81:$U$81,"&lt;="&amp;Summary_3!$E$2)/H5</f>
        <v>#DIV/0!</v>
      </c>
      <c r="I31" s="183" t="e">
        <f>SUMIFS('Whakatikei Budget'!$J$96:$U$96,'Whakatikei Budget'!$J$81:$U$81,"&lt;="&amp;Summary_3!$E$2)/I5</f>
        <v>#DIV/0!</v>
      </c>
      <c r="J31" s="189" t="e">
        <f>I31-H31</f>
        <v>#DIV/0!</v>
      </c>
      <c r="P31" s="252">
        <f>IFERROR(HLOOKUP($Q$2,'Whakatikei Actual'!$J$81:$U$105,16,0)/$P$5,0)</f>
        <v>0</v>
      </c>
      <c r="Q31" s="252">
        <f>IFERROR(HLOOKUP($Q$2,'Whakatikei Budget'!$J$81:$U$105,16,0)/$Q$5,0)</f>
        <v>0</v>
      </c>
      <c r="R31" s="252">
        <f>HLOOKUP($Q$2,'Whakatikei Actual'!$J$81:$U$105,16,0)</f>
        <v>0</v>
      </c>
      <c r="S31" s="252">
        <f>HLOOKUP($Q$2,'Whakatikei Budget'!$J$81:$U$105,16,0)</f>
        <v>0</v>
      </c>
    </row>
    <row r="32" spans="2:19" x14ac:dyDescent="0.25">
      <c r="B32" s="172" t="s">
        <v>231</v>
      </c>
      <c r="C32" s="172" t="s">
        <v>61</v>
      </c>
      <c r="D32" s="171"/>
      <c r="E32" s="219" t="e">
        <f>HLOOKUP($E$2,'Whakatikei Actual'!$J$81:$U$105,17,0)/$E$5</f>
        <v>#DIV/0!</v>
      </c>
      <c r="F32" s="218" t="e">
        <f>HLOOKUP($E$2,'Whakatikei Budget'!$J$81:$U$105,17,0)/$F$5</f>
        <v>#DIV/0!</v>
      </c>
      <c r="G32" s="176" t="e">
        <f>F32-E32</f>
        <v>#DIV/0!</v>
      </c>
      <c r="H32" s="235" t="e">
        <f>SUMIFS('Whakatikei Actual'!$J$97:$U$97,'Whakatikei Actual'!$J$81:$U$81,"&lt;="&amp;Summary_3!$E$2)/H5</f>
        <v>#DIV/0!</v>
      </c>
      <c r="I32" s="179" t="e">
        <f>SUMIFS('Whakatikei Budget'!$J$97:$U$97,'Whakatikei Budget'!$J$81:$U$81,"&lt;="&amp;Summary_3!$E$2)/I5</f>
        <v>#DIV/0!</v>
      </c>
      <c r="J32" s="187" t="e">
        <f>I32-H32</f>
        <v>#DIV/0!</v>
      </c>
      <c r="P32" s="253">
        <f>IFERROR(HLOOKUP($Q$2,'Whakatikei Actual'!$J$81:$U$105,17,0)/$P$5,0)</f>
        <v>0</v>
      </c>
      <c r="Q32" s="253">
        <f>IFERROR(HLOOKUP($Q$2,'Whakatikei Budget'!$J$81:$U$105,17,0)/$Q$5,0)</f>
        <v>0</v>
      </c>
      <c r="R32" s="253">
        <f>HLOOKUP($Q$2,'Whakatikei Actual'!$J$81:$U$105,17,0)</f>
        <v>0</v>
      </c>
      <c r="S32" s="253">
        <f>HLOOKUP($Q$2,'Whakatikei Budget'!$J$81:$U$105,17,0)</f>
        <v>0</v>
      </c>
    </row>
    <row r="33" spans="2:19" x14ac:dyDescent="0.25">
      <c r="B33" s="169" t="s">
        <v>145</v>
      </c>
      <c r="C33" s="169" t="s">
        <v>61</v>
      </c>
      <c r="D33" s="158" t="s">
        <v>146</v>
      </c>
      <c r="E33" s="220" t="e">
        <f t="shared" ref="E33:J33" si="6">SUM(E31:E32)</f>
        <v>#DIV/0!</v>
      </c>
      <c r="F33" s="373" t="e">
        <f t="shared" si="6"/>
        <v>#DIV/0!</v>
      </c>
      <c r="G33" s="188" t="e">
        <f t="shared" si="6"/>
        <v>#DIV/0!</v>
      </c>
      <c r="H33" s="234" t="e">
        <f t="shared" si="6"/>
        <v>#DIV/0!</v>
      </c>
      <c r="I33" s="183" t="e">
        <f t="shared" si="6"/>
        <v>#DIV/0!</v>
      </c>
      <c r="J33" s="189" t="e">
        <f t="shared" si="6"/>
        <v>#DIV/0!</v>
      </c>
      <c r="P33" s="252">
        <f>SUM(P31:P32)</f>
        <v>0</v>
      </c>
      <c r="Q33" s="252">
        <f>SUM(Q31:Q32)</f>
        <v>0</v>
      </c>
      <c r="R33" s="252">
        <f>SUM(R31:R32)</f>
        <v>0</v>
      </c>
      <c r="S33" s="252">
        <f>SUM(S31:S32)</f>
        <v>0</v>
      </c>
    </row>
    <row r="34" spans="2:19" x14ac:dyDescent="0.25">
      <c r="E34" s="220"/>
      <c r="F34" s="373"/>
      <c r="H34" s="234"/>
      <c r="I34" s="183"/>
      <c r="J34" s="185"/>
      <c r="P34" s="252"/>
      <c r="Q34" s="252"/>
      <c r="R34" s="252"/>
      <c r="S34" s="252"/>
    </row>
    <row r="35" spans="2:19" x14ac:dyDescent="0.25">
      <c r="B35" s="157" t="s">
        <v>232</v>
      </c>
      <c r="C35" s="157" t="s">
        <v>62</v>
      </c>
      <c r="E35" s="220" t="e">
        <f>HLOOKUP($E$2,'Whakatikei Actual'!$J$81:$U$105,18,0)/$E$5</f>
        <v>#DIV/0!</v>
      </c>
      <c r="F35" s="221" t="e">
        <f>HLOOKUP($E$2,'Whakatikei Budget'!$J$81:$U$105,18,0)/$F$5</f>
        <v>#DIV/0!</v>
      </c>
      <c r="G35" s="188" t="e">
        <f>F35-E35</f>
        <v>#DIV/0!</v>
      </c>
      <c r="H35" s="234" t="e">
        <f>SUMIFS('Whakatikei Actual'!$J$98:$U$98,'Whakatikei Actual'!$J$81:$U$81,"&lt;="&amp;Summary_3!$E$2)/H5</f>
        <v>#DIV/0!</v>
      </c>
      <c r="I35" s="183" t="e">
        <f>SUMIFS('Whakatikei Budget'!$J$98:$U$98,'Whakatikei Budget'!$J$81:$U$81,"&lt;="&amp;Summary_3!$E$2)/I5</f>
        <v>#DIV/0!</v>
      </c>
      <c r="J35" s="189" t="e">
        <f>I35-H35</f>
        <v>#DIV/0!</v>
      </c>
      <c r="P35" s="252">
        <f>IFERROR(HLOOKUP($Q$2,'Whakatikei Actual'!$J$81:$U$105,18,0)/$P$5,0)</f>
        <v>0</v>
      </c>
      <c r="Q35" s="252">
        <f>IFERROR(HLOOKUP($Q$2,'Whakatikei Budget'!$J$81:$U$105,18,0)/$Q$5,0)</f>
        <v>0</v>
      </c>
      <c r="R35" s="252">
        <f>HLOOKUP($Q$2,'Whakatikei Actual'!$J$81:$U$105,18,0)</f>
        <v>0</v>
      </c>
      <c r="S35" s="252">
        <f>HLOOKUP($Q$2,'Whakatikei Budget'!$J$81:$U$105,18,0)</f>
        <v>0</v>
      </c>
    </row>
    <row r="36" spans="2:19" x14ac:dyDescent="0.25">
      <c r="B36" s="172" t="s">
        <v>233</v>
      </c>
      <c r="C36" s="172" t="s">
        <v>62</v>
      </c>
      <c r="D36" s="171"/>
      <c r="E36" s="219" t="e">
        <f>HLOOKUP($E$2,'Whakatikei Actual'!$J$81:$U$105,19,0)/$E$5</f>
        <v>#DIV/0!</v>
      </c>
      <c r="F36" s="218" t="e">
        <f>HLOOKUP($E$2,'Whakatikei Budget'!$J$81:$U$105,19,0)/$F$5</f>
        <v>#DIV/0!</v>
      </c>
      <c r="G36" s="176" t="e">
        <f>F36-E36</f>
        <v>#DIV/0!</v>
      </c>
      <c r="H36" s="235" t="e">
        <f>SUMIFS('Whakatikei Actual'!$J$99:$U$99,'Whakatikei Actual'!$J$81:$U$81,"&lt;="&amp;Summary_3!$E$2)/H5</f>
        <v>#DIV/0!</v>
      </c>
      <c r="I36" s="179" t="e">
        <f>SUMIFS('Whakatikei Budget'!$J$99:$U$99,'Whakatikei Budget'!$J$81:$U$81,"&lt;="&amp;Summary_3!$E$2)/I5</f>
        <v>#DIV/0!</v>
      </c>
      <c r="J36" s="187" t="e">
        <f>I36-H36</f>
        <v>#DIV/0!</v>
      </c>
      <c r="P36" s="253">
        <f>IFERROR(HLOOKUP($Q$2,'Whakatikei Actual'!$J$81:$U$105,19,0)/$P$5,0)</f>
        <v>0</v>
      </c>
      <c r="Q36" s="253">
        <f>IFERROR(HLOOKUP($Q$2,'Whakatikei Budget'!$J$81:$U$105,19,0)/$Q$5,0)</f>
        <v>0</v>
      </c>
      <c r="R36" s="253">
        <f>HLOOKUP($Q$2,'Whakatikei Actual'!$J$81:$U$105,19,0)</f>
        <v>0</v>
      </c>
      <c r="S36" s="253">
        <f>HLOOKUP($Q$2,'Whakatikei Budget'!$J$81:$U$105,19,0)</f>
        <v>0</v>
      </c>
    </row>
    <row r="37" spans="2:19" x14ac:dyDescent="0.25">
      <c r="B37" s="169" t="s">
        <v>147</v>
      </c>
      <c r="C37" s="169" t="s">
        <v>62</v>
      </c>
      <c r="D37" s="158" t="s">
        <v>148</v>
      </c>
      <c r="E37" s="220" t="e">
        <f>SUM(E35:E36)</f>
        <v>#DIV/0!</v>
      </c>
      <c r="F37" s="373" t="e">
        <f>SUM(F35:F36)</f>
        <v>#DIV/0!</v>
      </c>
      <c r="H37" s="234" t="e">
        <f>SUM(H35:H36)</f>
        <v>#DIV/0!</v>
      </c>
      <c r="I37" s="183" t="e">
        <f>SUM(I35:I36)</f>
        <v>#DIV/0!</v>
      </c>
      <c r="J37" s="185"/>
      <c r="P37" s="252">
        <f>SUM(P35:P36)</f>
        <v>0</v>
      </c>
      <c r="Q37" s="252">
        <f>SUM(Q35:Q36)</f>
        <v>0</v>
      </c>
      <c r="R37" s="252">
        <f>SUM(R35:R36)</f>
        <v>0</v>
      </c>
      <c r="S37" s="252">
        <f>SUM(S35:S36)</f>
        <v>0</v>
      </c>
    </row>
    <row r="38" spans="2:19" x14ac:dyDescent="0.25">
      <c r="E38" s="220"/>
      <c r="F38" s="373"/>
      <c r="H38" s="234"/>
      <c r="I38" s="183"/>
      <c r="J38" s="185"/>
      <c r="P38" s="252"/>
      <c r="Q38" s="252"/>
      <c r="R38" s="252"/>
      <c r="S38" s="252"/>
    </row>
    <row r="39" spans="2:19" x14ac:dyDescent="0.25">
      <c r="E39" s="220"/>
      <c r="F39" s="221"/>
      <c r="G39" s="188"/>
      <c r="H39" s="234"/>
      <c r="I39" s="183"/>
      <c r="J39" s="189"/>
      <c r="P39" s="252"/>
      <c r="Q39" s="252"/>
      <c r="R39" s="252"/>
      <c r="S39" s="252"/>
    </row>
    <row r="40" spans="2:19" x14ac:dyDescent="0.25">
      <c r="B40" s="157" t="s">
        <v>235</v>
      </c>
      <c r="C40" s="157" t="s">
        <v>63</v>
      </c>
      <c r="E40" s="220" t="e">
        <f>HLOOKUP($E$2,'Whakatikei Actual'!$J$81:$U$105,20,0)/$E$5</f>
        <v>#DIV/0!</v>
      </c>
      <c r="F40" s="221" t="e">
        <f>HLOOKUP($E$2,'Whakatikei Budget'!$J$81:$U$105,20,0)/$F$5</f>
        <v>#DIV/0!</v>
      </c>
      <c r="G40" s="190" t="e">
        <f>F40-E40</f>
        <v>#DIV/0!</v>
      </c>
      <c r="H40" s="234" t="e">
        <f>SUMIFS('Whakatikei Actual'!$J$100:$U$100,'Whakatikei Actual'!$J$81:$U$81,"&lt;="&amp;Summary_3!$E$2)/H5</f>
        <v>#DIV/0!</v>
      </c>
      <c r="I40" s="183" t="e">
        <f>SUMIFS('Whakatikei Budget'!$J$100:$U$100,'Whakatikei Budget'!$J$81:$U$81,"&lt;="&amp;Summary_3!$E$2)/I5</f>
        <v>#DIV/0!</v>
      </c>
      <c r="J40" s="191" t="e">
        <f>I40-H40</f>
        <v>#DIV/0!</v>
      </c>
      <c r="P40" s="252">
        <f>IFERROR(HLOOKUP($Q$2,'Whakatikei Actual'!$J$81:$U$105,20,0)/$P$5,0)</f>
        <v>0</v>
      </c>
      <c r="Q40" s="252">
        <f>IFERROR(HLOOKUP($Q$2,'Whakatikei Budget'!$J$81:$U$105,20,0)/$Q$5,0)</f>
        <v>0</v>
      </c>
      <c r="R40" s="252">
        <f>HLOOKUP($Q$2,'Whakatikei Actual'!$J$81:$U$105,20,0)</f>
        <v>0</v>
      </c>
      <c r="S40" s="252">
        <f>HLOOKUP($Q$2,'Whakatikei Budget'!$J$81:$U$105,20,0)</f>
        <v>0</v>
      </c>
    </row>
    <row r="41" spans="2:19" x14ac:dyDescent="0.25">
      <c r="B41" s="157" t="s">
        <v>64</v>
      </c>
      <c r="C41" s="157" t="s">
        <v>63</v>
      </c>
      <c r="E41" s="220" t="e">
        <f>HLOOKUP($E$2,'Whakatikei Actual'!$J$81:$U$105,21,0)/$E$5</f>
        <v>#DIV/0!</v>
      </c>
      <c r="F41" s="221" t="e">
        <f>HLOOKUP($E$2,'Whakatikei Budget'!$J$81:$U$105,21,0)/$F$5</f>
        <v>#DIV/0!</v>
      </c>
      <c r="G41" s="188" t="e">
        <f>F41-E41</f>
        <v>#DIV/0!</v>
      </c>
      <c r="H41" s="234" t="e">
        <f>SUMIFS('Whakatikei Actual'!$J$101:$U$101,'Whakatikei Actual'!$J$81:$U$81,"&lt;="&amp;Summary_3!$E$2)/H5</f>
        <v>#DIV/0!</v>
      </c>
      <c r="I41" s="183" t="e">
        <f>SUMIFS('Whakatikei Budget'!$J$101:$U$101,'Whakatikei Budget'!$J$81:$U$81,"&lt;="&amp;Summary_3!$E$2)/I5</f>
        <v>#DIV/0!</v>
      </c>
      <c r="J41" s="189" t="e">
        <f>I41-H41</f>
        <v>#DIV/0!</v>
      </c>
      <c r="P41" s="252">
        <f>IFERROR(HLOOKUP($Q$2,'Whakatikei Actual'!$J$81:$U$105,21,0)/$P$5,0)</f>
        <v>0</v>
      </c>
      <c r="Q41" s="252">
        <f>IFERROR(HLOOKUP($Q$2,'Whakatikei Budget'!$J$81:$U$105,21,0)/$Q$5,0)</f>
        <v>0</v>
      </c>
      <c r="R41" s="252">
        <f>HLOOKUP($Q$2,'Whakatikei Actual'!$J$81:$U$105,21,0)</f>
        <v>0</v>
      </c>
      <c r="S41" s="252">
        <f>HLOOKUP($Q$2,'Whakatikei Budget'!$J$81:$U$105,21,0)</f>
        <v>0</v>
      </c>
    </row>
    <row r="42" spans="2:19" x14ac:dyDescent="0.25">
      <c r="B42" s="172" t="s">
        <v>65</v>
      </c>
      <c r="C42" s="172" t="s">
        <v>63</v>
      </c>
      <c r="D42" s="171"/>
      <c r="E42" s="219" t="e">
        <f>HLOOKUP($E$2,'Whakatikei Actual'!$J$81:$U$105,22,0)/$E$5</f>
        <v>#DIV/0!</v>
      </c>
      <c r="F42" s="218" t="e">
        <f>HLOOKUP($E$2,'Whakatikei Budget'!$J$81:$U$105,22,0)/$F$5</f>
        <v>#DIV/0!</v>
      </c>
      <c r="G42" s="176" t="e">
        <f>F42-E42</f>
        <v>#DIV/0!</v>
      </c>
      <c r="H42" s="235" t="e">
        <f>SUMIFS('Whakatikei Budget'!$J$102:$U$102,'Whakatikei Budget'!$J$81:$U$81,"&lt;="&amp;Summary_3!$E$2)/H5</f>
        <v>#DIV/0!</v>
      </c>
      <c r="I42" s="179" t="e">
        <f>SUMIFS('Whakatikei Budget'!$J$102:$U$102,'Whakatikei Budget'!$J$81:$U$81,"&lt;="&amp;Summary_3!$E$2)/I5</f>
        <v>#DIV/0!</v>
      </c>
      <c r="J42" s="187" t="e">
        <f>I42-H42</f>
        <v>#DIV/0!</v>
      </c>
      <c r="P42" s="253">
        <f>IFERROR(HLOOKUP($Q$2,'Whakatikei Actual'!$J$81:$U$105,22,0)/$P$5,0)</f>
        <v>0</v>
      </c>
      <c r="Q42" s="253">
        <f>IFERROR(HLOOKUP($Q$2,'Whakatikei Budget'!$J$81:$U$105,22,0)/$Q$5,0)</f>
        <v>0</v>
      </c>
      <c r="R42" s="253">
        <f>HLOOKUP($Q$2,'Whakatikei Actual'!$J$81:$U$105,22,0)</f>
        <v>0</v>
      </c>
      <c r="S42" s="253">
        <f>HLOOKUP($Q$2,'Whakatikei Budget'!$J$81:$U$105,22,0)</f>
        <v>0</v>
      </c>
    </row>
    <row r="43" spans="2:19" x14ac:dyDescent="0.25">
      <c r="B43" s="169" t="s">
        <v>149</v>
      </c>
      <c r="C43" s="169" t="s">
        <v>63</v>
      </c>
      <c r="D43" s="158" t="s">
        <v>150</v>
      </c>
      <c r="E43" s="220" t="e">
        <f t="shared" ref="E43:J43" si="7">SUM(E39:E42)</f>
        <v>#DIV/0!</v>
      </c>
      <c r="F43" s="221" t="e">
        <f t="shared" si="7"/>
        <v>#DIV/0!</v>
      </c>
      <c r="G43" s="188" t="e">
        <f t="shared" si="7"/>
        <v>#DIV/0!</v>
      </c>
      <c r="H43" s="234" t="e">
        <f t="shared" si="7"/>
        <v>#DIV/0!</v>
      </c>
      <c r="I43" s="183" t="e">
        <f t="shared" si="7"/>
        <v>#DIV/0!</v>
      </c>
      <c r="J43" s="189" t="e">
        <f t="shared" si="7"/>
        <v>#DIV/0!</v>
      </c>
      <c r="P43" s="252">
        <f>SUM(P39:P42)</f>
        <v>0</v>
      </c>
      <c r="Q43" s="252">
        <f>SUM(Q39:Q42)</f>
        <v>0</v>
      </c>
      <c r="R43" s="252">
        <f>SUM(R39:R42)</f>
        <v>0</v>
      </c>
      <c r="S43" s="252">
        <f>SUM(S39:S42)</f>
        <v>0</v>
      </c>
    </row>
    <row r="44" spans="2:19" x14ac:dyDescent="0.25">
      <c r="E44" s="220"/>
      <c r="F44" s="373"/>
      <c r="H44" s="234"/>
      <c r="I44" s="183"/>
      <c r="J44" s="185"/>
      <c r="P44" s="252"/>
      <c r="Q44" s="252"/>
      <c r="R44" s="252"/>
      <c r="S44" s="252"/>
    </row>
    <row r="45" spans="2:19" x14ac:dyDescent="0.25">
      <c r="B45" s="157" t="s">
        <v>66</v>
      </c>
      <c r="C45" s="157" t="s">
        <v>67</v>
      </c>
      <c r="E45" s="220" t="e">
        <f>HLOOKUP($E$2,'Whakatikei Actual'!$J$81:$U$105,23,0)/$E$5</f>
        <v>#DIV/0!</v>
      </c>
      <c r="F45" s="221" t="e">
        <f>HLOOKUP($E$2,'Whakatikei Budget'!$J$81:$U$105,23,0)/$F$5</f>
        <v>#DIV/0!</v>
      </c>
      <c r="G45" s="190" t="e">
        <f>F45-E45</f>
        <v>#DIV/0!</v>
      </c>
      <c r="H45" s="234" t="e">
        <f>SUMIFS('Whakatikei Actual'!$J$103:$U$103,'Whakatikei Actual'!$J$81:$U$81,"&lt;="&amp;Summary_3!$E$2)/H5</f>
        <v>#DIV/0!</v>
      </c>
      <c r="I45" s="183" t="e">
        <f>SUMIFS('Whakatikei Budget'!$J$103:$U$103,'Whakatikei Budget'!$J$81:$U$81,"&lt;="&amp;Summary_3!$E$2)/I5</f>
        <v>#DIV/0!</v>
      </c>
      <c r="J45" s="191" t="e">
        <f>I45-H45</f>
        <v>#DIV/0!</v>
      </c>
      <c r="P45" s="252">
        <f>IFERROR(HLOOKUP($Q$2,'Whakatikei Actual'!$J$81:$U$105,23,0)/$P$5,0)</f>
        <v>0</v>
      </c>
      <c r="Q45" s="252">
        <f>IFERROR(HLOOKUP($Q$2,'Whakatikei Budget'!$J$81:$U$105,23,0)/$Q$5,0)</f>
        <v>0</v>
      </c>
      <c r="R45" s="252">
        <f>HLOOKUP($Q$2,'Whakatikei Actual'!$J$81:$U$105,23,0)</f>
        <v>0</v>
      </c>
      <c r="S45" s="252">
        <f>HLOOKUP($Q$2,'Whakatikei Budget'!$J$81:$U$105,23,0)</f>
        <v>0</v>
      </c>
    </row>
    <row r="46" spans="2:19" x14ac:dyDescent="0.25">
      <c r="B46" s="157" t="s">
        <v>234</v>
      </c>
      <c r="C46" s="157" t="s">
        <v>67</v>
      </c>
      <c r="E46" s="382" t="e">
        <f>HLOOKUP($E$2,'Whakatikei Actual'!$J$81:$U$105,24,0)/$E$5</f>
        <v>#DIV/0!</v>
      </c>
      <c r="F46" s="374" t="e">
        <f>HLOOKUP($E$2,'Whakatikei Budget'!$J$81:$U$105,24,0)/$F$5</f>
        <v>#DIV/0!</v>
      </c>
      <c r="G46" s="383" t="e">
        <f>F46-E46</f>
        <v>#DIV/0!</v>
      </c>
      <c r="H46" s="384" t="e">
        <f>SUMIFS('Whakatikei Actual'!$J$104:$U$104,'Whakatikei Actual'!$J$81:$U$81,"&lt;="&amp;Summary_3!$E$2)/H5</f>
        <v>#DIV/0!</v>
      </c>
      <c r="I46" s="385" t="e">
        <f>SUMIFS('Whakatikei Budget'!$J$104:$U$104,'Whakatikei Budget'!$J$81:$U$81,"&lt;="&amp;Summary_3!$E$2)/I5</f>
        <v>#DIV/0!</v>
      </c>
      <c r="J46" s="386" t="e">
        <f>I46-H46</f>
        <v>#DIV/0!</v>
      </c>
      <c r="P46" s="387">
        <f>IFERROR(HLOOKUP($Q$2,'Whakatikei Actual'!$J$81:$U$105,24,0)/$P$5,0)</f>
        <v>0</v>
      </c>
      <c r="Q46" s="387">
        <f>IFERROR(HLOOKUP($Q$2,'Whakatikei Budget'!$J$81:$U$105,24,0)/$Q$5,0)</f>
        <v>0</v>
      </c>
      <c r="R46" s="252">
        <f>HLOOKUP($Q$2,'Whakatikei Actual'!$J$81:$U$105,24,0)</f>
        <v>0</v>
      </c>
      <c r="S46" s="252">
        <f>HLOOKUP($Q$2,'Whakatikei Budget'!$J$81:$U$105,24,0)</f>
        <v>0</v>
      </c>
    </row>
    <row r="47" spans="2:19" x14ac:dyDescent="0.25">
      <c r="B47" s="172" t="s">
        <v>68</v>
      </c>
      <c r="C47" s="172" t="s">
        <v>67</v>
      </c>
      <c r="D47" s="171"/>
      <c r="E47" s="219" t="e">
        <f>HLOOKUP($E$2,'Whakatikei Actual'!$J$81:$U$105,25,0)/$E$5</f>
        <v>#DIV/0!</v>
      </c>
      <c r="F47" s="218" t="e">
        <f>HLOOKUP($E$2,'Whakatikei Budget'!$J$81:$U$105,25,0)/$F$5</f>
        <v>#DIV/0!</v>
      </c>
      <c r="G47" s="176" t="e">
        <f>F47-E47</f>
        <v>#DIV/0!</v>
      </c>
      <c r="H47" s="235" t="e">
        <f>SUMIFS('Whakatikei Actual'!$J$105:$U$105,'Whakatikei Actual'!$J$81:$U$81,"&lt;="&amp;Summary_3!$E$2)/H5</f>
        <v>#DIV/0!</v>
      </c>
      <c r="I47" s="179" t="e">
        <f>SUMIFS('Whakatikei Budget'!$J$105:$U$105,'Whakatikei Budget'!$J$81:$U$81,"&lt;="&amp;Summary_3!$E$2)/I5</f>
        <v>#DIV/0!</v>
      </c>
      <c r="J47" s="187" t="e">
        <f>I47-H47</f>
        <v>#DIV/0!</v>
      </c>
      <c r="P47" s="253">
        <f>IFERROR(HLOOKUP($Q$2,'Whakatikei Actual'!$J$81:$U$105,25,0)/$P$5,0)</f>
        <v>0</v>
      </c>
      <c r="Q47" s="253">
        <f>IFERROR(HLOOKUP($Q$2,'Whakatikei Budget'!$J$81:$U$105,25,0)/$Q$5,0)</f>
        <v>0</v>
      </c>
      <c r="R47" s="253">
        <f>HLOOKUP($Q$2,'Whakatikei Actual'!$J$81:$U$105,25,0)</f>
        <v>0</v>
      </c>
      <c r="S47" s="253">
        <f>HLOOKUP($Q$2,'Whakatikei Budget'!$J$81:$U$105,25,0)</f>
        <v>0</v>
      </c>
    </row>
    <row r="48" spans="2:19" x14ac:dyDescent="0.25">
      <c r="B48" s="169" t="s">
        <v>151</v>
      </c>
      <c r="C48" s="169" t="s">
        <v>67</v>
      </c>
      <c r="D48" s="158" t="s">
        <v>152</v>
      </c>
      <c r="E48" s="220" t="e">
        <f t="shared" ref="E48:J48" si="8">SUM(E45:E47)</f>
        <v>#DIV/0!</v>
      </c>
      <c r="F48" s="221" t="e">
        <f t="shared" si="8"/>
        <v>#DIV/0!</v>
      </c>
      <c r="G48" s="190" t="e">
        <f t="shared" si="8"/>
        <v>#DIV/0!</v>
      </c>
      <c r="H48" s="234" t="e">
        <f t="shared" si="8"/>
        <v>#DIV/0!</v>
      </c>
      <c r="I48" s="183" t="e">
        <f t="shared" si="8"/>
        <v>#DIV/0!</v>
      </c>
      <c r="J48" s="191" t="e">
        <f t="shared" si="8"/>
        <v>#DIV/0!</v>
      </c>
      <c r="P48" s="252">
        <f>SUM(P45:P47)</f>
        <v>0</v>
      </c>
      <c r="Q48" s="252">
        <f>SUM(Q45:Q47)</f>
        <v>0</v>
      </c>
      <c r="R48" s="252">
        <f>SUM(R45:R47)</f>
        <v>0</v>
      </c>
      <c r="S48" s="252">
        <f>SUM(S45:S47)</f>
        <v>0</v>
      </c>
    </row>
    <row r="49" spans="2:19" x14ac:dyDescent="0.25">
      <c r="B49" s="169"/>
      <c r="C49" s="169"/>
      <c r="E49" s="226"/>
      <c r="H49" s="234"/>
      <c r="I49" s="183"/>
      <c r="J49" s="185"/>
      <c r="P49" s="252"/>
      <c r="Q49" s="252"/>
      <c r="R49" s="252"/>
      <c r="S49" s="252"/>
    </row>
    <row r="50" spans="2:19" x14ac:dyDescent="0.25">
      <c r="B50" s="170" t="s">
        <v>153</v>
      </c>
      <c r="C50" s="172"/>
      <c r="D50" s="171" t="s">
        <v>154</v>
      </c>
      <c r="E50" s="227" t="e">
        <f>E21+E29+E33+E37+E43+E48</f>
        <v>#DIV/0!</v>
      </c>
      <c r="F50" s="176" t="e">
        <f>F21+F29+F33+F37+F43+F48</f>
        <v>#DIV/0!</v>
      </c>
      <c r="G50" s="176" t="e">
        <f>F50-E50</f>
        <v>#DIV/0!</v>
      </c>
      <c r="H50" s="235" t="e">
        <f>H21+H29+H33+H37+H43+H48</f>
        <v>#DIV/0!</v>
      </c>
      <c r="I50" s="179" t="e">
        <f>I21+I29+I33+I37+I43+I48</f>
        <v>#DIV/0!</v>
      </c>
      <c r="J50" s="187" t="e">
        <f>I50-H50</f>
        <v>#DIV/0!</v>
      </c>
      <c r="P50" s="253">
        <f>P21+P29+P33+P37+P43+P48</f>
        <v>0</v>
      </c>
      <c r="Q50" s="253">
        <f>Q21+Q29+Q33+Q37+Q43+Q48</f>
        <v>0</v>
      </c>
      <c r="R50" s="253">
        <f>R21+R29+R33+R37+R43+R48</f>
        <v>0</v>
      </c>
      <c r="S50" s="253">
        <f>S21+S29+S33+S37+S43+S48</f>
        <v>0</v>
      </c>
    </row>
    <row r="51" spans="2:19" x14ac:dyDescent="0.25">
      <c r="E51" s="226"/>
      <c r="H51" s="234"/>
      <c r="I51" s="183"/>
      <c r="J51" s="185"/>
      <c r="P51" s="252"/>
      <c r="Q51" s="252"/>
      <c r="R51" s="252"/>
      <c r="S51" s="252"/>
    </row>
    <row r="52" spans="2:19" x14ac:dyDescent="0.25">
      <c r="B52" s="170" t="s">
        <v>155</v>
      </c>
      <c r="C52" s="170"/>
      <c r="D52" s="171" t="s">
        <v>156</v>
      </c>
      <c r="E52" s="227" t="e">
        <f>E9+E11+E50</f>
        <v>#DIV/0!</v>
      </c>
      <c r="F52" s="176" t="e">
        <f>F9+F11+F50</f>
        <v>#DIV/0!</v>
      </c>
      <c r="G52" s="176" t="e">
        <f>F52-E52</f>
        <v>#DIV/0!</v>
      </c>
      <c r="H52" s="235" t="e">
        <f>H9+H11+H50</f>
        <v>#DIV/0!</v>
      </c>
      <c r="I52" s="179" t="e">
        <f>I9+I11+I50</f>
        <v>#DIV/0!</v>
      </c>
      <c r="J52" s="187" t="e">
        <f>I52-H52</f>
        <v>#DIV/0!</v>
      </c>
      <c r="P52" s="253">
        <f>P9+P11+P50</f>
        <v>0</v>
      </c>
      <c r="Q52" s="253">
        <f>Q9+Q11+Q50</f>
        <v>0</v>
      </c>
      <c r="R52" s="253">
        <f>R9+R11+R50</f>
        <v>0</v>
      </c>
      <c r="S52" s="253">
        <f>S9+S11+S50</f>
        <v>0</v>
      </c>
    </row>
    <row r="53" spans="2:19" x14ac:dyDescent="0.25">
      <c r="E53" s="226"/>
      <c r="H53" s="234"/>
      <c r="I53" s="183"/>
      <c r="J53" s="185"/>
      <c r="P53" s="252"/>
      <c r="Q53" s="252"/>
      <c r="R53" s="252"/>
      <c r="S53" s="252"/>
    </row>
    <row r="54" spans="2:19" x14ac:dyDescent="0.25">
      <c r="B54" s="173" t="s">
        <v>157</v>
      </c>
      <c r="C54" s="173"/>
      <c r="D54" s="174" t="s">
        <v>158</v>
      </c>
      <c r="E54" s="228" t="e">
        <f>E7-E52</f>
        <v>#DIV/0!</v>
      </c>
      <c r="F54" s="192" t="e">
        <f>F7-F52</f>
        <v>#DIV/0!</v>
      </c>
      <c r="G54" s="192" t="e">
        <f>F54-E54</f>
        <v>#DIV/0!</v>
      </c>
      <c r="H54" s="236" t="e">
        <f>H7-H52</f>
        <v>#DIV/0!</v>
      </c>
      <c r="I54" s="193" t="e">
        <f>I7-I52</f>
        <v>#DIV/0!</v>
      </c>
      <c r="J54" s="194" t="e">
        <f>I54-H54</f>
        <v>#DIV/0!</v>
      </c>
      <c r="P54" s="252">
        <f>P7-P52</f>
        <v>0</v>
      </c>
      <c r="Q54" s="252">
        <f>Q7-Q52</f>
        <v>0</v>
      </c>
      <c r="R54" s="252">
        <f>R7-R52</f>
        <v>0</v>
      </c>
      <c r="S54" s="252">
        <f>S7-S52</f>
        <v>0</v>
      </c>
    </row>
    <row r="55" spans="2:19" ht="15.75" thickBot="1" x14ac:dyDescent="0.3">
      <c r="B55" s="169" t="s">
        <v>159</v>
      </c>
      <c r="D55" s="158" t="s">
        <v>160</v>
      </c>
      <c r="E55" s="226" t="e">
        <f t="shared" ref="E55:J55" si="9">E54*E5</f>
        <v>#DIV/0!</v>
      </c>
      <c r="F55" s="188" t="e">
        <f t="shared" si="9"/>
        <v>#DIV/0!</v>
      </c>
      <c r="G55" s="188" t="e">
        <f t="shared" si="9"/>
        <v>#DIV/0!</v>
      </c>
      <c r="H55" s="234" t="e">
        <f t="shared" si="9"/>
        <v>#DIV/0!</v>
      </c>
      <c r="I55" s="183" t="e">
        <f t="shared" si="9"/>
        <v>#DIV/0!</v>
      </c>
      <c r="J55" s="189" t="e">
        <f t="shared" si="9"/>
        <v>#DIV/0!</v>
      </c>
      <c r="P55" s="254">
        <f>P54*P5</f>
        <v>0</v>
      </c>
      <c r="Q55" s="254">
        <f>Q54*Q5</f>
        <v>0</v>
      </c>
      <c r="R55" s="254">
        <f>R54</f>
        <v>0</v>
      </c>
      <c r="S55" s="254">
        <f>S54</f>
        <v>0</v>
      </c>
    </row>
    <row r="56" spans="2:19" x14ac:dyDescent="0.25">
      <c r="E56" s="226"/>
      <c r="F56" s="188"/>
      <c r="H56" s="234"/>
      <c r="J56" s="185"/>
    </row>
    <row r="57" spans="2:19" x14ac:dyDescent="0.25">
      <c r="E57" s="226"/>
      <c r="H57" s="234"/>
      <c r="J57" s="185"/>
    </row>
    <row r="58" spans="2:19" x14ac:dyDescent="0.25">
      <c r="B58" s="173" t="s">
        <v>161</v>
      </c>
      <c r="C58" s="173"/>
      <c r="D58" s="174" t="s">
        <v>162</v>
      </c>
      <c r="E58" s="228"/>
      <c r="F58" s="152"/>
      <c r="G58" s="152"/>
      <c r="H58" s="236"/>
      <c r="I58" s="195"/>
      <c r="J58" s="196"/>
    </row>
    <row r="59" spans="2:19" x14ac:dyDescent="0.25">
      <c r="E59" s="226"/>
      <c r="H59" s="234"/>
      <c r="J59" s="185"/>
    </row>
    <row r="60" spans="2:19" ht="15.75" thickBot="1" x14ac:dyDescent="0.3">
      <c r="B60" s="169" t="s">
        <v>163</v>
      </c>
      <c r="C60" s="169"/>
      <c r="D60" s="158" t="s">
        <v>164</v>
      </c>
      <c r="E60" s="229"/>
      <c r="F60" s="197"/>
      <c r="G60" s="197"/>
      <c r="H60" s="237"/>
      <c r="I60" s="198"/>
      <c r="J60" s="199"/>
    </row>
  </sheetData>
  <conditionalFormatting sqref="H1:J2 H4:J4">
    <cfRule type="cellIs" dxfId="4" priority="1" operator="lessThan">
      <formula>0</formula>
    </cfRule>
  </conditionalFormatting>
  <dataValidations count="1">
    <dataValidation type="list" allowBlank="1" showInputMessage="1" showErrorMessage="1" sqref="E2" xr:uid="{567C84F3-9B57-43D6-8FD0-1107CDBCC471}">
      <formula1>"1/01/2025,1/02/2025,1/03/2025,1/04/2025,1/05/2025,1/06/2025,1/07/2025,1/08/2025,1/09/2025,1/10/2025,1/11/2025,1/12/2025"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999D2-FD2A-47DD-91BB-70DA6703D364}">
  <sheetPr codeName="Sheet20">
    <tabColor theme="0" tint="-0.14999847407452621"/>
  </sheetPr>
  <dimension ref="A1:V60"/>
  <sheetViews>
    <sheetView workbookViewId="0">
      <selection activeCell="E16" sqref="E16"/>
    </sheetView>
  </sheetViews>
  <sheetFormatPr defaultColWidth="9.140625" defaultRowHeight="15" x14ac:dyDescent="0.25"/>
  <cols>
    <col min="1" max="1" width="9.140625" style="149"/>
    <col min="2" max="2" width="41.28515625" style="157" customWidth="1"/>
    <col min="3" max="3" width="16.85546875" style="157" bestFit="1" customWidth="1"/>
    <col min="4" max="4" width="14.42578125" style="158" bestFit="1" customWidth="1"/>
    <col min="5" max="5" width="11.5703125" style="223" bestFit="1" customWidth="1"/>
    <col min="6" max="6" width="11.5703125" style="149" bestFit="1" customWidth="1"/>
    <col min="7" max="7" width="14.28515625" style="149" bestFit="1" customWidth="1"/>
    <col min="8" max="8" width="11.7109375" style="223" bestFit="1" customWidth="1"/>
    <col min="9" max="9" width="12.42578125" style="157" bestFit="1" customWidth="1"/>
    <col min="10" max="10" width="14.28515625" style="149" bestFit="1" customWidth="1"/>
    <col min="11" max="15" width="9.140625" style="149"/>
    <col min="16" max="16" width="11.5703125" style="149" bestFit="1" customWidth="1"/>
    <col min="17" max="17" width="11.28515625" style="149" bestFit="1" customWidth="1"/>
    <col min="18" max="18" width="11.28515625" style="149" customWidth="1"/>
    <col min="19" max="19" width="13.42578125" style="149" customWidth="1"/>
    <col min="20" max="16384" width="9.140625" style="149"/>
  </cols>
  <sheetData>
    <row r="1" spans="1:22" ht="15.75" thickBot="1" x14ac:dyDescent="0.3">
      <c r="A1" s="247">
        <f>MONTH(E2)</f>
        <v>1</v>
      </c>
      <c r="B1" s="169" t="str">
        <f>'Mount Erin (T&amp;M) Actual'!B2</f>
        <v>Mount Erin</v>
      </c>
      <c r="F1" s="157"/>
      <c r="G1" s="157"/>
      <c r="J1" s="157"/>
      <c r="P1" s="149">
        <f>MONTH(Q2)</f>
        <v>1</v>
      </c>
      <c r="T1" t="s">
        <v>177</v>
      </c>
      <c r="U1" t="s">
        <v>178</v>
      </c>
    </row>
    <row r="2" spans="1:22" ht="15.75" thickBot="1" x14ac:dyDescent="0.3">
      <c r="A2" s="247" t="str">
        <f>_xlfn.XLOOKUP(A1,T2:T13,U2:U13,0,0)</f>
        <v>January</v>
      </c>
      <c r="B2" s="159"/>
      <c r="C2" s="159"/>
      <c r="D2" s="160"/>
      <c r="E2" s="238">
        <v>45658</v>
      </c>
      <c r="F2" s="161"/>
      <c r="G2" s="161"/>
      <c r="H2" s="230" t="s">
        <v>123</v>
      </c>
      <c r="I2" s="162"/>
      <c r="J2" s="163"/>
      <c r="M2" s="175"/>
      <c r="P2" t="s">
        <v>179</v>
      </c>
      <c r="Q2" s="248">
        <f>_xlfn.XLOOKUP(P2,U2:U13,V2:V13,0,0)</f>
        <v>45658</v>
      </c>
      <c r="R2" s="248"/>
      <c r="T2">
        <v>1</v>
      </c>
      <c r="U2" t="s">
        <v>179</v>
      </c>
      <c r="V2" s="249">
        <v>45658</v>
      </c>
    </row>
    <row r="3" spans="1:22" x14ac:dyDescent="0.25">
      <c r="B3" s="159"/>
      <c r="C3" s="159"/>
      <c r="D3" s="160"/>
      <c r="E3" s="224" t="s">
        <v>124</v>
      </c>
      <c r="F3" s="180" t="s">
        <v>125</v>
      </c>
      <c r="G3" s="180" t="s">
        <v>126</v>
      </c>
      <c r="H3" s="231" t="s">
        <v>124</v>
      </c>
      <c r="I3" s="180" t="s">
        <v>125</v>
      </c>
      <c r="J3" s="181" t="s">
        <v>126</v>
      </c>
      <c r="L3" s="447" t="s">
        <v>13</v>
      </c>
      <c r="M3" s="250" t="s">
        <v>125</v>
      </c>
      <c r="P3" s="250" t="s">
        <v>180</v>
      </c>
      <c r="Q3" s="250" t="s">
        <v>125</v>
      </c>
      <c r="R3" s="250" t="s">
        <v>180</v>
      </c>
      <c r="S3" s="250" t="s">
        <v>125</v>
      </c>
      <c r="T3">
        <v>2</v>
      </c>
      <c r="U3" t="s">
        <v>181</v>
      </c>
      <c r="V3" s="249">
        <v>45689</v>
      </c>
    </row>
    <row r="4" spans="1:22" ht="15.75" thickBot="1" x14ac:dyDescent="0.3">
      <c r="B4" s="164"/>
      <c r="C4" s="164"/>
      <c r="D4" s="165"/>
      <c r="E4" s="225" t="s">
        <v>127</v>
      </c>
      <c r="F4" s="166" t="s">
        <v>128</v>
      </c>
      <c r="G4" s="166" t="s">
        <v>129</v>
      </c>
      <c r="H4" s="232" t="s">
        <v>130</v>
      </c>
      <c r="I4" s="167" t="s">
        <v>131</v>
      </c>
      <c r="J4" s="168" t="s">
        <v>132</v>
      </c>
      <c r="L4" s="251"/>
      <c r="M4" s="251" t="s">
        <v>240</v>
      </c>
      <c r="P4" s="251" t="s">
        <v>203</v>
      </c>
      <c r="Q4" s="251" t="s">
        <v>203</v>
      </c>
      <c r="R4" s="251" t="s">
        <v>204</v>
      </c>
      <c r="S4" s="251" t="s">
        <v>204</v>
      </c>
      <c r="T4">
        <v>3</v>
      </c>
      <c r="U4" t="s">
        <v>182</v>
      </c>
      <c r="V4" s="249">
        <v>45717</v>
      </c>
    </row>
    <row r="5" spans="1:22" x14ac:dyDescent="0.25">
      <c r="B5" s="169" t="s">
        <v>133</v>
      </c>
      <c r="C5" s="169"/>
      <c r="D5" s="158" t="s">
        <v>134</v>
      </c>
      <c r="E5" s="375">
        <f>HLOOKUP($E$2,'Mount Erin (T&amp;M) Actual'!$J$3:$U$16,14,0)</f>
        <v>0</v>
      </c>
      <c r="F5" s="221">
        <f>HLOOKUP($E$2,'Mount Erin (T&amp;M) Budget'!$J$3:$U$16,14,0)</f>
        <v>0</v>
      </c>
      <c r="G5" s="182">
        <f>E5-F5</f>
        <v>0</v>
      </c>
      <c r="H5" s="233">
        <f>SUMIFS('Mount Erin (T&amp;M) Actual'!$J$16:$U$16,'Mount Erin (T&amp;M) Actual'!$J$3:$U$3,"&lt;="&amp;Summary_4!$E$2)</f>
        <v>0</v>
      </c>
      <c r="I5" s="183">
        <f>SUMIFS('Mount Erin (T&amp;M) Budget'!$J$16:$U$16,'Mount Erin (T&amp;M) Budget'!$J$3:$U$3,"&lt;="&amp;Summary_4!$E$2)</f>
        <v>0</v>
      </c>
      <c r="J5" s="184">
        <f>H5-I5</f>
        <v>0</v>
      </c>
      <c r="L5" s="442" t="s">
        <v>20</v>
      </c>
      <c r="M5" s="443">
        <f>$S$5*'Mount Erin (T&amp;M) Budget'!C20</f>
        <v>0</v>
      </c>
      <c r="P5" s="252">
        <f>HLOOKUP($Q$2,'Mount Erin (T&amp;M) Actual'!$J$3:$U$16,14,0)</f>
        <v>0</v>
      </c>
      <c r="Q5" s="252">
        <f>HLOOKUP($Q$2,'Mount Erin (T&amp;M) Budget'!$J$3:$U$16,14,0)</f>
        <v>0</v>
      </c>
      <c r="R5" s="252">
        <f>HLOOKUP($Q$2,'Mount Erin (T&amp;M) Actual'!$J$3:$U$16,14,0)</f>
        <v>0</v>
      </c>
      <c r="S5" s="252">
        <f>HLOOKUP($Q$2,'Mount Erin (T&amp;M) Budget'!$J$3:$U$16,14,0)</f>
        <v>0</v>
      </c>
      <c r="T5">
        <v>4</v>
      </c>
      <c r="U5" t="s">
        <v>183</v>
      </c>
      <c r="V5" s="249">
        <v>45748</v>
      </c>
    </row>
    <row r="6" spans="1:22" x14ac:dyDescent="0.25">
      <c r="B6" s="169"/>
      <c r="C6" s="169"/>
      <c r="E6" s="220"/>
      <c r="F6" s="151"/>
      <c r="H6" s="234"/>
      <c r="I6" s="183"/>
      <c r="J6" s="185"/>
      <c r="L6" s="444" t="s">
        <v>22</v>
      </c>
      <c r="M6" s="189">
        <f>$S$5*'Mount Erin (T&amp;M) Budget'!C21</f>
        <v>0</v>
      </c>
      <c r="P6" s="252"/>
      <c r="Q6" s="252"/>
      <c r="R6" s="252"/>
      <c r="S6" s="252"/>
      <c r="T6">
        <v>5</v>
      </c>
      <c r="U6" t="s">
        <v>184</v>
      </c>
      <c r="V6" s="249">
        <v>45778</v>
      </c>
    </row>
    <row r="7" spans="1:22" x14ac:dyDescent="0.25">
      <c r="B7" s="170" t="s">
        <v>135</v>
      </c>
      <c r="C7" s="170"/>
      <c r="D7" s="171" t="s">
        <v>136</v>
      </c>
      <c r="E7" s="219" t="e">
        <f>(HLOOKUP($E$2,'Mount Erin (T&amp;M) Actual'!$J$19:$U$46,28,0))/E5</f>
        <v>#DIV/0!</v>
      </c>
      <c r="F7" s="218" t="e">
        <f>(HLOOKUP($E$2,'Mount Erin (T&amp;M) Budget'!$J$19:$U$46,28,0))/F5</f>
        <v>#DIV/0!</v>
      </c>
      <c r="G7" s="177" t="e">
        <f>E7-F7</f>
        <v>#DIV/0!</v>
      </c>
      <c r="H7" s="235" t="e">
        <f>SUMIFS('Mount Erin (T&amp;M) Actual'!$J$46:$U$46,'Mount Erin (T&amp;M) Actual'!J19:U19,"&lt;="&amp;Summary_4!$E$2)/H5</f>
        <v>#DIV/0!</v>
      </c>
      <c r="I7" s="179" t="e">
        <f>SUMIFS('Mount Erin (T&amp;M) Budget'!$J$46:$U$46,'Mount Erin (T&amp;M) Budget'!J19:U19,"&lt;="&amp;Summary_4!$E$2)/I5</f>
        <v>#DIV/0!</v>
      </c>
      <c r="J7" s="186" t="e">
        <f>H7-I7</f>
        <v>#DIV/0!</v>
      </c>
      <c r="L7" s="444" t="s">
        <v>25</v>
      </c>
      <c r="M7" s="189">
        <f>$S$5*'Mount Erin (T&amp;M) Budget'!C22</f>
        <v>0</v>
      </c>
      <c r="P7" s="253">
        <f>IFERROR(HLOOKUP($Q$2,'Mount Erin (T&amp;M) Actual'!$J$19:$U$46,28,0)/P5,0)</f>
        <v>0</v>
      </c>
      <c r="Q7" s="253">
        <f>IFERROR(HLOOKUP($Q$2,'Mount Erin (T&amp;M) Budget'!$J$19:$U$46,28,0)/Q5,0)</f>
        <v>0</v>
      </c>
      <c r="R7" s="253">
        <f>HLOOKUP($Q$2,'Mount Erin (T&amp;M) Actual'!$J$19:$U$46,28,0)</f>
        <v>0</v>
      </c>
      <c r="S7" s="253">
        <f>(HLOOKUP($Q$2,'Mount Erin (T&amp;M) Budget'!$J$19:$U$46,28,0))</f>
        <v>0</v>
      </c>
      <c r="T7">
        <v>6</v>
      </c>
      <c r="U7" t="s">
        <v>185</v>
      </c>
      <c r="V7" s="249">
        <v>45809</v>
      </c>
    </row>
    <row r="8" spans="1:22" x14ac:dyDescent="0.25">
      <c r="E8" s="220"/>
      <c r="F8" s="151"/>
      <c r="H8" s="234"/>
      <c r="I8" s="183"/>
      <c r="J8" s="185"/>
      <c r="L8" s="444" t="s">
        <v>30</v>
      </c>
      <c r="M8" s="189">
        <f>$S$5*'Mount Erin (T&amp;M) Budget'!C23</f>
        <v>0</v>
      </c>
      <c r="P8" s="252"/>
      <c r="Q8" s="252"/>
      <c r="R8" s="252"/>
      <c r="S8" s="252"/>
      <c r="T8">
        <v>7</v>
      </c>
      <c r="U8" t="s">
        <v>186</v>
      </c>
      <c r="V8" s="249">
        <v>45839</v>
      </c>
    </row>
    <row r="9" spans="1:22" x14ac:dyDescent="0.25">
      <c r="B9" s="170" t="s">
        <v>137</v>
      </c>
      <c r="C9" s="170"/>
      <c r="D9" s="171" t="s">
        <v>138</v>
      </c>
      <c r="E9" s="219" t="e">
        <f>HLOOKUP($E$2,'Mount Erin (T&amp;M) Actual'!$J$50:$U$51,2,0)/E5</f>
        <v>#DIV/0!</v>
      </c>
      <c r="F9" s="218" t="e">
        <f>HLOOKUP($E$2,'Mount Erin (T&amp;M) Budget'!$J$50:$U$51,2,0)/F5</f>
        <v>#DIV/0!</v>
      </c>
      <c r="G9" s="176" t="e">
        <f>F9-E9</f>
        <v>#DIV/0!</v>
      </c>
      <c r="H9" s="235" t="e">
        <f>SUMIFS('Mount Erin (T&amp;M) Actual'!$J$51:$U$51,'Mount Erin (T&amp;M) Actual'!J50:U50,"&lt;="&amp;Summary_4!$E$2)/H5</f>
        <v>#DIV/0!</v>
      </c>
      <c r="I9" s="179" t="e">
        <f>SUMIFS('Mount Erin (T&amp;M) Budget'!$J$51:$U$51,'Mount Erin (T&amp;M) Budget'!J50:U50,"&lt;="&amp;Summary_4!$E$2)/I5</f>
        <v>#DIV/0!</v>
      </c>
      <c r="J9" s="187" t="e">
        <f>I9-H9</f>
        <v>#DIV/0!</v>
      </c>
      <c r="L9" s="444" t="s">
        <v>222</v>
      </c>
      <c r="M9" s="189">
        <f>$S$5*'Mount Erin (T&amp;M) Budget'!C24</f>
        <v>0</v>
      </c>
      <c r="P9" s="253">
        <f>IFERROR(HLOOKUP($Q$2,'Mount Erin (T&amp;M) Actual'!$J$50:$U$51,2,0)/P5,0)</f>
        <v>0</v>
      </c>
      <c r="Q9" s="253">
        <f>IFERROR(HLOOKUP($Q$2,'Mount Erin (T&amp;M) Budget'!$J$50:$U$51,2,0)/Q5,0)</f>
        <v>0</v>
      </c>
      <c r="R9" s="253">
        <f>HLOOKUP($Q$2,'Mount Erin (T&amp;M) Actual'!$J$50:$U$51,2,0)</f>
        <v>0</v>
      </c>
      <c r="S9" s="253">
        <f>HLOOKUP($Q$2,'Mount Erin (T&amp;M) Budget'!$J$50:$U$51,2,0)</f>
        <v>0</v>
      </c>
      <c r="T9">
        <v>8</v>
      </c>
      <c r="U9" t="s">
        <v>187</v>
      </c>
      <c r="V9" s="249">
        <v>45870</v>
      </c>
    </row>
    <row r="10" spans="1:22" x14ac:dyDescent="0.25">
      <c r="E10" s="220"/>
      <c r="F10" s="151"/>
      <c r="H10" s="234"/>
      <c r="I10" s="183"/>
      <c r="J10" s="185"/>
      <c r="L10" s="444" t="s">
        <v>34</v>
      </c>
      <c r="M10" s="189">
        <f>$S$5*'Mount Erin (T&amp;M) Budget'!C25</f>
        <v>0</v>
      </c>
      <c r="P10" s="252"/>
      <c r="Q10" s="252"/>
      <c r="R10" s="252"/>
      <c r="S10" s="252"/>
      <c r="T10">
        <v>9</v>
      </c>
      <c r="U10" t="s">
        <v>188</v>
      </c>
      <c r="V10" s="249">
        <v>45901</v>
      </c>
    </row>
    <row r="11" spans="1:22" x14ac:dyDescent="0.25">
      <c r="B11" s="170" t="s">
        <v>139</v>
      </c>
      <c r="C11" s="170"/>
      <c r="D11" s="171" t="s">
        <v>140</v>
      </c>
      <c r="E11" s="219" t="e">
        <f>HLOOKUP($E$2,'Mount Erin (T&amp;M) Actual'!$J$55:$U$78,24,0)/E5</f>
        <v>#DIV/0!</v>
      </c>
      <c r="F11" s="218" t="e">
        <f>HLOOKUP($E$2,'Mount Erin (T&amp;M) Budget'!$J$55:$U$78,24,0)/F5</f>
        <v>#DIV/0!</v>
      </c>
      <c r="G11" s="176" t="e">
        <f>F11-E11</f>
        <v>#DIV/0!</v>
      </c>
      <c r="H11" s="235" t="e">
        <f>SUMIFS('Mount Erin (T&amp;M) Actual'!$J$78:$U$78,'Mount Erin (T&amp;M) Actual'!$J$55:$U$55,"&lt;="&amp;Summary_4!$E$2)/H5</f>
        <v>#DIV/0!</v>
      </c>
      <c r="I11" s="179" t="e">
        <f>SUMIFS('Mount Erin (T&amp;M) Budget'!$J$78:$U$78,'Mount Erin (T&amp;M) Budget'!$J$55:$U$55,"&lt;="&amp;Summary_4!$E$2)/I5</f>
        <v>#DIV/0!</v>
      </c>
      <c r="J11" s="187" t="e">
        <f>I11-H11</f>
        <v>#DIV/0!</v>
      </c>
      <c r="L11" s="444" t="s">
        <v>37</v>
      </c>
      <c r="M11" s="189">
        <f>$S$5*'Mount Erin (T&amp;M) Budget'!C26</f>
        <v>0</v>
      </c>
      <c r="P11" s="253">
        <f>IFERROR(HLOOKUP($Q$2,'Mount Erin (T&amp;M) Actual'!$J$55:$U$78,24,0)/P5,0)</f>
        <v>0</v>
      </c>
      <c r="Q11" s="253">
        <f>IFERROR(HLOOKUP($Q$2,'Mount Erin (T&amp;M) Budget'!$J$55:$U$78,24,0)/Q5,0)</f>
        <v>0</v>
      </c>
      <c r="R11" s="253">
        <f>HLOOKUP($Q$2,'Mount Erin (T&amp;M) Actual'!$J$55:$U$78,24,0)</f>
        <v>0</v>
      </c>
      <c r="S11" s="253">
        <f>HLOOKUP($Q$2,'Mount Erin (T&amp;M) Budget'!$J$55:$U$78,24,0)</f>
        <v>0</v>
      </c>
      <c r="T11">
        <v>10</v>
      </c>
      <c r="U11" t="s">
        <v>189</v>
      </c>
      <c r="V11" s="249">
        <v>45931</v>
      </c>
    </row>
    <row r="12" spans="1:22" x14ac:dyDescent="0.25">
      <c r="E12" s="220"/>
      <c r="F12" s="373"/>
      <c r="H12" s="234"/>
      <c r="I12" s="183"/>
      <c r="J12" s="185"/>
      <c r="L12" s="444" t="s">
        <v>174</v>
      </c>
      <c r="M12" s="189">
        <f>$S$5*'Mount Erin (T&amp;M) Budget'!C27</f>
        <v>0</v>
      </c>
      <c r="P12" s="252"/>
      <c r="Q12" s="252"/>
      <c r="R12" s="252"/>
      <c r="S12" s="252"/>
      <c r="T12">
        <v>11</v>
      </c>
      <c r="U12" t="s">
        <v>190</v>
      </c>
      <c r="V12" s="249">
        <v>45962</v>
      </c>
    </row>
    <row r="13" spans="1:22" x14ac:dyDescent="0.25">
      <c r="B13" s="157" t="s">
        <v>52</v>
      </c>
      <c r="C13" s="157" t="s">
        <v>53</v>
      </c>
      <c r="E13" s="220" t="e">
        <f>HLOOKUP($E$2,'Mount Erin (T&amp;M) Actual'!$J$81:$U$105,2,0)/$E$5</f>
        <v>#DIV/0!</v>
      </c>
      <c r="F13" s="221" t="e">
        <f>HLOOKUP($E$2,'Mount Erin (T&amp;M) Budget'!$J$81:$U$105,2,0)/$F$5</f>
        <v>#DIV/0!</v>
      </c>
      <c r="G13" s="188" t="e">
        <f t="shared" ref="G13:G20" si="0">F13-E13</f>
        <v>#DIV/0!</v>
      </c>
      <c r="H13" s="234" t="e">
        <f>SUMIFS('Mount Erin (T&amp;M) Actual'!$J$82:$U$82,'Mount Erin (T&amp;M) Actual'!$J$81:$U$81,"&lt;="&amp;Summary_4!$E$2)/H5</f>
        <v>#DIV/0!</v>
      </c>
      <c r="I13" s="183" t="e">
        <f>SUMIFS('Mount Erin (T&amp;M) Budget'!$J$82:$U$82,'Mount Erin (T&amp;M) Budget'!$J$81:$U$81,"&lt;="&amp;Summary_4!$E$2)/I5</f>
        <v>#DIV/0!</v>
      </c>
      <c r="J13" s="189" t="e">
        <f t="shared" ref="J13:J20" si="1">I13-H13</f>
        <v>#DIV/0!</v>
      </c>
      <c r="L13" s="444" t="s">
        <v>202</v>
      </c>
      <c r="M13" s="189">
        <f>$S$5*'Mount Erin (T&amp;M) Budget'!C28</f>
        <v>0</v>
      </c>
      <c r="P13" s="252">
        <f>IFERROR(HLOOKUP($Q$2,'Mount Erin (T&amp;M) Actual'!$J$81:$U$105,2,0)/$P$5,0)</f>
        <v>0</v>
      </c>
      <c r="Q13" s="252">
        <f>IFERROR(HLOOKUP($Q$2,'Mount Erin (T&amp;M) Budget'!$J$81:$U$105,2,0)/$Q$5,0)</f>
        <v>0</v>
      </c>
      <c r="R13" s="252">
        <f>HLOOKUP($Q$2,'Mount Erin (T&amp;M) Actual'!$J$81:$U$105,2,0)</f>
        <v>0</v>
      </c>
      <c r="S13" s="252">
        <f>HLOOKUP($Q$2,'Mount Erin (T&amp;M) Budget'!$J$81:$U$105,2,0)</f>
        <v>0</v>
      </c>
      <c r="T13">
        <v>12</v>
      </c>
      <c r="U13" t="s">
        <v>191</v>
      </c>
      <c r="V13" s="249">
        <v>45992</v>
      </c>
    </row>
    <row r="14" spans="1:22" x14ac:dyDescent="0.25">
      <c r="B14" s="157" t="s">
        <v>227</v>
      </c>
      <c r="C14" s="157" t="s">
        <v>53</v>
      </c>
      <c r="E14" s="220" t="e">
        <f>HLOOKUP($E$2,'Mount Erin (T&amp;M) Actual'!$J$81:$U$105,3,0)/$E$5</f>
        <v>#DIV/0!</v>
      </c>
      <c r="F14" s="221" t="e">
        <f>HLOOKUP($E$2,'Mount Erin (T&amp;M) Budget'!$J$81:$U$105,3,0)/$F$5</f>
        <v>#DIV/0!</v>
      </c>
      <c r="G14" s="188" t="e">
        <f t="shared" si="0"/>
        <v>#DIV/0!</v>
      </c>
      <c r="H14" s="234" t="e">
        <f>SUMIFS('Mount Erin (T&amp;M) Actual'!$J$83:$U$83,'Mount Erin (T&amp;M) Actual'!$J$81:$U$81,"&lt;="&amp;Summary_4!$E$2)/H5</f>
        <v>#DIV/0!</v>
      </c>
      <c r="I14" s="183" t="e">
        <f>SUMIFS('Mount Erin (T&amp;M) Budget'!$J$83:$U$83,'Mount Erin (T&amp;M) Budget'!$J$81:$U$81,"&lt;="&amp;Summary_4!$E$2)/I5</f>
        <v>#DIV/0!</v>
      </c>
      <c r="J14" s="189" t="e">
        <f t="shared" si="1"/>
        <v>#DIV/0!</v>
      </c>
      <c r="L14" s="444" t="s">
        <v>175</v>
      </c>
      <c r="M14" s="189">
        <f>$S$5*'Mount Erin (T&amp;M) Budget'!C29</f>
        <v>0</v>
      </c>
      <c r="P14" s="252">
        <f>IFERROR(HLOOKUP($Q$2,'Mount Erin (T&amp;M) Actual'!$J$81:$U$105,3,0)/$P$5,0)</f>
        <v>0</v>
      </c>
      <c r="Q14" s="252">
        <f>IFERROR(HLOOKUP($Q$2,'Mount Erin (T&amp;M) Budget'!$J$81:$U$105,3,0)/$Q$5,0)</f>
        <v>0</v>
      </c>
      <c r="R14" s="252">
        <f>HLOOKUP($Q$2,'Mount Erin (T&amp;M) Actual'!$J$81:$U$105,3,0)</f>
        <v>0</v>
      </c>
      <c r="S14" s="252">
        <f>HLOOKUP($Q$2,'Mount Erin (T&amp;M) Budget'!$J$81:$U$105,3,0)</f>
        <v>0</v>
      </c>
    </row>
    <row r="15" spans="1:22" x14ac:dyDescent="0.25">
      <c r="B15" s="157" t="s">
        <v>54</v>
      </c>
      <c r="C15" s="157" t="s">
        <v>53</v>
      </c>
      <c r="E15" s="220" t="e">
        <f>HLOOKUP($E$2,'Mount Erin (T&amp;M) Actual'!$J$81:$U$105,4,0)/$E$5</f>
        <v>#DIV/0!</v>
      </c>
      <c r="F15" s="221" t="e">
        <f>HLOOKUP($E$2,'Mount Erin (T&amp;M) Budget'!$J$81:$U$105,4,0)/$F$5</f>
        <v>#DIV/0!</v>
      </c>
      <c r="G15" s="188" t="e">
        <f t="shared" si="0"/>
        <v>#DIV/0!</v>
      </c>
      <c r="H15" s="234" t="e">
        <f>SUMIFS('Mount Erin (T&amp;M) Actual'!$J$84:$U$84,'Mount Erin (T&amp;M) Actual'!$J$81:$U$81,"&lt;="&amp;Summary_4!$E$2)/H5</f>
        <v>#DIV/0!</v>
      </c>
      <c r="I15" s="183" t="e">
        <f>SUMIFS('Mount Erin (T&amp;M) Budget'!$J$84:$U$84,'Mount Erin (T&amp;M) Budget'!$J$81:$U$81,"&lt;="&amp;Summary_4!$E$2)/I5</f>
        <v>#DIV/0!</v>
      </c>
      <c r="J15" s="189" t="e">
        <f t="shared" si="1"/>
        <v>#DIV/0!</v>
      </c>
      <c r="L15" s="444" t="s">
        <v>176</v>
      </c>
      <c r="M15" s="189">
        <f>$S$5*'Mount Erin (T&amp;M) Budget'!C30</f>
        <v>0</v>
      </c>
      <c r="P15" s="252">
        <f>IFERROR(HLOOKUP($Q$2,'Mount Erin (T&amp;M) Actual'!$J$81:$U$105,4,0)/$P$5,0)</f>
        <v>0</v>
      </c>
      <c r="Q15" s="252">
        <f>IFERROR(HLOOKUP($Q$2,'Mount Erin (T&amp;M) Budget'!$J$81:$U$105,4,0)/$Q$5,0)</f>
        <v>0</v>
      </c>
      <c r="R15" s="252">
        <f>HLOOKUP($Q$2,'Mount Erin (T&amp;M) Actual'!$J$81:$U$105,4,0)</f>
        <v>0</v>
      </c>
      <c r="S15" s="252">
        <f>HLOOKUP($Q$2,'Mount Erin (T&amp;M) Budget'!$J$81:$U$105,4,0)</f>
        <v>0</v>
      </c>
    </row>
    <row r="16" spans="1:22" x14ac:dyDescent="0.25">
      <c r="B16" s="157" t="s">
        <v>55</v>
      </c>
      <c r="C16" s="157" t="s">
        <v>53</v>
      </c>
      <c r="E16" s="220" t="e">
        <f>HLOOKUP($E$2,'Mount Erin (T&amp;M) Actual'!$J$81:$U$105,5,0)/$E$5</f>
        <v>#DIV/0!</v>
      </c>
      <c r="F16" s="221" t="e">
        <f>HLOOKUP($E$2,'Mount Erin (T&amp;M) Budget'!$J$81:$U$105,5,0)/$F$5</f>
        <v>#DIV/0!</v>
      </c>
      <c r="G16" s="188" t="e">
        <f t="shared" si="0"/>
        <v>#DIV/0!</v>
      </c>
      <c r="H16" s="234" t="e">
        <f>SUMIFS('Mount Erin (T&amp;M) Actual'!$J$85:$U$85,'Mount Erin (T&amp;M) Actual'!$J$81:$U$81,"&lt;="&amp;Summary_4!$E$2)/H5</f>
        <v>#DIV/0!</v>
      </c>
      <c r="I16" s="183" t="e">
        <f>SUMIFS('Mount Erin (T&amp;M) Budget'!$J$85:$U$85,'Mount Erin (T&amp;M) Budget'!$J$81:$U$81,"&lt;="&amp;Summary_4!$E$2)/I5</f>
        <v>#DIV/0!</v>
      </c>
      <c r="J16" s="189" t="e">
        <f t="shared" si="1"/>
        <v>#DIV/0!</v>
      </c>
      <c r="L16" s="444" t="s">
        <v>23</v>
      </c>
      <c r="M16" s="189">
        <f>$S$5*'Mount Erin (T&amp;M) Budget'!C31</f>
        <v>0</v>
      </c>
      <c r="P16" s="252">
        <f>IFERROR(HLOOKUP($Q$2,'Mount Erin (T&amp;M) Actual'!$J$81:$U$105,5,0)/$P$5,0)</f>
        <v>0</v>
      </c>
      <c r="Q16" s="252">
        <f>IFERROR(HLOOKUP($Q$2,'Mount Erin (T&amp;M) Budget'!$J$81:$U$105,5,0)/$Q$5,0)</f>
        <v>0</v>
      </c>
      <c r="R16" s="252">
        <f>HLOOKUP($Q$2,'Mount Erin (T&amp;M) Actual'!$J$81:$U$105,5,0)</f>
        <v>0</v>
      </c>
      <c r="S16" s="252">
        <f>HLOOKUP($Q$2,'Mount Erin (T&amp;M) Budget'!$J$81:$U$105,5,0)</f>
        <v>0</v>
      </c>
    </row>
    <row r="17" spans="2:19" x14ac:dyDescent="0.25">
      <c r="B17" s="157" t="s">
        <v>228</v>
      </c>
      <c r="C17" s="157" t="s">
        <v>53</v>
      </c>
      <c r="E17" s="220" t="e">
        <f>HLOOKUP($E$2,'Mount Erin (T&amp;M) Actual'!$J$81:$U$105,6,0)/$E$5</f>
        <v>#DIV/0!</v>
      </c>
      <c r="F17" s="221" t="e">
        <f>HLOOKUP($E$2,'Mount Erin (T&amp;M) Budget'!$J$81:$U$105,6,0)/$F$5</f>
        <v>#DIV/0!</v>
      </c>
      <c r="G17" s="188" t="e">
        <f t="shared" si="0"/>
        <v>#DIV/0!</v>
      </c>
      <c r="H17" s="234" t="e">
        <f>SUMIFS('Mount Erin (T&amp;M) Actual'!$J$86:$U$86,'Mount Erin (T&amp;M) Actual'!$J$81:$U$81,"&lt;="&amp;Summary_4!$E$2)/H5</f>
        <v>#DIV/0!</v>
      </c>
      <c r="I17" s="183" t="e">
        <f>SUMIFS('Mount Erin (T&amp;M) Budget'!$J$86:$U$86,'Mount Erin (T&amp;M) Budget'!$J$81:$U$81,"&lt;="&amp;Summary_4!$E$2)/I5</f>
        <v>#DIV/0!</v>
      </c>
      <c r="J17" s="189" t="e">
        <f t="shared" si="1"/>
        <v>#DIV/0!</v>
      </c>
      <c r="L17" s="444" t="s">
        <v>24</v>
      </c>
      <c r="M17" s="189">
        <f>$S$5*'Mount Erin (T&amp;M) Budget'!C32</f>
        <v>0</v>
      </c>
      <c r="P17" s="252">
        <f>IFERROR(HLOOKUP($Q$2,'Mount Erin (T&amp;M) Actual'!$J$81:$U$105,6,0)/$P$5,0)</f>
        <v>0</v>
      </c>
      <c r="Q17" s="252">
        <f>IFERROR(HLOOKUP($Q$2,'Mount Erin (T&amp;M) Budget'!$J$81:$U$105,6,0)/$Q$5,0)</f>
        <v>0</v>
      </c>
      <c r="R17" s="252">
        <f>HLOOKUP($Q$2,'Mount Erin (T&amp;M) Actual'!$J$81:$U$105,6,0)</f>
        <v>0</v>
      </c>
      <c r="S17" s="252">
        <f>HLOOKUP($Q$2,'Mount Erin (T&amp;M) Budget'!$J$81:$U$105,6,0)</f>
        <v>0</v>
      </c>
    </row>
    <row r="18" spans="2:19" x14ac:dyDescent="0.25">
      <c r="B18" s="157" t="s">
        <v>56</v>
      </c>
      <c r="C18" s="157" t="s">
        <v>53</v>
      </c>
      <c r="E18" s="220" t="e">
        <f>HLOOKUP($E$2,'Mount Erin (T&amp;M) Actual'!$J$81:$U$105,7,0)/$E$5</f>
        <v>#DIV/0!</v>
      </c>
      <c r="F18" s="221" t="e">
        <f>HLOOKUP($E$2,'Mount Erin (T&amp;M) Budget'!$J$81:$U$105,7,0)/$F$5</f>
        <v>#DIV/0!</v>
      </c>
      <c r="G18" s="188" t="e">
        <f t="shared" si="0"/>
        <v>#DIV/0!</v>
      </c>
      <c r="H18" s="234" t="e">
        <f>SUMIFS('Mount Erin (T&amp;M) Actual'!$J$87:$U$87,'Mount Erin (T&amp;M) Actual'!$J$81:$U$81,"&lt;="&amp;Summary_4!$E$2)/H5</f>
        <v>#DIV/0!</v>
      </c>
      <c r="I18" s="183" t="e">
        <f>SUMIFS('Mount Erin (T&amp;M) Budget'!$J$87:$U$87,'Mount Erin (T&amp;M) Budget'!$J$81:$U$81,"&lt;="&amp;Summary_4!$E$2)/I5</f>
        <v>#DIV/0!</v>
      </c>
      <c r="J18" s="189" t="e">
        <f t="shared" si="1"/>
        <v>#DIV/0!</v>
      </c>
      <c r="L18" s="444" t="s">
        <v>26</v>
      </c>
      <c r="M18" s="189">
        <f>$S$5*'Mount Erin (T&amp;M) Budget'!C33</f>
        <v>0</v>
      </c>
      <c r="P18" s="252">
        <f>IFERROR(HLOOKUP($Q$2,'Mount Erin (T&amp;M) Actual'!$J$81:$U$105,7,0)/$P$5,0)</f>
        <v>0</v>
      </c>
      <c r="Q18" s="252">
        <f>IFERROR(HLOOKUP($Q$2,'Mount Erin (T&amp;M) Budget'!$J$81:$U$105,7,0)/$Q$5,0)</f>
        <v>0</v>
      </c>
      <c r="R18" s="252">
        <f>HLOOKUP($Q$2,'Mount Erin (T&amp;M) Actual'!$J$81:$U$105,7,0)</f>
        <v>0</v>
      </c>
      <c r="S18" s="252">
        <f>HLOOKUP($Q$2,'Mount Erin (T&amp;M) Budget'!$J$81:$U$105,7,0)</f>
        <v>0</v>
      </c>
    </row>
    <row r="19" spans="2:19" x14ac:dyDescent="0.25">
      <c r="B19" s="157" t="s">
        <v>57</v>
      </c>
      <c r="C19" s="157" t="s">
        <v>53</v>
      </c>
      <c r="E19" s="220" t="e">
        <f>HLOOKUP($E$2,'Mount Erin (T&amp;M) Actual'!$J$81:$U$105,8,0)/$E$5</f>
        <v>#DIV/0!</v>
      </c>
      <c r="F19" s="221" t="e">
        <f>HLOOKUP($E$2,'Mount Erin (T&amp;M) Budget'!$J$81:$U$105,8,0)/$F$5</f>
        <v>#DIV/0!</v>
      </c>
      <c r="G19" s="188" t="e">
        <f t="shared" si="0"/>
        <v>#DIV/0!</v>
      </c>
      <c r="H19" s="234" t="e">
        <f>SUMIFS('Mount Erin (T&amp;M) Actual'!$J$88:$U$88,'Mount Erin (T&amp;M) Actual'!$J$81:$U$81,"&lt;="&amp;Summary_4!$E$2)/H5</f>
        <v>#DIV/0!</v>
      </c>
      <c r="I19" s="183" t="e">
        <f>SUMIFS('Mount Erin (T&amp;M) Budget'!$J$88:$U$88,'Mount Erin (T&amp;M) Budget'!$J$81:$U$81,"&lt;="&amp;Summary_4!$E$2)/I5</f>
        <v>#DIV/0!</v>
      </c>
      <c r="J19" s="189" t="e">
        <f t="shared" si="1"/>
        <v>#DIV/0!</v>
      </c>
      <c r="L19" s="444" t="s">
        <v>27</v>
      </c>
      <c r="M19" s="189">
        <f>$S$5*'Mount Erin (T&amp;M) Budget'!C34</f>
        <v>0</v>
      </c>
      <c r="P19" s="252">
        <f>IFERROR(HLOOKUP($Q$2,'Mount Erin (T&amp;M) Actual'!$J$81:$U$105,8,0)/$P$5,0)</f>
        <v>0</v>
      </c>
      <c r="Q19" s="252">
        <f>IFERROR(HLOOKUP($Q$2,'Mount Erin (T&amp;M) Budget'!$J$81:$U$105,8,0)/$Q$5,0)</f>
        <v>0</v>
      </c>
      <c r="R19" s="252">
        <f>HLOOKUP($Q$2,'Mount Erin (T&amp;M) Actual'!$J$81:$U$105,8,0)</f>
        <v>0</v>
      </c>
      <c r="S19" s="252">
        <f>HLOOKUP($Q$2,'Mount Erin (T&amp;M) Budget'!$J$81:$U$105,8,0)</f>
        <v>0</v>
      </c>
    </row>
    <row r="20" spans="2:19" x14ac:dyDescent="0.25">
      <c r="B20" s="172" t="s">
        <v>229</v>
      </c>
      <c r="C20" s="172" t="s">
        <v>53</v>
      </c>
      <c r="D20" s="171"/>
      <c r="E20" s="219" t="e">
        <f>HLOOKUP($E$2,'Mount Erin (T&amp;M) Actual'!$J$81:$U$105,9,0)/$E$5</f>
        <v>#DIV/0!</v>
      </c>
      <c r="F20" s="218" t="e">
        <f>HLOOKUP($E$2,'Mount Erin (T&amp;M) Budget'!$J$81:$U$105,9,0)/$F$5</f>
        <v>#DIV/0!</v>
      </c>
      <c r="G20" s="176" t="e">
        <f t="shared" si="0"/>
        <v>#DIV/0!</v>
      </c>
      <c r="H20" s="235" t="e">
        <f>SUMIFS('Mount Erin (T&amp;M) Actual'!$J$89:$U$89,'Mount Erin (T&amp;M) Actual'!$J$81:$U$81,"&lt;="&amp;Summary_4!$E$2)/H5</f>
        <v>#DIV/0!</v>
      </c>
      <c r="I20" s="179" t="e">
        <f>SUMIFS('Mount Erin (T&amp;M) Budget'!$J$89:$U$89,'Mount Erin (T&amp;M) Budget'!$J$81:$U$81,"&lt;="&amp;Summary_4!$E$2)/I5</f>
        <v>#DIV/0!</v>
      </c>
      <c r="J20" s="187" t="e">
        <f t="shared" si="1"/>
        <v>#DIV/0!</v>
      </c>
      <c r="L20" s="444" t="s">
        <v>29</v>
      </c>
      <c r="M20" s="189">
        <f>$S$5*'Mount Erin (T&amp;M) Budget'!C35</f>
        <v>0</v>
      </c>
      <c r="P20" s="253">
        <f>IFERROR(HLOOKUP($Q$2,'Mount Erin (T&amp;M) Actual'!$J$81:$U$105,9,0)/$P$5,0)</f>
        <v>0</v>
      </c>
      <c r="Q20" s="253">
        <f>IFERROR(HLOOKUP($Q$2,'Mount Erin (T&amp;M) Budget'!$J$81:$U$105,9,0)/$Q$5,0)</f>
        <v>0</v>
      </c>
      <c r="R20" s="253">
        <f>HLOOKUP($Q$2,'Mount Erin (T&amp;M) Actual'!$J$81:$U$105,9,0)</f>
        <v>0</v>
      </c>
      <c r="S20" s="253">
        <f>HLOOKUP($Q$2,'Mount Erin (T&amp;M) Budget'!$J$81:$U$105,9,0)</f>
        <v>0</v>
      </c>
    </row>
    <row r="21" spans="2:19" x14ac:dyDescent="0.25">
      <c r="B21" s="169" t="s">
        <v>141</v>
      </c>
      <c r="C21" s="169" t="s">
        <v>53</v>
      </c>
      <c r="D21" s="158" t="s">
        <v>142</v>
      </c>
      <c r="E21" s="220" t="e">
        <f t="shared" ref="E21:J21" si="2">SUM(E13:E20)</f>
        <v>#DIV/0!</v>
      </c>
      <c r="F21" s="221" t="e">
        <f t="shared" si="2"/>
        <v>#DIV/0!</v>
      </c>
      <c r="G21" s="188" t="e">
        <f t="shared" si="2"/>
        <v>#DIV/0!</v>
      </c>
      <c r="H21" s="234" t="e">
        <f t="shared" si="2"/>
        <v>#DIV/0!</v>
      </c>
      <c r="I21" s="183" t="e">
        <f t="shared" si="2"/>
        <v>#DIV/0!</v>
      </c>
      <c r="J21" s="189" t="e">
        <f t="shared" si="2"/>
        <v>#DIV/0!</v>
      </c>
      <c r="L21" s="444" t="s">
        <v>28</v>
      </c>
      <c r="M21" s="189">
        <f>$S$5*'Mount Erin (T&amp;M) Budget'!C36</f>
        <v>0</v>
      </c>
      <c r="P21" s="252">
        <f>SUM(P13:P20)</f>
        <v>0</v>
      </c>
      <c r="Q21" s="252">
        <f>SUM(Q13:Q20)</f>
        <v>0</v>
      </c>
      <c r="R21" s="252">
        <f>SUM(R13:R20)</f>
        <v>0</v>
      </c>
      <c r="S21" s="252">
        <f>SUM(S13:S20)</f>
        <v>0</v>
      </c>
    </row>
    <row r="22" spans="2:19" x14ac:dyDescent="0.25">
      <c r="E22" s="220"/>
      <c r="F22" s="373"/>
      <c r="H22" s="234"/>
      <c r="I22" s="183"/>
      <c r="J22" s="185"/>
      <c r="L22" s="444" t="s">
        <v>31</v>
      </c>
      <c r="M22" s="189">
        <f>$S$5*'Mount Erin (T&amp;M) Budget'!C37</f>
        <v>0</v>
      </c>
      <c r="P22" s="252"/>
      <c r="Q22" s="252"/>
      <c r="R22" s="252"/>
      <c r="S22" s="252"/>
    </row>
    <row r="23" spans="2:19" x14ac:dyDescent="0.25">
      <c r="B23" s="329" t="s">
        <v>238</v>
      </c>
      <c r="C23" s="157" t="s">
        <v>59</v>
      </c>
      <c r="E23" s="220" t="e">
        <f>HLOOKUP($E$2,'Mount Erin (T&amp;M) Actual'!$J$81:$U$105,10,0)/$E$5</f>
        <v>#DIV/0!</v>
      </c>
      <c r="F23" s="221" t="e">
        <f>HLOOKUP($E$2,'Mount Erin (T&amp;M) Budget'!$J$81:$U$105,10,0)/$F$5</f>
        <v>#DIV/0!</v>
      </c>
      <c r="G23" s="188" t="e">
        <f t="shared" ref="G23:G28" si="3">F23-E23</f>
        <v>#DIV/0!</v>
      </c>
      <c r="H23" s="234" t="e">
        <f>SUMIFS('Mount Erin (T&amp;M) Actual'!$J$90:$U$90,'Mount Erin (T&amp;M) Actual'!$J$81:$U$81,"&lt;="&amp;Summary_4!$E$2)/H5</f>
        <v>#DIV/0!</v>
      </c>
      <c r="I23" s="183" t="e">
        <f>SUMIFS('Mount Erin (T&amp;M) Budget'!$J$90:$U$90,'Mount Erin (T&amp;M) Budget'!$J$81:$U$81,"&lt;="&amp;Summary_4!$E$2)/I5</f>
        <v>#DIV/0!</v>
      </c>
      <c r="J23" s="189" t="e">
        <f t="shared" ref="J23:J28" si="4">I23-H23</f>
        <v>#DIV/0!</v>
      </c>
      <c r="L23" s="444" t="s">
        <v>32</v>
      </c>
      <c r="M23" s="189">
        <f>$S$5*'Mount Erin (T&amp;M) Budget'!C38</f>
        <v>0</v>
      </c>
      <c r="P23" s="252">
        <f>IFERROR(HLOOKUP($Q$2,'Mount Erin (T&amp;M) Actual'!$J$81:$U$105,10,0)/$P$5,0)</f>
        <v>0</v>
      </c>
      <c r="Q23" s="252">
        <f>IFERROR(HLOOKUP($Q$2,'Mount Erin (T&amp;M) Budget'!$J$81:$U$105,10,0)/$Q$5,0)</f>
        <v>0</v>
      </c>
      <c r="R23" s="252">
        <f>HLOOKUP($Q$2,'Mount Erin (T&amp;M) Actual'!$J$81:$U$105,10,0)</f>
        <v>0</v>
      </c>
      <c r="S23" s="252">
        <f>HLOOKUP($Q$2,'Mount Erin (T&amp;M) Budget'!$J$81:$U$105,10,0)</f>
        <v>0</v>
      </c>
    </row>
    <row r="24" spans="2:19" x14ac:dyDescent="0.25">
      <c r="B24" s="329" t="s">
        <v>225</v>
      </c>
      <c r="C24" s="157" t="s">
        <v>59</v>
      </c>
      <c r="E24" s="220" t="e">
        <f>HLOOKUP($E$2,'Mount Erin (T&amp;M) Actual'!$J$81:$U$105,11,0)/$E$5</f>
        <v>#DIV/0!</v>
      </c>
      <c r="F24" s="221" t="e">
        <f>HLOOKUP($E$2,'Mount Erin (T&amp;M) Budget'!$J$81:$U$105,11,0)/$F$5</f>
        <v>#DIV/0!</v>
      </c>
      <c r="G24" s="188" t="e">
        <f t="shared" si="3"/>
        <v>#DIV/0!</v>
      </c>
      <c r="H24" s="234" t="e">
        <f>SUMIFS('Mount Erin (T&amp;M) Actual'!$J$91:$U$91,'Mount Erin (T&amp;M) Actual'!$J$81:$U$81,"&lt;="&amp;Summary_4!$E$2)/H5</f>
        <v>#DIV/0!</v>
      </c>
      <c r="I24" s="183" t="e">
        <f>SUMIFS('Mount Erin (T&amp;M) Budget'!$J$91:$U$91,'Mount Erin (T&amp;M) Budget'!$J$81:$U$81,"&lt;="&amp;Summary_4!$E$2)/I5</f>
        <v>#DIV/0!</v>
      </c>
      <c r="J24" s="189" t="e">
        <f t="shared" si="4"/>
        <v>#DIV/0!</v>
      </c>
      <c r="L24" s="444" t="s">
        <v>33</v>
      </c>
      <c r="M24" s="189">
        <f>$S$5*'Mount Erin (T&amp;M) Budget'!C39</f>
        <v>0</v>
      </c>
      <c r="P24" s="252">
        <f>IFERROR(HLOOKUP($Q$2,'Mount Erin (T&amp;M) Actual'!$J$81:$U$105,11,0)/$P$5,0)</f>
        <v>0</v>
      </c>
      <c r="Q24" s="252">
        <f>IFERROR(HLOOKUP($Q$2,'Mount Erin (T&amp;M) Budget'!$J$81:$U$105,11,0)/$Q$5,0)</f>
        <v>0</v>
      </c>
      <c r="R24" s="252">
        <f>HLOOKUP($Q$2,'Mount Erin (T&amp;M) Actual'!$J$81:$U$105,11,0)</f>
        <v>0</v>
      </c>
      <c r="S24" s="252">
        <f>HLOOKUP($Q$2,'Mount Erin (T&amp;M) Budget'!$J$81:$U$105,11,0)</f>
        <v>0</v>
      </c>
    </row>
    <row r="25" spans="2:19" x14ac:dyDescent="0.25">
      <c r="B25" s="329" t="s">
        <v>226</v>
      </c>
      <c r="C25" s="157" t="s">
        <v>59</v>
      </c>
      <c r="E25" s="220" t="e">
        <f>HLOOKUP($E$2,'Mount Erin (T&amp;M) Actual'!$J$81:$U$105,12,0)/$E$5</f>
        <v>#DIV/0!</v>
      </c>
      <c r="F25" s="221" t="e">
        <f>HLOOKUP($E$2,'Mount Erin (T&amp;M) Budget'!$J$81:$U$105,12,0)/$F$5</f>
        <v>#DIV/0!</v>
      </c>
      <c r="G25" s="188" t="e">
        <f t="shared" si="3"/>
        <v>#DIV/0!</v>
      </c>
      <c r="H25" s="234" t="e">
        <f>SUMIFS('Mount Erin (T&amp;M) Actual'!$J$92:$U$92,'Mount Erin (T&amp;M) Actual'!$J$81:$U$81,"&lt;="&amp;Summary_4!$E$2)/H5</f>
        <v>#DIV/0!</v>
      </c>
      <c r="I25" s="183" t="e">
        <f>SUMIFS('Mount Erin (T&amp;M) Budget'!$J$92:$U$92,'Mount Erin (T&amp;M) Budget'!$J$81:$U$81,"&lt;="&amp;Summary_4!$E$2)/I5</f>
        <v>#DIV/0!</v>
      </c>
      <c r="J25" s="189" t="e">
        <f t="shared" si="4"/>
        <v>#DIV/0!</v>
      </c>
      <c r="L25" s="444" t="s">
        <v>35</v>
      </c>
      <c r="M25" s="189">
        <f>$S$5*'Mount Erin (T&amp;M) Budget'!C40</f>
        <v>0</v>
      </c>
      <c r="P25" s="252">
        <f>IFERROR(HLOOKUP($Q$2,'Mount Erin (T&amp;M) Actual'!$J$81:$U$105,12,0)/$P$5,0)</f>
        <v>0</v>
      </c>
      <c r="Q25" s="252">
        <f>IFERROR(HLOOKUP($Q$2,'Mount Erin (T&amp;M) Budget'!$J$81:$U$105,12,0)/$Q$5,0)</f>
        <v>0</v>
      </c>
      <c r="R25" s="252">
        <f>HLOOKUP($Q$2,'Mount Erin (T&amp;M) Actual'!$J$81:$U$105,12,0)</f>
        <v>0</v>
      </c>
      <c r="S25" s="252">
        <f>HLOOKUP($Q$2,'Mount Erin (T&amp;M) Budget'!$J$81:$U$105,12,0)</f>
        <v>0</v>
      </c>
    </row>
    <row r="26" spans="2:19" ht="15.75" thickBot="1" x14ac:dyDescent="0.3">
      <c r="B26" s="329" t="s">
        <v>205</v>
      </c>
      <c r="C26" s="157" t="s">
        <v>59</v>
      </c>
      <c r="E26" s="220" t="e">
        <f>HLOOKUP($E$2,'Mount Erin (T&amp;M) Actual'!$J$81:$U$105,13,0)/$E$5</f>
        <v>#DIV/0!</v>
      </c>
      <c r="F26" s="221" t="e">
        <f>HLOOKUP($E$2,'Mount Erin (T&amp;M) Budget'!$J$81:$U$105,13,0)/$F$5</f>
        <v>#DIV/0!</v>
      </c>
      <c r="G26" s="188" t="e">
        <f t="shared" si="3"/>
        <v>#DIV/0!</v>
      </c>
      <c r="H26" s="234" t="e">
        <f>SUMIFS('Mount Erin (T&amp;M) Actual'!$J$93:$U$93,'Mount Erin (T&amp;M) Actual'!$J$81:$U$81,"&lt;="&amp;Summary_4!$E$2)/H5</f>
        <v>#DIV/0!</v>
      </c>
      <c r="I26" s="183" t="e">
        <f>SUMIFS('Mount Erin (T&amp;M) Budget'!$J$93:$U$93,'Mount Erin (T&amp;M) Budget'!$J$81:$U$81,"&lt;="&amp;Summary_4!$E$2)/I5</f>
        <v>#DIV/0!</v>
      </c>
      <c r="J26" s="189" t="e">
        <f t="shared" si="4"/>
        <v>#DIV/0!</v>
      </c>
      <c r="L26" s="445" t="s">
        <v>36</v>
      </c>
      <c r="M26" s="446">
        <f>$S$5*'Mount Erin (T&amp;M) Budget'!C41</f>
        <v>0</v>
      </c>
      <c r="P26" s="252">
        <f>IFERROR(HLOOKUP($Q$2,'Mount Erin (T&amp;M) Actual'!$J$81:$U$105,13,0)/$P$5,0)</f>
        <v>0</v>
      </c>
      <c r="Q26" s="252">
        <f>IFERROR(HLOOKUP($Q$2,'Mount Erin (T&amp;M) Budget'!$J$81:$U$105,13,0)/$Q$5,0)</f>
        <v>0</v>
      </c>
      <c r="R26" s="252">
        <f>HLOOKUP($Q$2,'Mount Erin (T&amp;M) Actual'!$J$81:$U$105,13,0)</f>
        <v>0</v>
      </c>
      <c r="S26" s="252">
        <f>HLOOKUP($Q$2,'Mount Erin (T&amp;M) Budget'!$J$81:$U$105,13,0)</f>
        <v>0</v>
      </c>
    </row>
    <row r="27" spans="2:19" x14ac:dyDescent="0.25">
      <c r="B27" s="329" t="s">
        <v>60</v>
      </c>
      <c r="C27" s="157" t="s">
        <v>59</v>
      </c>
      <c r="E27" s="220" t="e">
        <f>HLOOKUP($E$2,'Mount Erin (T&amp;M) Actual'!$J$81:$U$105,14,0)/$E$5</f>
        <v>#DIV/0!</v>
      </c>
      <c r="F27" s="221" t="e">
        <f>HLOOKUP($E$2,'Mount Erin (T&amp;M) Budget'!$J$81:$U$105,14,0)/$F$5</f>
        <v>#DIV/0!</v>
      </c>
      <c r="G27" s="188" t="e">
        <f t="shared" si="3"/>
        <v>#DIV/0!</v>
      </c>
      <c r="H27" s="234" t="e">
        <f>SUMIFS('Mount Erin (T&amp;M) Actual'!$J$94:$U$94,'Mount Erin (T&amp;M) Actual'!$J$81:$U$81,"&lt;="&amp;Summary_4!$E$2)/H5</f>
        <v>#DIV/0!</v>
      </c>
      <c r="I27" s="183" t="e">
        <f>SUMIFS('Mount Erin (T&amp;M) Budget'!$J$94:$U$94,'Mount Erin (T&amp;M) Budget'!$J$81:$U$81,"&lt;="&amp;Summary_4!$E$2)/I5</f>
        <v>#DIV/0!</v>
      </c>
      <c r="J27" s="189" t="e">
        <f t="shared" si="4"/>
        <v>#DIV/0!</v>
      </c>
      <c r="P27" s="252">
        <f>IFERROR(HLOOKUP($Q$2,'Mount Erin (T&amp;M) Actual'!$J$81:$U$105,14,0)/$P$5,0)</f>
        <v>0</v>
      </c>
      <c r="Q27" s="252">
        <f>IFERROR(HLOOKUP($Q$2,'Mount Erin (T&amp;M) Budget'!$J$81:$U$105,14,0)/$Q$5,0)</f>
        <v>0</v>
      </c>
      <c r="R27" s="252">
        <f>HLOOKUP($Q$2,'Mount Erin (T&amp;M) Actual'!$J$81:$U$105,14,0)</f>
        <v>0</v>
      </c>
      <c r="S27" s="252">
        <f>HLOOKUP($Q$2,'Mount Erin (T&amp;M) Budget'!$J$81:$U$105,14,0)</f>
        <v>0</v>
      </c>
    </row>
    <row r="28" spans="2:19" x14ac:dyDescent="0.25">
      <c r="B28" s="329" t="s">
        <v>80</v>
      </c>
      <c r="C28" s="172" t="s">
        <v>59</v>
      </c>
      <c r="D28" s="171"/>
      <c r="E28" s="219" t="e">
        <f>HLOOKUP($E$2,'Mount Erin (T&amp;M) Actual'!$J$81:$U$105,15,0)/$E$5</f>
        <v>#DIV/0!</v>
      </c>
      <c r="F28" s="218" t="e">
        <f>HLOOKUP($E$2,'Mount Erin (T&amp;M) Budget'!$J$81:$U$105,15,0)/$F$5</f>
        <v>#DIV/0!</v>
      </c>
      <c r="G28" s="176" t="e">
        <f t="shared" si="3"/>
        <v>#DIV/0!</v>
      </c>
      <c r="H28" s="235" t="e">
        <f>SUMIFS('Mount Erin (T&amp;M) Actual'!$J$95:$U$95,'Mount Erin (T&amp;M) Actual'!$J$81:$U$81,"&lt;="&amp;Summary_4!$E$2)/H5</f>
        <v>#DIV/0!</v>
      </c>
      <c r="I28" s="179" t="e">
        <f>SUMIFS('Mount Erin (T&amp;M) Budget'!$J$95:$U$95,'Mount Erin (T&amp;M) Budget'!$J$81:$U$81,"&lt;="&amp;Summary_4!$E$2)/I5</f>
        <v>#DIV/0!</v>
      </c>
      <c r="J28" s="187" t="e">
        <f t="shared" si="4"/>
        <v>#DIV/0!</v>
      </c>
      <c r="P28" s="253">
        <f>IFERROR(HLOOKUP($Q$2,'Mount Erin (T&amp;M) Actual'!$J$81:$U$105,15,0)/$P$5,0)</f>
        <v>0</v>
      </c>
      <c r="Q28" s="253">
        <f>IFERROR(HLOOKUP($Q$2,'Mount Erin (T&amp;M) Budget'!$J$81:$U$105,15,0)/$Q$5,0)</f>
        <v>0</v>
      </c>
      <c r="R28" s="253">
        <f>HLOOKUP($Q$2,'Mount Erin (T&amp;M) Actual'!$J$81:$U$105,15,0)</f>
        <v>0</v>
      </c>
      <c r="S28" s="253">
        <f>HLOOKUP($Q$2,'Mount Erin (T&amp;M) Budget'!$J$81:$U$105,15,0)</f>
        <v>0</v>
      </c>
    </row>
    <row r="29" spans="2:19" x14ac:dyDescent="0.25">
      <c r="B29" s="169" t="s">
        <v>143</v>
      </c>
      <c r="C29" s="169" t="s">
        <v>59</v>
      </c>
      <c r="D29" s="158" t="s">
        <v>144</v>
      </c>
      <c r="E29" s="220" t="e">
        <f t="shared" ref="E29:J29" si="5">SUM(E23:E28)</f>
        <v>#DIV/0!</v>
      </c>
      <c r="F29" s="373" t="e">
        <f t="shared" si="5"/>
        <v>#DIV/0!</v>
      </c>
      <c r="G29" s="188" t="e">
        <f t="shared" si="5"/>
        <v>#DIV/0!</v>
      </c>
      <c r="H29" s="234" t="e">
        <f t="shared" si="5"/>
        <v>#DIV/0!</v>
      </c>
      <c r="I29" s="183" t="e">
        <f t="shared" si="5"/>
        <v>#DIV/0!</v>
      </c>
      <c r="J29" s="189" t="e">
        <f t="shared" si="5"/>
        <v>#DIV/0!</v>
      </c>
      <c r="P29" s="252">
        <f>SUM(P23:P28)</f>
        <v>0</v>
      </c>
      <c r="Q29" s="252">
        <f>SUM(Q23:Q28)</f>
        <v>0</v>
      </c>
      <c r="R29" s="252">
        <f>SUM(R23:R28)</f>
        <v>0</v>
      </c>
      <c r="S29" s="252">
        <f>SUM(S23:S28)</f>
        <v>0</v>
      </c>
    </row>
    <row r="30" spans="2:19" x14ac:dyDescent="0.25">
      <c r="C30" s="169"/>
      <c r="E30" s="220"/>
      <c r="F30" s="221"/>
      <c r="H30" s="234"/>
      <c r="I30" s="183"/>
      <c r="J30" s="185"/>
      <c r="P30" s="252"/>
      <c r="Q30" s="252"/>
      <c r="R30" s="252"/>
      <c r="S30" s="252"/>
    </row>
    <row r="31" spans="2:19" x14ac:dyDescent="0.25">
      <c r="B31" s="157" t="s">
        <v>230</v>
      </c>
      <c r="C31" s="157" t="s">
        <v>61</v>
      </c>
      <c r="E31" s="220" t="e">
        <f>HLOOKUP($E$2,'Mount Erin (T&amp;M) Actual'!$J$81:$U$105,16,0)/$E$5</f>
        <v>#DIV/0!</v>
      </c>
      <c r="F31" s="221" t="e">
        <f>HLOOKUP($E$2,'Mount Erin (T&amp;M) Budget'!$J$81:$U$105,16,0)/$F$5</f>
        <v>#DIV/0!</v>
      </c>
      <c r="G31" s="188" t="e">
        <f>F31-E31</f>
        <v>#DIV/0!</v>
      </c>
      <c r="H31" s="234" t="e">
        <f>SUMIFS('Mount Erin (T&amp;M) Actual'!$J$96:$U$96,'Mount Erin (T&amp;M) Actual'!$J$81:$U$81,"&lt;="&amp;Summary_4!$E$2)/H5</f>
        <v>#DIV/0!</v>
      </c>
      <c r="I31" s="183" t="e">
        <f>SUMIFS('Mount Erin (T&amp;M) Budget'!$J$96:$U$96,'Mount Erin (T&amp;M) Budget'!$J$81:$U$81,"&lt;="&amp;Summary_4!$E$2)/I5</f>
        <v>#DIV/0!</v>
      </c>
      <c r="J31" s="189" t="e">
        <f>I31-H31</f>
        <v>#DIV/0!</v>
      </c>
      <c r="P31" s="252">
        <f>IFERROR(HLOOKUP($Q$2,'Mount Erin (T&amp;M) Actual'!$J$81:$U$105,16,0)/$P$5,0)</f>
        <v>0</v>
      </c>
      <c r="Q31" s="252">
        <f>IFERROR(HLOOKUP($Q$2,'Mount Erin (T&amp;M) Budget'!$J$81:$U$105,16,0)/$Q$5,0)</f>
        <v>0</v>
      </c>
      <c r="R31" s="252">
        <f>HLOOKUP($Q$2,'Mount Erin (T&amp;M) Actual'!$J$81:$U$105,16,0)</f>
        <v>0</v>
      </c>
      <c r="S31" s="252">
        <f>HLOOKUP($Q$2,'Mount Erin (T&amp;M) Budget'!$J$81:$U$105,16,0)</f>
        <v>0</v>
      </c>
    </row>
    <row r="32" spans="2:19" x14ac:dyDescent="0.25">
      <c r="B32" s="172" t="s">
        <v>231</v>
      </c>
      <c r="C32" s="172" t="s">
        <v>61</v>
      </c>
      <c r="D32" s="171"/>
      <c r="E32" s="219" t="e">
        <f>HLOOKUP($E$2,'Mount Erin (T&amp;M) Actual'!$J$81:$U$105,17,0)/$E$5</f>
        <v>#DIV/0!</v>
      </c>
      <c r="F32" s="218" t="e">
        <f>HLOOKUP($E$2,'Mount Erin (T&amp;M) Budget'!$J$81:$U$105,17,0)/$F$5</f>
        <v>#DIV/0!</v>
      </c>
      <c r="G32" s="176" t="e">
        <f>F32-E32</f>
        <v>#DIV/0!</v>
      </c>
      <c r="H32" s="235" t="e">
        <f>SUMIFS('Mount Erin (T&amp;M) Actual'!$J$97:$U$97,'Mount Erin (T&amp;M) Actual'!$J$81:$U$81,"&lt;="&amp;Summary_4!$E$2)/H5</f>
        <v>#DIV/0!</v>
      </c>
      <c r="I32" s="179" t="e">
        <f>SUMIFS('Mount Erin (T&amp;M) Budget'!$J$97:$U$97,'Mount Erin (T&amp;M) Budget'!$J$81:$U$81,"&lt;="&amp;Summary_4!$E$2)/I5</f>
        <v>#DIV/0!</v>
      </c>
      <c r="J32" s="187" t="e">
        <f>I32-H32</f>
        <v>#DIV/0!</v>
      </c>
      <c r="P32" s="253">
        <f>IFERROR(HLOOKUP($Q$2,'Mount Erin (T&amp;M) Actual'!$J$81:$U$105,17,0)/$P$5,0)</f>
        <v>0</v>
      </c>
      <c r="Q32" s="253">
        <f>IFERROR(HLOOKUP($Q$2,'Mount Erin (T&amp;M) Budget'!$J$81:$U$105,17,0)/$Q$5,0)</f>
        <v>0</v>
      </c>
      <c r="R32" s="253">
        <f>HLOOKUP($Q$2,'Mount Erin (T&amp;M) Actual'!$J$81:$U$105,17,0)</f>
        <v>0</v>
      </c>
      <c r="S32" s="253">
        <f>HLOOKUP($Q$2,'Mount Erin (T&amp;M) Budget'!$J$81:$U$105,17,0)</f>
        <v>0</v>
      </c>
    </row>
    <row r="33" spans="2:19" x14ac:dyDescent="0.25">
      <c r="B33" s="169" t="s">
        <v>145</v>
      </c>
      <c r="C33" s="169" t="s">
        <v>61</v>
      </c>
      <c r="D33" s="158" t="s">
        <v>146</v>
      </c>
      <c r="E33" s="220" t="e">
        <f t="shared" ref="E33:J33" si="6">SUM(E31:E32)</f>
        <v>#DIV/0!</v>
      </c>
      <c r="F33" s="373" t="e">
        <f t="shared" si="6"/>
        <v>#DIV/0!</v>
      </c>
      <c r="G33" s="188" t="e">
        <f t="shared" si="6"/>
        <v>#DIV/0!</v>
      </c>
      <c r="H33" s="234" t="e">
        <f t="shared" si="6"/>
        <v>#DIV/0!</v>
      </c>
      <c r="I33" s="183" t="e">
        <f t="shared" si="6"/>
        <v>#DIV/0!</v>
      </c>
      <c r="J33" s="189" t="e">
        <f t="shared" si="6"/>
        <v>#DIV/0!</v>
      </c>
      <c r="P33" s="252">
        <f>SUM(P31:P32)</f>
        <v>0</v>
      </c>
      <c r="Q33" s="252">
        <f>SUM(Q31:Q32)</f>
        <v>0</v>
      </c>
      <c r="R33" s="252">
        <f>SUM(R31:R32)</f>
        <v>0</v>
      </c>
      <c r="S33" s="252">
        <f>SUM(S31:S32)</f>
        <v>0</v>
      </c>
    </row>
    <row r="34" spans="2:19" x14ac:dyDescent="0.25">
      <c r="E34" s="220"/>
      <c r="F34" s="373"/>
      <c r="H34" s="234"/>
      <c r="I34" s="183"/>
      <c r="J34" s="185"/>
      <c r="P34" s="252"/>
      <c r="Q34" s="252"/>
      <c r="R34" s="252"/>
      <c r="S34" s="252"/>
    </row>
    <row r="35" spans="2:19" x14ac:dyDescent="0.25">
      <c r="B35" s="157" t="s">
        <v>232</v>
      </c>
      <c r="C35" s="157" t="s">
        <v>62</v>
      </c>
      <c r="E35" s="220" t="e">
        <f>HLOOKUP($E$2,'Mount Erin (T&amp;M) Actual'!$J$81:$U$105,18,0)/$E$5</f>
        <v>#DIV/0!</v>
      </c>
      <c r="F35" s="221" t="e">
        <f>HLOOKUP($E$2,'Mount Erin (T&amp;M) Budget'!$J$81:$U$105,18,0)/$F$5</f>
        <v>#DIV/0!</v>
      </c>
      <c r="G35" s="188" t="e">
        <f>F35-E35</f>
        <v>#DIV/0!</v>
      </c>
      <c r="H35" s="234" t="e">
        <f>SUMIFS('Mount Erin (T&amp;M) Actual'!$J$98:$U$98,'Mount Erin (T&amp;M) Actual'!$J$81:$U$81,"&lt;="&amp;Summary_4!$E$2)/H5</f>
        <v>#DIV/0!</v>
      </c>
      <c r="I35" s="183" t="e">
        <f>SUMIFS('Mount Erin (T&amp;M) Budget'!$J$98:$U$98,'Mount Erin (T&amp;M) Budget'!$J$81:$U$81,"&lt;="&amp;Summary_4!$E$2)/I5</f>
        <v>#DIV/0!</v>
      </c>
      <c r="J35" s="189" t="e">
        <f>I35-H35</f>
        <v>#DIV/0!</v>
      </c>
      <c r="P35" s="252">
        <f>IFERROR(HLOOKUP($Q$2,'Mount Erin (T&amp;M) Actual'!$J$81:$U$105,18,0)/$P$5,0)</f>
        <v>0</v>
      </c>
      <c r="Q35" s="252">
        <f>IFERROR(HLOOKUP($Q$2,'Mount Erin (T&amp;M) Budget'!$J$81:$U$105,18,0)/$Q$5,0)</f>
        <v>0</v>
      </c>
      <c r="R35" s="252">
        <f>HLOOKUP($Q$2,'Mount Erin (T&amp;M) Actual'!$J$81:$U$105,18,0)</f>
        <v>0</v>
      </c>
      <c r="S35" s="252">
        <f>HLOOKUP($Q$2,'Mount Erin (T&amp;M) Budget'!$J$81:$U$105,18,0)</f>
        <v>0</v>
      </c>
    </row>
    <row r="36" spans="2:19" x14ac:dyDescent="0.25">
      <c r="B36" s="172" t="s">
        <v>233</v>
      </c>
      <c r="C36" s="172" t="s">
        <v>62</v>
      </c>
      <c r="D36" s="171"/>
      <c r="E36" s="219" t="e">
        <f>HLOOKUP($E$2,'Mount Erin (T&amp;M) Actual'!$J$81:$U$105,19,0)/$E$5</f>
        <v>#DIV/0!</v>
      </c>
      <c r="F36" s="218" t="e">
        <f>HLOOKUP($E$2,'Mount Erin (T&amp;M) Budget'!$J$81:$U$105,19,0)/$F$5</f>
        <v>#DIV/0!</v>
      </c>
      <c r="G36" s="176" t="e">
        <f>F36-E36</f>
        <v>#DIV/0!</v>
      </c>
      <c r="H36" s="235" t="e">
        <f>SUMIFS('Mount Erin (T&amp;M) Actual'!$J$99:$U$99,'Mount Erin (T&amp;M) Actual'!$J$81:$U$81,"&lt;="&amp;Summary_4!$E$2)/H5</f>
        <v>#DIV/0!</v>
      </c>
      <c r="I36" s="179" t="e">
        <f>SUMIFS('Mount Erin (T&amp;M) Budget'!$J$99:$U$99,'Mount Erin (T&amp;M) Budget'!$J$81:$U$81,"&lt;="&amp;Summary_4!$E$2)/I5</f>
        <v>#DIV/0!</v>
      </c>
      <c r="J36" s="187" t="e">
        <f>I36-H36</f>
        <v>#DIV/0!</v>
      </c>
      <c r="P36" s="253">
        <f>IFERROR(HLOOKUP($Q$2,'Mount Erin (T&amp;M) Actual'!$J$81:$U$105,19,0)/$P$5,0)</f>
        <v>0</v>
      </c>
      <c r="Q36" s="253">
        <f>IFERROR(HLOOKUP($Q$2,'Mount Erin (T&amp;M) Budget'!$J$81:$U$105,19,0)/$Q$5,0)</f>
        <v>0</v>
      </c>
      <c r="R36" s="253">
        <f>HLOOKUP($Q$2,'Mount Erin (T&amp;M) Actual'!$J$81:$U$105,19,0)</f>
        <v>0</v>
      </c>
      <c r="S36" s="253">
        <f>HLOOKUP($Q$2,'Mount Erin (T&amp;M) Budget'!$J$81:$U$105,19,0)</f>
        <v>0</v>
      </c>
    </row>
    <row r="37" spans="2:19" x14ac:dyDescent="0.25">
      <c r="B37" s="169" t="s">
        <v>147</v>
      </c>
      <c r="C37" s="169" t="s">
        <v>62</v>
      </c>
      <c r="D37" s="158" t="s">
        <v>148</v>
      </c>
      <c r="E37" s="220" t="e">
        <f>SUM(E35:E36)</f>
        <v>#DIV/0!</v>
      </c>
      <c r="F37" s="373" t="e">
        <f>SUM(F35:F36)</f>
        <v>#DIV/0!</v>
      </c>
      <c r="H37" s="234" t="e">
        <f>SUM(H35:H36)</f>
        <v>#DIV/0!</v>
      </c>
      <c r="I37" s="183" t="e">
        <f>SUM(I35:I36)</f>
        <v>#DIV/0!</v>
      </c>
      <c r="J37" s="185"/>
      <c r="P37" s="252">
        <f>SUM(P35:P36)</f>
        <v>0</v>
      </c>
      <c r="Q37" s="252">
        <f>SUM(Q35:Q36)</f>
        <v>0</v>
      </c>
      <c r="R37" s="252">
        <f>SUM(R35:R36)</f>
        <v>0</v>
      </c>
      <c r="S37" s="252">
        <f>SUM(S35:S36)</f>
        <v>0</v>
      </c>
    </row>
    <row r="38" spans="2:19" x14ac:dyDescent="0.25">
      <c r="E38" s="220"/>
      <c r="F38" s="373"/>
      <c r="H38" s="234"/>
      <c r="I38" s="183"/>
      <c r="J38" s="185"/>
      <c r="P38" s="252"/>
      <c r="Q38" s="252"/>
      <c r="R38" s="252"/>
      <c r="S38" s="252"/>
    </row>
    <row r="39" spans="2:19" x14ac:dyDescent="0.25">
      <c r="E39" s="220"/>
      <c r="F39" s="221"/>
      <c r="G39" s="188"/>
      <c r="H39" s="234"/>
      <c r="I39" s="183"/>
      <c r="J39" s="189"/>
      <c r="P39" s="252"/>
      <c r="Q39" s="252"/>
      <c r="R39" s="252"/>
      <c r="S39" s="252"/>
    </row>
    <row r="40" spans="2:19" x14ac:dyDescent="0.25">
      <c r="B40" s="157" t="s">
        <v>235</v>
      </c>
      <c r="C40" s="157" t="s">
        <v>63</v>
      </c>
      <c r="E40" s="220" t="e">
        <f>HLOOKUP($E$2,'Mount Erin (T&amp;M) Actual'!$J$81:$U$105,20,0)/$E$5</f>
        <v>#DIV/0!</v>
      </c>
      <c r="F40" s="221" t="e">
        <f>HLOOKUP($E$2,'Mount Erin (T&amp;M) Budget'!$J$81:$U$105,20,0)/$F$5</f>
        <v>#DIV/0!</v>
      </c>
      <c r="G40" s="190" t="e">
        <f>F40-E40</f>
        <v>#DIV/0!</v>
      </c>
      <c r="H40" s="234" t="e">
        <f>SUMIFS('Mount Erin (T&amp;M) Actual'!$J$100:$U$100,'Mount Erin (T&amp;M) Actual'!$J$81:$U$81,"&lt;="&amp;Summary_4!$E$2)/H5</f>
        <v>#DIV/0!</v>
      </c>
      <c r="I40" s="183" t="e">
        <f>SUMIFS('Mount Erin (T&amp;M) Budget'!$J$100:$U$100,'Mount Erin (T&amp;M) Budget'!$J$81:$U$81,"&lt;="&amp;Summary_4!$E$2)/I5</f>
        <v>#DIV/0!</v>
      </c>
      <c r="J40" s="191" t="e">
        <f>I40-H40</f>
        <v>#DIV/0!</v>
      </c>
      <c r="P40" s="252">
        <f>IFERROR(HLOOKUP($Q$2,'Mount Erin (T&amp;M) Actual'!$J$81:$U$105,20,0)/$P$5,0)</f>
        <v>0</v>
      </c>
      <c r="Q40" s="252">
        <f>IFERROR(HLOOKUP($Q$2,'Mount Erin (T&amp;M) Budget'!$J$81:$U$105,20,0)/$Q$5,0)</f>
        <v>0</v>
      </c>
      <c r="R40" s="252">
        <f>HLOOKUP($Q$2,'Mount Erin (T&amp;M) Actual'!$J$81:$U$105,20,0)</f>
        <v>0</v>
      </c>
      <c r="S40" s="252">
        <f>HLOOKUP($Q$2,'Mount Erin (T&amp;M) Budget'!$J$81:$U$105,20,0)</f>
        <v>0</v>
      </c>
    </row>
    <row r="41" spans="2:19" x14ac:dyDescent="0.25">
      <c r="B41" s="157" t="s">
        <v>64</v>
      </c>
      <c r="C41" s="157" t="s">
        <v>63</v>
      </c>
      <c r="E41" s="220" t="e">
        <f>HLOOKUP($E$2,'Mount Erin (T&amp;M) Actual'!$J$81:$U$105,21,0)/$E$5</f>
        <v>#DIV/0!</v>
      </c>
      <c r="F41" s="221" t="e">
        <f>HLOOKUP($E$2,'Mount Erin (T&amp;M) Budget'!$J$81:$U$105,21,0)/$F$5</f>
        <v>#DIV/0!</v>
      </c>
      <c r="G41" s="188" t="e">
        <f>F41-E41</f>
        <v>#DIV/0!</v>
      </c>
      <c r="H41" s="234" t="e">
        <f>SUMIFS('Mount Erin (T&amp;M) Actual'!$J$101:$U$101,'Mount Erin (T&amp;M) Actual'!$J$81:$U$81,"&lt;="&amp;Summary_4!$E$2)/H5</f>
        <v>#DIV/0!</v>
      </c>
      <c r="I41" s="183" t="e">
        <f>SUMIFS('Mount Erin (T&amp;M) Budget'!$J$101:$U$101,'Mount Erin (T&amp;M) Budget'!$J$81:$U$81,"&lt;="&amp;Summary_4!$E$2)/I5</f>
        <v>#DIV/0!</v>
      </c>
      <c r="J41" s="189" t="e">
        <f>I41-H41</f>
        <v>#DIV/0!</v>
      </c>
      <c r="P41" s="252">
        <f>IFERROR(HLOOKUP($Q$2,'Mount Erin (T&amp;M) Actual'!$J$81:$U$105,21,0)/$P$5,0)</f>
        <v>0</v>
      </c>
      <c r="Q41" s="252">
        <f>IFERROR(HLOOKUP($Q$2,'Mount Erin (T&amp;M) Budget'!$J$81:$U$105,21,0)/$Q$5,0)</f>
        <v>0</v>
      </c>
      <c r="R41" s="252">
        <f>HLOOKUP($Q$2,'Mount Erin (T&amp;M) Actual'!$J$81:$U$105,21,0)</f>
        <v>0</v>
      </c>
      <c r="S41" s="252">
        <f>HLOOKUP($Q$2,'Mount Erin (T&amp;M) Budget'!$J$81:$U$105,21,0)</f>
        <v>0</v>
      </c>
    </row>
    <row r="42" spans="2:19" x14ac:dyDescent="0.25">
      <c r="B42" s="172" t="s">
        <v>65</v>
      </c>
      <c r="C42" s="172" t="s">
        <v>63</v>
      </c>
      <c r="D42" s="171"/>
      <c r="E42" s="219" t="e">
        <f>HLOOKUP($E$2,'Mount Erin (T&amp;M) Actual'!$J$81:$U$105,22,0)/$E$5</f>
        <v>#DIV/0!</v>
      </c>
      <c r="F42" s="218" t="e">
        <f>HLOOKUP($E$2,'Mount Erin (T&amp;M) Budget'!$J$81:$U$105,22,0)/$F$5</f>
        <v>#DIV/0!</v>
      </c>
      <c r="G42" s="176" t="e">
        <f>F42-E42</f>
        <v>#DIV/0!</v>
      </c>
      <c r="H42" s="235" t="e">
        <f>SUMIFS('Mount Erin (T&amp;M) Budget'!$J$102:$U$102,'Mount Erin (T&amp;M) Budget'!$J$81:$U$81,"&lt;="&amp;Summary_4!$E$2)/H5</f>
        <v>#DIV/0!</v>
      </c>
      <c r="I42" s="179" t="e">
        <f>SUMIFS('Mount Erin (T&amp;M) Budget'!$J$102:$U$102,'Mount Erin (T&amp;M) Budget'!$J$81:$U$81,"&lt;="&amp;Summary_4!$E$2)/I5</f>
        <v>#DIV/0!</v>
      </c>
      <c r="J42" s="187" t="e">
        <f>I42-H42</f>
        <v>#DIV/0!</v>
      </c>
      <c r="P42" s="253">
        <f>IFERROR(HLOOKUP($Q$2,'Mount Erin (T&amp;M) Actual'!$J$81:$U$105,22,0)/$P$5,0)</f>
        <v>0</v>
      </c>
      <c r="Q42" s="253">
        <f>IFERROR(HLOOKUP($Q$2,'Mount Erin (T&amp;M) Budget'!$J$81:$U$105,22,0)/$Q$5,0)</f>
        <v>0</v>
      </c>
      <c r="R42" s="253">
        <f>HLOOKUP($Q$2,'Mount Erin (T&amp;M) Actual'!$J$81:$U$105,22,0)</f>
        <v>0</v>
      </c>
      <c r="S42" s="253">
        <f>HLOOKUP($Q$2,'Mount Erin (T&amp;M) Budget'!$J$81:$U$105,22,0)</f>
        <v>0</v>
      </c>
    </row>
    <row r="43" spans="2:19" x14ac:dyDescent="0.25">
      <c r="B43" s="169" t="s">
        <v>149</v>
      </c>
      <c r="C43" s="169" t="s">
        <v>63</v>
      </c>
      <c r="D43" s="158" t="s">
        <v>150</v>
      </c>
      <c r="E43" s="220" t="e">
        <f t="shared" ref="E43:J43" si="7">SUM(E39:E42)</f>
        <v>#DIV/0!</v>
      </c>
      <c r="F43" s="221" t="e">
        <f t="shared" si="7"/>
        <v>#DIV/0!</v>
      </c>
      <c r="G43" s="188" t="e">
        <f t="shared" si="7"/>
        <v>#DIV/0!</v>
      </c>
      <c r="H43" s="234" t="e">
        <f t="shared" si="7"/>
        <v>#DIV/0!</v>
      </c>
      <c r="I43" s="183" t="e">
        <f t="shared" si="7"/>
        <v>#DIV/0!</v>
      </c>
      <c r="J43" s="189" t="e">
        <f t="shared" si="7"/>
        <v>#DIV/0!</v>
      </c>
      <c r="P43" s="252">
        <f>SUM(P39:P42)</f>
        <v>0</v>
      </c>
      <c r="Q43" s="252">
        <f>SUM(Q39:Q42)</f>
        <v>0</v>
      </c>
      <c r="R43" s="252">
        <f>SUM(R39:R42)</f>
        <v>0</v>
      </c>
      <c r="S43" s="252">
        <f>SUM(S39:S42)</f>
        <v>0</v>
      </c>
    </row>
    <row r="44" spans="2:19" x14ac:dyDescent="0.25">
      <c r="E44" s="220"/>
      <c r="F44" s="373"/>
      <c r="H44" s="234"/>
      <c r="I44" s="183"/>
      <c r="J44" s="185"/>
      <c r="P44" s="252"/>
      <c r="Q44" s="252"/>
      <c r="R44" s="252"/>
      <c r="S44" s="252"/>
    </row>
    <row r="45" spans="2:19" x14ac:dyDescent="0.25">
      <c r="B45" s="157" t="s">
        <v>66</v>
      </c>
      <c r="C45" s="157" t="s">
        <v>67</v>
      </c>
      <c r="E45" s="220" t="e">
        <f>HLOOKUP($E$2,'Mount Erin (T&amp;M) Actual'!$J$81:$U$105,23,0)/$E$5</f>
        <v>#DIV/0!</v>
      </c>
      <c r="F45" s="221" t="e">
        <f>HLOOKUP($E$2,'Mount Erin (T&amp;M) Budget'!$J$81:$U$105,23,0)/$F$5</f>
        <v>#DIV/0!</v>
      </c>
      <c r="G45" s="190" t="e">
        <f>F45-E45</f>
        <v>#DIV/0!</v>
      </c>
      <c r="H45" s="234" t="e">
        <f>SUMIFS('Mount Erin (T&amp;M) Actual'!$J$103:$U$103,'Mount Erin (T&amp;M) Actual'!$J$81:$U$81,"&lt;="&amp;Summary_4!$E$2)/H5</f>
        <v>#DIV/0!</v>
      </c>
      <c r="I45" s="183" t="e">
        <f>SUMIFS('Mount Erin (T&amp;M) Budget'!$J$103:$U$103,'Mount Erin (T&amp;M) Budget'!$J$81:$U$81,"&lt;="&amp;Summary_4!$E$2)/I5</f>
        <v>#DIV/0!</v>
      </c>
      <c r="J45" s="191" t="e">
        <f>I45-H45</f>
        <v>#DIV/0!</v>
      </c>
      <c r="P45" s="252">
        <f>IFERROR(HLOOKUP($Q$2,'Mount Erin (T&amp;M) Actual'!$J$81:$U$105,23,0)/$P$5,0)</f>
        <v>0</v>
      </c>
      <c r="Q45" s="252">
        <f>IFERROR(HLOOKUP($Q$2,'Mount Erin (T&amp;M) Budget'!$J$81:$U$105,23,0)/$Q$5,0)</f>
        <v>0</v>
      </c>
      <c r="R45" s="252">
        <f>HLOOKUP($Q$2,'Mount Erin (T&amp;M) Actual'!$J$81:$U$105,23,0)</f>
        <v>0</v>
      </c>
      <c r="S45" s="252">
        <f>HLOOKUP($Q$2,'Mount Erin (T&amp;M) Budget'!$J$81:$U$105,23,0)</f>
        <v>0</v>
      </c>
    </row>
    <row r="46" spans="2:19" x14ac:dyDescent="0.25">
      <c r="B46" s="157" t="s">
        <v>234</v>
      </c>
      <c r="C46" s="157" t="s">
        <v>67</v>
      </c>
      <c r="E46" s="382" t="e">
        <f>HLOOKUP($E$2,'Mount Erin (T&amp;M) Actual'!$J$81:$U$105,24,0)/$E$5</f>
        <v>#DIV/0!</v>
      </c>
      <c r="F46" s="374" t="e">
        <f>HLOOKUP($E$2,'Mount Erin (T&amp;M) Budget'!$J$81:$U$105,24,0)/$F$5</f>
        <v>#DIV/0!</v>
      </c>
      <c r="G46" s="383" t="e">
        <f>F46-E46</f>
        <v>#DIV/0!</v>
      </c>
      <c r="H46" s="384" t="e">
        <f>SUMIFS('Mount Erin (T&amp;M) Actual'!$J$104:$U$104,'Mount Erin (T&amp;M) Actual'!$J$81:$U$81,"&lt;="&amp;Summary_4!$E$2)/H5</f>
        <v>#DIV/0!</v>
      </c>
      <c r="I46" s="385" t="e">
        <f>SUMIFS('Mount Erin (T&amp;M) Budget'!$J$104:$U$104,'Mount Erin (T&amp;M) Budget'!$J$81:$U$81,"&lt;="&amp;Summary_4!$E$2)/I5</f>
        <v>#DIV/0!</v>
      </c>
      <c r="J46" s="386" t="e">
        <f>I46-H46</f>
        <v>#DIV/0!</v>
      </c>
      <c r="P46" s="387">
        <f>IFERROR(HLOOKUP($Q$2,'Mount Erin (T&amp;M) Actual'!$J$81:$U$105,24,0)/$P$5,0)</f>
        <v>0</v>
      </c>
      <c r="Q46" s="387">
        <f>IFERROR(HLOOKUP($Q$2,'Mount Erin (T&amp;M) Budget'!$J$81:$U$105,24,0)/$Q$5,0)</f>
        <v>0</v>
      </c>
      <c r="R46" s="252">
        <f>HLOOKUP($Q$2,'Mount Erin (T&amp;M) Actual'!$J$81:$U$105,24,0)</f>
        <v>0</v>
      </c>
      <c r="S46" s="252">
        <f>HLOOKUP($Q$2,'Mount Erin (T&amp;M) Budget'!$J$81:$U$105,24,0)</f>
        <v>0</v>
      </c>
    </row>
    <row r="47" spans="2:19" x14ac:dyDescent="0.25">
      <c r="B47" s="172" t="s">
        <v>68</v>
      </c>
      <c r="C47" s="172" t="s">
        <v>67</v>
      </c>
      <c r="D47" s="171"/>
      <c r="E47" s="219" t="e">
        <f>HLOOKUP($E$2,'Mount Erin (T&amp;M) Actual'!$J$81:$U$105,25,0)/$E$5</f>
        <v>#DIV/0!</v>
      </c>
      <c r="F47" s="218" t="e">
        <f>HLOOKUP($E$2,'Mount Erin (T&amp;M) Budget'!$J$81:$U$105,25,0)/$F$5</f>
        <v>#DIV/0!</v>
      </c>
      <c r="G47" s="176" t="e">
        <f>F47-E47</f>
        <v>#DIV/0!</v>
      </c>
      <c r="H47" s="235" t="e">
        <f>SUMIFS('Mount Erin (T&amp;M) Actual'!$J$105:$U$105,'Mount Erin (T&amp;M) Actual'!$J$81:$U$81,"&lt;="&amp;Summary_4!$E$2)/H5</f>
        <v>#DIV/0!</v>
      </c>
      <c r="I47" s="179" t="e">
        <f>SUMIFS('Mount Erin (T&amp;M) Budget'!$J$105:$U$105,'Mount Erin (T&amp;M) Budget'!$J$81:$U$81,"&lt;="&amp;Summary_4!$E$2)/I5</f>
        <v>#DIV/0!</v>
      </c>
      <c r="J47" s="187" t="e">
        <f>I47-H47</f>
        <v>#DIV/0!</v>
      </c>
      <c r="P47" s="253">
        <f>IFERROR(HLOOKUP($Q$2,'Mount Erin (T&amp;M) Actual'!$J$81:$U$105,25,0)/$P$5,0)</f>
        <v>0</v>
      </c>
      <c r="Q47" s="253">
        <f>IFERROR(HLOOKUP($Q$2,'Mount Erin (T&amp;M) Budget'!$J$81:$U$105,25,0)/$Q$5,0)</f>
        <v>0</v>
      </c>
      <c r="R47" s="253">
        <f>HLOOKUP($Q$2,'Mount Erin (T&amp;M) Actual'!$J$81:$U$105,25,0)</f>
        <v>0</v>
      </c>
      <c r="S47" s="253">
        <f>HLOOKUP($Q$2,'Mount Erin (T&amp;M) Budget'!$J$81:$U$105,25,0)</f>
        <v>0</v>
      </c>
    </row>
    <row r="48" spans="2:19" x14ac:dyDescent="0.25">
      <c r="B48" s="169" t="s">
        <v>151</v>
      </c>
      <c r="C48" s="169" t="s">
        <v>67</v>
      </c>
      <c r="D48" s="158" t="s">
        <v>152</v>
      </c>
      <c r="E48" s="220" t="e">
        <f t="shared" ref="E48:J48" si="8">SUM(E45:E47)</f>
        <v>#DIV/0!</v>
      </c>
      <c r="F48" s="221" t="e">
        <f t="shared" si="8"/>
        <v>#DIV/0!</v>
      </c>
      <c r="G48" s="190" t="e">
        <f t="shared" si="8"/>
        <v>#DIV/0!</v>
      </c>
      <c r="H48" s="234" t="e">
        <f t="shared" si="8"/>
        <v>#DIV/0!</v>
      </c>
      <c r="I48" s="183" t="e">
        <f t="shared" si="8"/>
        <v>#DIV/0!</v>
      </c>
      <c r="J48" s="191" t="e">
        <f t="shared" si="8"/>
        <v>#DIV/0!</v>
      </c>
      <c r="P48" s="252">
        <f>SUM(P45:P47)</f>
        <v>0</v>
      </c>
      <c r="Q48" s="252">
        <f>SUM(Q45:Q47)</f>
        <v>0</v>
      </c>
      <c r="R48" s="252">
        <f>SUM(R45:R47)</f>
        <v>0</v>
      </c>
      <c r="S48" s="252">
        <f>SUM(S45:S47)</f>
        <v>0</v>
      </c>
    </row>
    <row r="49" spans="2:19" x14ac:dyDescent="0.25">
      <c r="B49" s="169"/>
      <c r="C49" s="169"/>
      <c r="E49" s="226"/>
      <c r="H49" s="234"/>
      <c r="I49" s="183"/>
      <c r="J49" s="185"/>
      <c r="P49" s="252"/>
      <c r="Q49" s="252"/>
      <c r="R49" s="252"/>
      <c r="S49" s="252"/>
    </row>
    <row r="50" spans="2:19" x14ac:dyDescent="0.25">
      <c r="B50" s="170" t="s">
        <v>153</v>
      </c>
      <c r="C50" s="172"/>
      <c r="D50" s="171" t="s">
        <v>154</v>
      </c>
      <c r="E50" s="227" t="e">
        <f>E21+E29+E33+E37+E43+E48</f>
        <v>#DIV/0!</v>
      </c>
      <c r="F50" s="176" t="e">
        <f>F21+F29+F33+F37+F43+F48</f>
        <v>#DIV/0!</v>
      </c>
      <c r="G50" s="176" t="e">
        <f>F50-E50</f>
        <v>#DIV/0!</v>
      </c>
      <c r="H50" s="235" t="e">
        <f>H21+H29+H33+H37+H43+H48</f>
        <v>#DIV/0!</v>
      </c>
      <c r="I50" s="179" t="e">
        <f>I21+I29+I33+I37+I43+I48</f>
        <v>#DIV/0!</v>
      </c>
      <c r="J50" s="187" t="e">
        <f>I50-H50</f>
        <v>#DIV/0!</v>
      </c>
      <c r="P50" s="253">
        <f>P21+P29+P33+P37+P43+P48</f>
        <v>0</v>
      </c>
      <c r="Q50" s="253">
        <f>Q21+Q29+Q33+Q37+Q43+Q48</f>
        <v>0</v>
      </c>
      <c r="R50" s="253">
        <f>R21+R29+R33+R37+R43+R48</f>
        <v>0</v>
      </c>
      <c r="S50" s="253">
        <f>S21+S29+S33+S37+S43+S48</f>
        <v>0</v>
      </c>
    </row>
    <row r="51" spans="2:19" x14ac:dyDescent="0.25">
      <c r="E51" s="226"/>
      <c r="H51" s="234"/>
      <c r="I51" s="183"/>
      <c r="J51" s="185"/>
      <c r="P51" s="252"/>
      <c r="Q51" s="252"/>
      <c r="R51" s="252"/>
      <c r="S51" s="252"/>
    </row>
    <row r="52" spans="2:19" x14ac:dyDescent="0.25">
      <c r="B52" s="170" t="s">
        <v>155</v>
      </c>
      <c r="C52" s="170"/>
      <c r="D52" s="171" t="s">
        <v>156</v>
      </c>
      <c r="E52" s="227" t="e">
        <f>E9+E11+E50</f>
        <v>#DIV/0!</v>
      </c>
      <c r="F52" s="176" t="e">
        <f>F9+F11+F50</f>
        <v>#DIV/0!</v>
      </c>
      <c r="G52" s="176" t="e">
        <f>F52-E52</f>
        <v>#DIV/0!</v>
      </c>
      <c r="H52" s="235" t="e">
        <f>H9+H11+H50</f>
        <v>#DIV/0!</v>
      </c>
      <c r="I52" s="179" t="e">
        <f>I9+I11+I50</f>
        <v>#DIV/0!</v>
      </c>
      <c r="J52" s="187" t="e">
        <f>I52-H52</f>
        <v>#DIV/0!</v>
      </c>
      <c r="P52" s="253">
        <f>P9+P11+P50</f>
        <v>0</v>
      </c>
      <c r="Q52" s="253">
        <f>Q9+Q11+Q50</f>
        <v>0</v>
      </c>
      <c r="R52" s="253">
        <f>R9+R11+R50</f>
        <v>0</v>
      </c>
      <c r="S52" s="253">
        <f>S9+S11+S50</f>
        <v>0</v>
      </c>
    </row>
    <row r="53" spans="2:19" x14ac:dyDescent="0.25">
      <c r="E53" s="226"/>
      <c r="H53" s="234"/>
      <c r="I53" s="183"/>
      <c r="J53" s="185"/>
      <c r="P53" s="252"/>
      <c r="Q53" s="252"/>
      <c r="R53" s="252"/>
      <c r="S53" s="252"/>
    </row>
    <row r="54" spans="2:19" x14ac:dyDescent="0.25">
      <c r="B54" s="173" t="s">
        <v>157</v>
      </c>
      <c r="C54" s="173"/>
      <c r="D54" s="174" t="s">
        <v>158</v>
      </c>
      <c r="E54" s="228" t="e">
        <f>E7-E52</f>
        <v>#DIV/0!</v>
      </c>
      <c r="F54" s="192" t="e">
        <f>F7-F52</f>
        <v>#DIV/0!</v>
      </c>
      <c r="G54" s="192" t="e">
        <f>F54-E54</f>
        <v>#DIV/0!</v>
      </c>
      <c r="H54" s="236" t="e">
        <f>H7-H52</f>
        <v>#DIV/0!</v>
      </c>
      <c r="I54" s="193" t="e">
        <f>I7-I52</f>
        <v>#DIV/0!</v>
      </c>
      <c r="J54" s="194" t="e">
        <f>I54-H54</f>
        <v>#DIV/0!</v>
      </c>
      <c r="P54" s="252">
        <f>P7-P52</f>
        <v>0</v>
      </c>
      <c r="Q54" s="252">
        <f>Q7-Q52</f>
        <v>0</v>
      </c>
      <c r="R54" s="252">
        <f>R7-R52</f>
        <v>0</v>
      </c>
      <c r="S54" s="252">
        <f>S7-S52</f>
        <v>0</v>
      </c>
    </row>
    <row r="55" spans="2:19" ht="15.75" thickBot="1" x14ac:dyDescent="0.3">
      <c r="B55" s="169" t="s">
        <v>159</v>
      </c>
      <c r="D55" s="158" t="s">
        <v>160</v>
      </c>
      <c r="E55" s="226" t="e">
        <f t="shared" ref="E55:J55" si="9">E54*E5</f>
        <v>#DIV/0!</v>
      </c>
      <c r="F55" s="188" t="e">
        <f t="shared" si="9"/>
        <v>#DIV/0!</v>
      </c>
      <c r="G55" s="188" t="e">
        <f t="shared" si="9"/>
        <v>#DIV/0!</v>
      </c>
      <c r="H55" s="234" t="e">
        <f t="shared" si="9"/>
        <v>#DIV/0!</v>
      </c>
      <c r="I55" s="183" t="e">
        <f t="shared" si="9"/>
        <v>#DIV/0!</v>
      </c>
      <c r="J55" s="189" t="e">
        <f t="shared" si="9"/>
        <v>#DIV/0!</v>
      </c>
      <c r="P55" s="254">
        <f>P54*P5</f>
        <v>0</v>
      </c>
      <c r="Q55" s="254">
        <f>Q54*Q5</f>
        <v>0</v>
      </c>
      <c r="R55" s="254">
        <f>R54</f>
        <v>0</v>
      </c>
      <c r="S55" s="254">
        <f>S54</f>
        <v>0</v>
      </c>
    </row>
    <row r="56" spans="2:19" x14ac:dyDescent="0.25">
      <c r="E56" s="226"/>
      <c r="F56" s="188"/>
      <c r="H56" s="234"/>
      <c r="J56" s="185"/>
    </row>
    <row r="57" spans="2:19" x14ac:dyDescent="0.25">
      <c r="E57" s="226"/>
      <c r="H57" s="234"/>
      <c r="J57" s="185"/>
    </row>
    <row r="58" spans="2:19" x14ac:dyDescent="0.25">
      <c r="B58" s="173" t="s">
        <v>161</v>
      </c>
      <c r="C58" s="173"/>
      <c r="D58" s="174" t="s">
        <v>162</v>
      </c>
      <c r="E58" s="228"/>
      <c r="F58" s="152"/>
      <c r="G58" s="152"/>
      <c r="H58" s="236"/>
      <c r="I58" s="195"/>
      <c r="J58" s="196"/>
    </row>
    <row r="59" spans="2:19" x14ac:dyDescent="0.25">
      <c r="E59" s="226"/>
      <c r="H59" s="234"/>
      <c r="J59" s="185"/>
    </row>
    <row r="60" spans="2:19" ht="15.75" thickBot="1" x14ac:dyDescent="0.3">
      <c r="B60" s="169" t="s">
        <v>163</v>
      </c>
      <c r="C60" s="169"/>
      <c r="D60" s="158" t="s">
        <v>164</v>
      </c>
      <c r="E60" s="229"/>
      <c r="F60" s="197"/>
      <c r="G60" s="197"/>
      <c r="H60" s="237"/>
      <c r="I60" s="198"/>
      <c r="J60" s="199"/>
    </row>
  </sheetData>
  <conditionalFormatting sqref="H1:J2 H4:J4">
    <cfRule type="cellIs" dxfId="3" priority="1" operator="lessThan">
      <formula>0</formula>
    </cfRule>
  </conditionalFormatting>
  <dataValidations count="1">
    <dataValidation type="list" allowBlank="1" showInputMessage="1" showErrorMessage="1" sqref="E2" xr:uid="{567C84F3-9B57-43D6-8FD0-1107CDBCC471}">
      <formula1>"1/01/2025,1/02/2025,1/03/2025,1/04/2025,1/05/2025,1/06/2025,1/07/2025,1/08/2025,1/09/2025,1/10/2025,1/11/2025,1/12/2025"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0A63C-3399-43F3-9F77-66A39260B50C}">
  <sheetPr codeName="Sheet21">
    <tabColor theme="0" tint="-0.14999847407452621"/>
  </sheetPr>
  <dimension ref="A1:V60"/>
  <sheetViews>
    <sheetView topLeftCell="B1" workbookViewId="0">
      <selection activeCell="E16" sqref="E16"/>
    </sheetView>
  </sheetViews>
  <sheetFormatPr defaultColWidth="9.140625" defaultRowHeight="15" x14ac:dyDescent="0.25"/>
  <cols>
    <col min="1" max="1" width="9.140625" style="149"/>
    <col min="2" max="2" width="41.28515625" style="157" customWidth="1"/>
    <col min="3" max="3" width="16.85546875" style="157" bestFit="1" customWidth="1"/>
    <col min="4" max="4" width="14.42578125" style="158" bestFit="1" customWidth="1"/>
    <col min="5" max="5" width="11.5703125" style="223" bestFit="1" customWidth="1"/>
    <col min="6" max="6" width="11.5703125" style="149" bestFit="1" customWidth="1"/>
    <col min="7" max="7" width="14.28515625" style="149" bestFit="1" customWidth="1"/>
    <col min="8" max="8" width="11.7109375" style="223" bestFit="1" customWidth="1"/>
    <col min="9" max="9" width="12.42578125" style="157" bestFit="1" customWidth="1"/>
    <col min="10" max="10" width="14.28515625" style="149" bestFit="1" customWidth="1"/>
    <col min="11" max="15" width="9.140625" style="149"/>
    <col min="16" max="16" width="11.5703125" style="149" bestFit="1" customWidth="1"/>
    <col min="17" max="17" width="11.28515625" style="149" bestFit="1" customWidth="1"/>
    <col min="18" max="18" width="11.28515625" style="149" customWidth="1"/>
    <col min="19" max="19" width="13.42578125" style="149" customWidth="1"/>
    <col min="20" max="16384" width="9.140625" style="149"/>
  </cols>
  <sheetData>
    <row r="1" spans="1:22" ht="15.75" thickBot="1" x14ac:dyDescent="0.3">
      <c r="A1" s="247">
        <f>MONTH(E2)</f>
        <v>1</v>
      </c>
      <c r="B1" s="169" t="str">
        <f>'Rawhitiroa (T&amp;M) Actual'!B2</f>
        <v>Rawhitiroa</v>
      </c>
      <c r="F1" s="157"/>
      <c r="G1" s="157"/>
      <c r="J1" s="157"/>
      <c r="P1" s="149">
        <f>MONTH(Q2)</f>
        <v>1</v>
      </c>
      <c r="T1" t="s">
        <v>177</v>
      </c>
      <c r="U1" t="s">
        <v>178</v>
      </c>
    </row>
    <row r="2" spans="1:22" ht="15.75" thickBot="1" x14ac:dyDescent="0.3">
      <c r="A2" s="247" t="str">
        <f>_xlfn.XLOOKUP(A1,T2:T13,U2:U13,0,0)</f>
        <v>January</v>
      </c>
      <c r="B2" s="159"/>
      <c r="C2" s="159"/>
      <c r="D2" s="160"/>
      <c r="E2" s="238">
        <v>45658</v>
      </c>
      <c r="F2" s="161"/>
      <c r="G2" s="161"/>
      <c r="H2" s="230" t="s">
        <v>123</v>
      </c>
      <c r="I2" s="162"/>
      <c r="J2" s="163"/>
      <c r="M2" s="175"/>
      <c r="P2" t="s">
        <v>179</v>
      </c>
      <c r="Q2" s="248">
        <f>_xlfn.XLOOKUP(P2,U2:U13,V2:V13,0,0)</f>
        <v>45658</v>
      </c>
      <c r="R2" s="248"/>
      <c r="T2">
        <v>1</v>
      </c>
      <c r="U2" t="s">
        <v>179</v>
      </c>
      <c r="V2" s="249">
        <v>45658</v>
      </c>
    </row>
    <row r="3" spans="1:22" x14ac:dyDescent="0.25">
      <c r="B3" s="159"/>
      <c r="C3" s="159"/>
      <c r="D3" s="160"/>
      <c r="E3" s="224" t="s">
        <v>124</v>
      </c>
      <c r="F3" s="180" t="s">
        <v>125</v>
      </c>
      <c r="G3" s="180" t="s">
        <v>126</v>
      </c>
      <c r="H3" s="231" t="s">
        <v>124</v>
      </c>
      <c r="I3" s="180" t="s">
        <v>125</v>
      </c>
      <c r="J3" s="181" t="s">
        <v>126</v>
      </c>
      <c r="L3" s="447" t="s">
        <v>13</v>
      </c>
      <c r="M3" s="250" t="s">
        <v>125</v>
      </c>
      <c r="P3" s="250" t="s">
        <v>180</v>
      </c>
      <c r="Q3" s="250" t="s">
        <v>125</v>
      </c>
      <c r="R3" s="250" t="s">
        <v>180</v>
      </c>
      <c r="S3" s="250" t="s">
        <v>125</v>
      </c>
      <c r="T3">
        <v>2</v>
      </c>
      <c r="U3" t="s">
        <v>181</v>
      </c>
      <c r="V3" s="249">
        <v>45689</v>
      </c>
    </row>
    <row r="4" spans="1:22" ht="15.75" thickBot="1" x14ac:dyDescent="0.3">
      <c r="B4" s="164"/>
      <c r="C4" s="164"/>
      <c r="D4" s="165"/>
      <c r="E4" s="225" t="s">
        <v>127</v>
      </c>
      <c r="F4" s="166" t="s">
        <v>128</v>
      </c>
      <c r="G4" s="166" t="s">
        <v>129</v>
      </c>
      <c r="H4" s="232" t="s">
        <v>130</v>
      </c>
      <c r="I4" s="167" t="s">
        <v>131</v>
      </c>
      <c r="J4" s="168" t="s">
        <v>132</v>
      </c>
      <c r="L4" s="251"/>
      <c r="M4" s="251" t="s">
        <v>240</v>
      </c>
      <c r="P4" s="251" t="s">
        <v>203</v>
      </c>
      <c r="Q4" s="251" t="s">
        <v>203</v>
      </c>
      <c r="R4" s="251" t="s">
        <v>204</v>
      </c>
      <c r="S4" s="251" t="s">
        <v>204</v>
      </c>
      <c r="T4">
        <v>3</v>
      </c>
      <c r="U4" t="s">
        <v>182</v>
      </c>
      <c r="V4" s="249">
        <v>45717</v>
      </c>
    </row>
    <row r="5" spans="1:22" x14ac:dyDescent="0.25">
      <c r="B5" s="169" t="s">
        <v>133</v>
      </c>
      <c r="C5" s="169"/>
      <c r="D5" s="158" t="s">
        <v>134</v>
      </c>
      <c r="E5" s="375">
        <f>HLOOKUP($E$2,'Rawhitiroa (T&amp;M) Actual'!$J$3:$U$16,14,0)</f>
        <v>0</v>
      </c>
      <c r="F5" s="221">
        <f>HLOOKUP($E$2,'Rawhitiroa (T&amp;M) Budget'!$J$3:$U$16,14,0)</f>
        <v>0</v>
      </c>
      <c r="G5" s="182">
        <f>E5-F5</f>
        <v>0</v>
      </c>
      <c r="H5" s="233">
        <f>SUMIFS('Rawhitiroa (T&amp;M) Actual'!$J$16:$U$16,'Rawhitiroa (T&amp;M) Actual'!$J$3:$U$3,"&lt;="&amp;Summary_5!$E$2)</f>
        <v>0</v>
      </c>
      <c r="I5" s="183">
        <f>SUMIFS('Rawhitiroa (T&amp;M) Budget'!$J$16:$U$16,'Rawhitiroa (T&amp;M) Budget'!$J$3:$U$3,"&lt;="&amp;Summary_5!$E$2)</f>
        <v>0</v>
      </c>
      <c r="J5" s="184">
        <f>H5-I5</f>
        <v>0</v>
      </c>
      <c r="L5" s="442" t="s">
        <v>20</v>
      </c>
      <c r="M5" s="443">
        <f>$S$5*'Rawhitiroa (T&amp;M) Budget'!C20</f>
        <v>0</v>
      </c>
      <c r="P5" s="252">
        <f>HLOOKUP($Q$2,'Rawhitiroa (T&amp;M) Actual'!$J$3:$U$16,14,0)</f>
        <v>0</v>
      </c>
      <c r="Q5" s="252">
        <f>HLOOKUP($Q$2,'Rawhitiroa (T&amp;M) Budget'!$J$3:$U$16,14,0)</f>
        <v>0</v>
      </c>
      <c r="R5" s="252">
        <f>HLOOKUP($Q$2,'Rawhitiroa (T&amp;M) Actual'!$J$3:$U$16,14,0)</f>
        <v>0</v>
      </c>
      <c r="S5" s="252">
        <f>HLOOKUP($Q$2,'Rawhitiroa (T&amp;M) Budget'!$J$3:$U$16,14,0)</f>
        <v>0</v>
      </c>
      <c r="T5">
        <v>4</v>
      </c>
      <c r="U5" t="s">
        <v>183</v>
      </c>
      <c r="V5" s="249">
        <v>45748</v>
      </c>
    </row>
    <row r="6" spans="1:22" x14ac:dyDescent="0.25">
      <c r="B6" s="169"/>
      <c r="C6" s="169"/>
      <c r="E6" s="220"/>
      <c r="F6" s="151"/>
      <c r="H6" s="234"/>
      <c r="I6" s="183"/>
      <c r="J6" s="185"/>
      <c r="L6" s="444" t="s">
        <v>22</v>
      </c>
      <c r="M6" s="189">
        <f>$S$5*'Rawhitiroa (T&amp;M) Budget'!C21</f>
        <v>0</v>
      </c>
      <c r="P6" s="252"/>
      <c r="Q6" s="252"/>
      <c r="R6" s="252"/>
      <c r="S6" s="252"/>
      <c r="T6">
        <v>5</v>
      </c>
      <c r="U6" t="s">
        <v>184</v>
      </c>
      <c r="V6" s="249">
        <v>45778</v>
      </c>
    </row>
    <row r="7" spans="1:22" x14ac:dyDescent="0.25">
      <c r="B7" s="170" t="s">
        <v>135</v>
      </c>
      <c r="C7" s="170"/>
      <c r="D7" s="171" t="s">
        <v>136</v>
      </c>
      <c r="E7" s="219" t="e">
        <f>(HLOOKUP($E$2,'Rawhitiroa (T&amp;M) Actual'!$J$19:$U$46,28,0))/E5</f>
        <v>#DIV/0!</v>
      </c>
      <c r="F7" s="218" t="e">
        <f>(HLOOKUP($E$2,'Rawhitiroa (T&amp;M) Budget'!$J$19:$U$46,28,0))/F5</f>
        <v>#DIV/0!</v>
      </c>
      <c r="G7" s="177" t="e">
        <f>E7-F7</f>
        <v>#DIV/0!</v>
      </c>
      <c r="H7" s="235" t="e">
        <f>SUMIFS('Rawhitiroa (T&amp;M) Actual'!$J$46:$U$46,'Rawhitiroa (T&amp;M) Actual'!J19:U19,"&lt;="&amp;Summary_5!$E$2)/H5</f>
        <v>#DIV/0!</v>
      </c>
      <c r="I7" s="179" t="e">
        <f>SUMIFS('Rawhitiroa (T&amp;M) Budget'!$J$46:$U$46,'Rawhitiroa (T&amp;M) Budget'!J19:U19,"&lt;="&amp;Summary_5!$E$2)/I5</f>
        <v>#DIV/0!</v>
      </c>
      <c r="J7" s="186" t="e">
        <f>H7-I7</f>
        <v>#DIV/0!</v>
      </c>
      <c r="L7" s="444" t="s">
        <v>25</v>
      </c>
      <c r="M7" s="189">
        <f>$S$5*'Rawhitiroa (T&amp;M) Budget'!C22</f>
        <v>0</v>
      </c>
      <c r="P7" s="253">
        <f>IFERROR(HLOOKUP($Q$2,'Rawhitiroa (T&amp;M) Actual'!$J$19:$U$46,28,0)/P5,0)</f>
        <v>0</v>
      </c>
      <c r="Q7" s="253">
        <f>IFERROR(HLOOKUP($Q$2,'Rawhitiroa (T&amp;M) Budget'!$J$19:$U$46,28,0)/Q5,0)</f>
        <v>0</v>
      </c>
      <c r="R7" s="253">
        <f>HLOOKUP($Q$2,'Rawhitiroa (T&amp;M) Actual'!$J$19:$U$46,28,0)</f>
        <v>0</v>
      </c>
      <c r="S7" s="253">
        <f>(HLOOKUP($Q$2,'Rawhitiroa (T&amp;M) Budget'!$J$19:$U$46,28,0))</f>
        <v>0</v>
      </c>
      <c r="T7">
        <v>6</v>
      </c>
      <c r="U7" t="s">
        <v>185</v>
      </c>
      <c r="V7" s="249">
        <v>45809</v>
      </c>
    </row>
    <row r="8" spans="1:22" x14ac:dyDescent="0.25">
      <c r="E8" s="220"/>
      <c r="F8" s="151"/>
      <c r="H8" s="234"/>
      <c r="I8" s="183"/>
      <c r="J8" s="185"/>
      <c r="L8" s="444" t="s">
        <v>30</v>
      </c>
      <c r="M8" s="189">
        <f>$S$5*'Rawhitiroa (T&amp;M) Budget'!C23</f>
        <v>0</v>
      </c>
      <c r="P8" s="252"/>
      <c r="Q8" s="252"/>
      <c r="R8" s="252"/>
      <c r="S8" s="252"/>
      <c r="T8">
        <v>7</v>
      </c>
      <c r="U8" t="s">
        <v>186</v>
      </c>
      <c r="V8" s="249">
        <v>45839</v>
      </c>
    </row>
    <row r="9" spans="1:22" x14ac:dyDescent="0.25">
      <c r="B9" s="170" t="s">
        <v>137</v>
      </c>
      <c r="C9" s="170"/>
      <c r="D9" s="171" t="s">
        <v>138</v>
      </c>
      <c r="E9" s="219" t="e">
        <f>HLOOKUP($E$2,'Rawhitiroa (T&amp;M) Actual'!$J$50:$U$51,2,0)/E5</f>
        <v>#DIV/0!</v>
      </c>
      <c r="F9" s="218" t="e">
        <f>HLOOKUP($E$2,'Rawhitiroa (T&amp;M) Budget'!$J$50:$U$51,2,0)/F5</f>
        <v>#DIV/0!</v>
      </c>
      <c r="G9" s="176" t="e">
        <f>F9-E9</f>
        <v>#DIV/0!</v>
      </c>
      <c r="H9" s="235" t="e">
        <f>SUMIFS('Rawhitiroa (T&amp;M) Actual'!$J$51:$U$51,'Rawhitiroa (T&amp;M) Actual'!J50:U50,"&lt;="&amp;Summary_5!$E$2)/H5</f>
        <v>#DIV/0!</v>
      </c>
      <c r="I9" s="179" t="e">
        <f>SUMIFS('Rawhitiroa (T&amp;M) Budget'!$J$51:$U$51,'Rawhitiroa (T&amp;M) Budget'!J50:U50,"&lt;="&amp;Summary_5!$E$2)/I5</f>
        <v>#DIV/0!</v>
      </c>
      <c r="J9" s="187" t="e">
        <f>I9-H9</f>
        <v>#DIV/0!</v>
      </c>
      <c r="L9" s="444" t="s">
        <v>222</v>
      </c>
      <c r="M9" s="189">
        <f>$S$5*'Rawhitiroa (T&amp;M) Budget'!C24</f>
        <v>0</v>
      </c>
      <c r="P9" s="253">
        <f>IFERROR(HLOOKUP($Q$2,'Rawhitiroa (T&amp;M) Actual'!$J$50:$U$51,2,0)/P5,0)</f>
        <v>0</v>
      </c>
      <c r="Q9" s="253">
        <f>IFERROR(HLOOKUP($Q$2,'Rawhitiroa (T&amp;M) Budget'!$J$50:$U$51,2,0)/Q5,0)</f>
        <v>0</v>
      </c>
      <c r="R9" s="253">
        <f>HLOOKUP($Q$2,'Rawhitiroa (T&amp;M) Actual'!$J$50:$U$51,2,0)</f>
        <v>0</v>
      </c>
      <c r="S9" s="253">
        <f>HLOOKUP($Q$2,'Rawhitiroa (T&amp;M) Budget'!$J$50:$U$51,2,0)</f>
        <v>0</v>
      </c>
      <c r="T9">
        <v>8</v>
      </c>
      <c r="U9" t="s">
        <v>187</v>
      </c>
      <c r="V9" s="249">
        <v>45870</v>
      </c>
    </row>
    <row r="10" spans="1:22" x14ac:dyDescent="0.25">
      <c r="E10" s="220"/>
      <c r="F10" s="151"/>
      <c r="H10" s="234"/>
      <c r="I10" s="183"/>
      <c r="J10" s="185"/>
      <c r="L10" s="444" t="s">
        <v>34</v>
      </c>
      <c r="M10" s="189">
        <f>$S$5*'Rawhitiroa (T&amp;M) Budget'!C25</f>
        <v>0</v>
      </c>
      <c r="P10" s="252"/>
      <c r="Q10" s="252"/>
      <c r="R10" s="252"/>
      <c r="S10" s="252"/>
      <c r="T10">
        <v>9</v>
      </c>
      <c r="U10" t="s">
        <v>188</v>
      </c>
      <c r="V10" s="249">
        <v>45901</v>
      </c>
    </row>
    <row r="11" spans="1:22" x14ac:dyDescent="0.25">
      <c r="B11" s="170" t="s">
        <v>139</v>
      </c>
      <c r="C11" s="170"/>
      <c r="D11" s="171" t="s">
        <v>140</v>
      </c>
      <c r="E11" s="219" t="e">
        <f>HLOOKUP($E$2,'Rawhitiroa (T&amp;M) Actual'!$J$55:$U$78,24,0)/E5</f>
        <v>#DIV/0!</v>
      </c>
      <c r="F11" s="218" t="e">
        <f>HLOOKUP($E$2,'Rawhitiroa (T&amp;M) Budget'!$J$55:$U$78,24,0)/F5</f>
        <v>#DIV/0!</v>
      </c>
      <c r="G11" s="176" t="e">
        <f>F11-E11</f>
        <v>#DIV/0!</v>
      </c>
      <c r="H11" s="235" t="e">
        <f>SUMIFS('Rawhitiroa (T&amp;M) Actual'!$J$78:$U$78,'Rawhitiroa (T&amp;M) Actual'!$J$55:$U$55,"&lt;="&amp;Summary_5!$E$2)/H5</f>
        <v>#DIV/0!</v>
      </c>
      <c r="I11" s="179" t="e">
        <f>SUMIFS('Rawhitiroa (T&amp;M) Budget'!$J$78:$U$78,'Rawhitiroa (T&amp;M) Budget'!$J$55:$U$55,"&lt;="&amp;Summary_5!$E$2)/I5</f>
        <v>#DIV/0!</v>
      </c>
      <c r="J11" s="187" t="e">
        <f>I11-H11</f>
        <v>#DIV/0!</v>
      </c>
      <c r="L11" s="444" t="s">
        <v>37</v>
      </c>
      <c r="M11" s="189">
        <f>$S$5*'Rawhitiroa (T&amp;M) Budget'!C26</f>
        <v>0</v>
      </c>
      <c r="P11" s="253">
        <f>IFERROR(HLOOKUP($Q$2,'Rawhitiroa (T&amp;M) Actual'!$J$55:$U$78,24,0)/P5,0)</f>
        <v>0</v>
      </c>
      <c r="Q11" s="253">
        <f>IFERROR(HLOOKUP($Q$2,'Rawhitiroa (T&amp;M) Budget'!$J$55:$U$78,24,0)/Q5,0)</f>
        <v>0</v>
      </c>
      <c r="R11" s="253">
        <f>HLOOKUP($Q$2,'Rawhitiroa (T&amp;M) Actual'!$J$55:$U$78,24,0)</f>
        <v>0</v>
      </c>
      <c r="S11" s="253">
        <f>HLOOKUP($Q$2,'Rawhitiroa (T&amp;M) Budget'!$J$55:$U$78,24,0)</f>
        <v>0</v>
      </c>
      <c r="T11">
        <v>10</v>
      </c>
      <c r="U11" t="s">
        <v>189</v>
      </c>
      <c r="V11" s="249">
        <v>45931</v>
      </c>
    </row>
    <row r="12" spans="1:22" x14ac:dyDescent="0.25">
      <c r="E12" s="220"/>
      <c r="F12" s="373"/>
      <c r="H12" s="234"/>
      <c r="I12" s="183"/>
      <c r="J12" s="185"/>
      <c r="L12" s="444" t="s">
        <v>174</v>
      </c>
      <c r="M12" s="189">
        <f>$S$5*'Rawhitiroa (T&amp;M) Budget'!C27</f>
        <v>0</v>
      </c>
      <c r="P12" s="252"/>
      <c r="Q12" s="252"/>
      <c r="R12" s="252"/>
      <c r="S12" s="252"/>
      <c r="T12">
        <v>11</v>
      </c>
      <c r="U12" t="s">
        <v>190</v>
      </c>
      <c r="V12" s="249">
        <v>45962</v>
      </c>
    </row>
    <row r="13" spans="1:22" x14ac:dyDescent="0.25">
      <c r="B13" s="157" t="s">
        <v>52</v>
      </c>
      <c r="C13" s="157" t="s">
        <v>53</v>
      </c>
      <c r="E13" s="220" t="e">
        <f>HLOOKUP($E$2,'Rawhitiroa (T&amp;M) Actual'!$J$81:$U$105,2,0)/$E$5</f>
        <v>#DIV/0!</v>
      </c>
      <c r="F13" s="221" t="e">
        <f>HLOOKUP($E$2,'Rawhitiroa (T&amp;M) Budget'!$J$81:$U$105,2,0)/$F$5</f>
        <v>#DIV/0!</v>
      </c>
      <c r="G13" s="188" t="e">
        <f t="shared" ref="G13:G20" si="0">F13-E13</f>
        <v>#DIV/0!</v>
      </c>
      <c r="H13" s="234" t="e">
        <f>SUMIFS('Rawhitiroa (T&amp;M) Actual'!$J$82:$U$82,'Rawhitiroa (T&amp;M) Actual'!$J$81:$U$81,"&lt;="&amp;Summary_5!$E$2)/H5</f>
        <v>#DIV/0!</v>
      </c>
      <c r="I13" s="183" t="e">
        <f>SUMIFS('Rawhitiroa (T&amp;M) Budget'!$J$82:$U$82,'Rawhitiroa (T&amp;M) Budget'!$J$81:$U$81,"&lt;="&amp;Summary_5!$E$2)/I5</f>
        <v>#DIV/0!</v>
      </c>
      <c r="J13" s="189" t="e">
        <f t="shared" ref="J13:J20" si="1">I13-H13</f>
        <v>#DIV/0!</v>
      </c>
      <c r="L13" s="444" t="s">
        <v>202</v>
      </c>
      <c r="M13" s="189">
        <f>$S$5*'Rawhitiroa (T&amp;M) Budget'!C28</f>
        <v>0</v>
      </c>
      <c r="P13" s="252">
        <f>IFERROR(HLOOKUP($Q$2,'Rawhitiroa (T&amp;M) Actual'!$J$81:$U$105,2,0)/$P$5,0)</f>
        <v>0</v>
      </c>
      <c r="Q13" s="252">
        <f>IFERROR(HLOOKUP($Q$2,'Rawhitiroa (T&amp;M) Budget'!$J$81:$U$105,2,0)/$Q$5,0)</f>
        <v>0</v>
      </c>
      <c r="R13" s="252">
        <f>HLOOKUP($Q$2,'Rawhitiroa (T&amp;M) Actual'!$J$81:$U$105,2,0)</f>
        <v>0</v>
      </c>
      <c r="S13" s="252">
        <f>HLOOKUP($Q$2,'Rawhitiroa (T&amp;M) Budget'!$J$81:$U$105,2,0)</f>
        <v>0</v>
      </c>
      <c r="T13">
        <v>12</v>
      </c>
      <c r="U13" t="s">
        <v>191</v>
      </c>
      <c r="V13" s="249">
        <v>45992</v>
      </c>
    </row>
    <row r="14" spans="1:22" x14ac:dyDescent="0.25">
      <c r="B14" s="157" t="s">
        <v>227</v>
      </c>
      <c r="C14" s="157" t="s">
        <v>53</v>
      </c>
      <c r="E14" s="220" t="e">
        <f>HLOOKUP($E$2,'Rawhitiroa (T&amp;M) Actual'!$J$81:$U$105,3,0)/$E$5</f>
        <v>#DIV/0!</v>
      </c>
      <c r="F14" s="221" t="e">
        <f>HLOOKUP($E$2,'Rawhitiroa (T&amp;M) Budget'!$J$81:$U$105,3,0)/$F$5</f>
        <v>#DIV/0!</v>
      </c>
      <c r="G14" s="188" t="e">
        <f t="shared" si="0"/>
        <v>#DIV/0!</v>
      </c>
      <c r="H14" s="234" t="e">
        <f>SUMIFS('Rawhitiroa (T&amp;M) Actual'!$J$83:$U$83,'Rawhitiroa (T&amp;M) Actual'!$J$81:$U$81,"&lt;="&amp;Summary_5!$E$2)/H5</f>
        <v>#DIV/0!</v>
      </c>
      <c r="I14" s="183" t="e">
        <f>SUMIFS('Rawhitiroa (T&amp;M) Budget'!$J$83:$U$83,'Rawhitiroa (T&amp;M) Budget'!$J$81:$U$81,"&lt;="&amp;Summary_5!$E$2)/I5</f>
        <v>#DIV/0!</v>
      </c>
      <c r="J14" s="189" t="e">
        <f t="shared" si="1"/>
        <v>#DIV/0!</v>
      </c>
      <c r="L14" s="444" t="s">
        <v>175</v>
      </c>
      <c r="M14" s="189">
        <f>$S$5*'Rawhitiroa (T&amp;M) Budget'!C29</f>
        <v>0</v>
      </c>
      <c r="P14" s="252">
        <f>IFERROR(HLOOKUP($Q$2,'Rawhitiroa (T&amp;M) Actual'!$J$81:$U$105,3,0)/$P$5,0)</f>
        <v>0</v>
      </c>
      <c r="Q14" s="252">
        <f>IFERROR(HLOOKUP($Q$2,'Rawhitiroa (T&amp;M) Budget'!$J$81:$U$105,3,0)/$Q$5,0)</f>
        <v>0</v>
      </c>
      <c r="R14" s="252">
        <f>HLOOKUP($Q$2,'Rawhitiroa (T&amp;M) Actual'!$J$81:$U$105,3,0)</f>
        <v>0</v>
      </c>
      <c r="S14" s="252">
        <f>HLOOKUP($Q$2,'Rawhitiroa (T&amp;M) Budget'!$J$81:$U$105,3,0)</f>
        <v>0</v>
      </c>
    </row>
    <row r="15" spans="1:22" x14ac:dyDescent="0.25">
      <c r="B15" s="157" t="s">
        <v>54</v>
      </c>
      <c r="C15" s="157" t="s">
        <v>53</v>
      </c>
      <c r="E15" s="220" t="e">
        <f>HLOOKUP($E$2,'Rawhitiroa (T&amp;M) Actual'!$J$81:$U$105,4,0)/$E$5</f>
        <v>#DIV/0!</v>
      </c>
      <c r="F15" s="221" t="e">
        <f>HLOOKUP($E$2,'Rawhitiroa (T&amp;M) Budget'!$J$81:$U$105,4,0)/$F$5</f>
        <v>#DIV/0!</v>
      </c>
      <c r="G15" s="188" t="e">
        <f t="shared" si="0"/>
        <v>#DIV/0!</v>
      </c>
      <c r="H15" s="234" t="e">
        <f>SUMIFS('Rawhitiroa (T&amp;M) Actual'!$J$84:$U$84,'Rawhitiroa (T&amp;M) Actual'!$J$81:$U$81,"&lt;="&amp;Summary_5!$E$2)/H5</f>
        <v>#DIV/0!</v>
      </c>
      <c r="I15" s="183" t="e">
        <f>SUMIFS('Rawhitiroa (T&amp;M) Budget'!$J$84:$U$84,'Rawhitiroa (T&amp;M) Budget'!$J$81:$U$81,"&lt;="&amp;Summary_5!$E$2)/I5</f>
        <v>#DIV/0!</v>
      </c>
      <c r="J15" s="189" t="e">
        <f t="shared" si="1"/>
        <v>#DIV/0!</v>
      </c>
      <c r="L15" s="444" t="s">
        <v>176</v>
      </c>
      <c r="M15" s="189">
        <f>$S$5*'Rawhitiroa (T&amp;M) Budget'!C30</f>
        <v>0</v>
      </c>
      <c r="P15" s="252">
        <f>IFERROR(HLOOKUP($Q$2,'Rawhitiroa (T&amp;M) Actual'!$J$81:$U$105,4,0)/$P$5,0)</f>
        <v>0</v>
      </c>
      <c r="Q15" s="252">
        <f>IFERROR(HLOOKUP($Q$2,'Rawhitiroa (T&amp;M) Budget'!$J$81:$U$105,4,0)/$Q$5,0)</f>
        <v>0</v>
      </c>
      <c r="R15" s="252">
        <f>HLOOKUP($Q$2,'Rawhitiroa (T&amp;M) Actual'!$J$81:$U$105,4,0)</f>
        <v>0</v>
      </c>
      <c r="S15" s="252">
        <f>HLOOKUP($Q$2,'Rawhitiroa (T&amp;M) Budget'!$J$81:$U$105,4,0)</f>
        <v>0</v>
      </c>
    </row>
    <row r="16" spans="1:22" x14ac:dyDescent="0.25">
      <c r="B16" s="157" t="s">
        <v>55</v>
      </c>
      <c r="C16" s="157" t="s">
        <v>53</v>
      </c>
      <c r="E16" s="220" t="e">
        <f>HLOOKUP($E$2,'Rawhitiroa (T&amp;M) Actual'!$J$81:$U$105,5,0)/$E$5</f>
        <v>#DIV/0!</v>
      </c>
      <c r="F16" s="221" t="e">
        <f>HLOOKUP($E$2,'Rawhitiroa (T&amp;M) Budget'!$J$81:$U$105,5,0)/$F$5</f>
        <v>#DIV/0!</v>
      </c>
      <c r="G16" s="188" t="e">
        <f t="shared" si="0"/>
        <v>#DIV/0!</v>
      </c>
      <c r="H16" s="234" t="e">
        <f>SUMIFS('Rawhitiroa (T&amp;M) Actual'!$J$85:$U$85,'Rawhitiroa (T&amp;M) Actual'!$J$81:$U$81,"&lt;="&amp;Summary_5!$E$2)/H5</f>
        <v>#DIV/0!</v>
      </c>
      <c r="I16" s="183" t="e">
        <f>SUMIFS('Rawhitiroa (T&amp;M) Budget'!$J$85:$U$85,'Rawhitiroa (T&amp;M) Budget'!$J$81:$U$81,"&lt;="&amp;Summary_5!$E$2)/I5</f>
        <v>#DIV/0!</v>
      </c>
      <c r="J16" s="189" t="e">
        <f t="shared" si="1"/>
        <v>#DIV/0!</v>
      </c>
      <c r="L16" s="444" t="s">
        <v>23</v>
      </c>
      <c r="M16" s="189">
        <f>$S$5*'Rawhitiroa (T&amp;M) Budget'!C31</f>
        <v>0</v>
      </c>
      <c r="P16" s="252">
        <f>IFERROR(HLOOKUP($Q$2,'Rawhitiroa (T&amp;M) Actual'!$J$81:$U$105,5,0)/$P$5,0)</f>
        <v>0</v>
      </c>
      <c r="Q16" s="252">
        <f>IFERROR(HLOOKUP($Q$2,'Rawhitiroa (T&amp;M) Budget'!$J$81:$U$105,5,0)/$Q$5,0)</f>
        <v>0</v>
      </c>
      <c r="R16" s="252">
        <f>HLOOKUP($Q$2,'Rawhitiroa (T&amp;M) Actual'!$J$81:$U$105,5,0)</f>
        <v>0</v>
      </c>
      <c r="S16" s="252">
        <f>HLOOKUP($Q$2,'Rawhitiroa (T&amp;M) Budget'!$J$81:$U$105,5,0)</f>
        <v>0</v>
      </c>
    </row>
    <row r="17" spans="2:19" x14ac:dyDescent="0.25">
      <c r="B17" s="157" t="s">
        <v>228</v>
      </c>
      <c r="C17" s="157" t="s">
        <v>53</v>
      </c>
      <c r="E17" s="220" t="e">
        <f>HLOOKUP($E$2,'Rawhitiroa (T&amp;M) Actual'!$J$81:$U$105,6,0)/$E$5</f>
        <v>#DIV/0!</v>
      </c>
      <c r="F17" s="221" t="e">
        <f>HLOOKUP($E$2,'Rawhitiroa (T&amp;M) Budget'!$J$81:$U$105,6,0)/$F$5</f>
        <v>#DIV/0!</v>
      </c>
      <c r="G17" s="188" t="e">
        <f t="shared" si="0"/>
        <v>#DIV/0!</v>
      </c>
      <c r="H17" s="234" t="e">
        <f>SUMIFS('Rawhitiroa (T&amp;M) Actual'!$J$86:$U$86,'Rawhitiroa (T&amp;M) Actual'!$J$81:$U$81,"&lt;="&amp;Summary_5!$E$2)/H5</f>
        <v>#DIV/0!</v>
      </c>
      <c r="I17" s="183" t="e">
        <f>SUMIFS('Rawhitiroa (T&amp;M) Budget'!$J$86:$U$86,'Rawhitiroa (T&amp;M) Budget'!$J$81:$U$81,"&lt;="&amp;Summary_5!$E$2)/I5</f>
        <v>#DIV/0!</v>
      </c>
      <c r="J17" s="189" t="e">
        <f t="shared" si="1"/>
        <v>#DIV/0!</v>
      </c>
      <c r="L17" s="444" t="s">
        <v>24</v>
      </c>
      <c r="M17" s="189">
        <f>$S$5*'Rawhitiroa (T&amp;M) Budget'!C32</f>
        <v>0</v>
      </c>
      <c r="P17" s="252">
        <f>IFERROR(HLOOKUP($Q$2,'Rawhitiroa (T&amp;M) Actual'!$J$81:$U$105,6,0)/$P$5,0)</f>
        <v>0</v>
      </c>
      <c r="Q17" s="252">
        <f>IFERROR(HLOOKUP($Q$2,'Rawhitiroa (T&amp;M) Budget'!$J$81:$U$105,6,0)/$Q$5,0)</f>
        <v>0</v>
      </c>
      <c r="R17" s="252">
        <f>HLOOKUP($Q$2,'Rawhitiroa (T&amp;M) Actual'!$J$81:$U$105,6,0)</f>
        <v>0</v>
      </c>
      <c r="S17" s="252">
        <f>HLOOKUP($Q$2,'Rawhitiroa (T&amp;M) Budget'!$J$81:$U$105,6,0)</f>
        <v>0</v>
      </c>
    </row>
    <row r="18" spans="2:19" x14ac:dyDescent="0.25">
      <c r="B18" s="157" t="s">
        <v>56</v>
      </c>
      <c r="C18" s="157" t="s">
        <v>53</v>
      </c>
      <c r="E18" s="220" t="e">
        <f>HLOOKUP($E$2,'Rawhitiroa (T&amp;M) Actual'!$J$81:$U$105,7,0)/$E$5</f>
        <v>#DIV/0!</v>
      </c>
      <c r="F18" s="221" t="e">
        <f>HLOOKUP($E$2,'Rawhitiroa (T&amp;M) Budget'!$J$81:$U$105,7,0)/$F$5</f>
        <v>#DIV/0!</v>
      </c>
      <c r="G18" s="188" t="e">
        <f t="shared" si="0"/>
        <v>#DIV/0!</v>
      </c>
      <c r="H18" s="234" t="e">
        <f>SUMIFS('Rawhitiroa (T&amp;M) Actual'!$J$87:$U$87,'Rawhitiroa (T&amp;M) Actual'!$J$81:$U$81,"&lt;="&amp;Summary_5!$E$2)/H5</f>
        <v>#DIV/0!</v>
      </c>
      <c r="I18" s="183" t="e">
        <f>SUMIFS('Rawhitiroa (T&amp;M) Budget'!$J$87:$U$87,'Rawhitiroa (T&amp;M) Budget'!$J$81:$U$81,"&lt;="&amp;Summary_5!$E$2)/I5</f>
        <v>#DIV/0!</v>
      </c>
      <c r="J18" s="189" t="e">
        <f t="shared" si="1"/>
        <v>#DIV/0!</v>
      </c>
      <c r="L18" s="444" t="s">
        <v>26</v>
      </c>
      <c r="M18" s="189">
        <f>$S$5*'Rawhitiroa (T&amp;M) Budget'!C33</f>
        <v>0</v>
      </c>
      <c r="P18" s="252">
        <f>IFERROR(HLOOKUP($Q$2,'Rawhitiroa (T&amp;M) Actual'!$J$81:$U$105,7,0)/$P$5,0)</f>
        <v>0</v>
      </c>
      <c r="Q18" s="252">
        <f>IFERROR(HLOOKUP($Q$2,'Rawhitiroa (T&amp;M) Budget'!$J$81:$U$105,7,0)/$Q$5,0)</f>
        <v>0</v>
      </c>
      <c r="R18" s="252">
        <f>HLOOKUP($Q$2,'Rawhitiroa (T&amp;M) Actual'!$J$81:$U$105,7,0)</f>
        <v>0</v>
      </c>
      <c r="S18" s="252">
        <f>HLOOKUP($Q$2,'Rawhitiroa (T&amp;M) Budget'!$J$81:$U$105,7,0)</f>
        <v>0</v>
      </c>
    </row>
    <row r="19" spans="2:19" x14ac:dyDescent="0.25">
      <c r="B19" s="157" t="s">
        <v>57</v>
      </c>
      <c r="C19" s="157" t="s">
        <v>53</v>
      </c>
      <c r="E19" s="220" t="e">
        <f>HLOOKUP($E$2,'Rawhitiroa (T&amp;M) Actual'!$J$81:$U$105,8,0)/$E$5</f>
        <v>#DIV/0!</v>
      </c>
      <c r="F19" s="221" t="e">
        <f>HLOOKUP($E$2,'Rawhitiroa (T&amp;M) Budget'!$J$81:$U$105,8,0)/$F$5</f>
        <v>#DIV/0!</v>
      </c>
      <c r="G19" s="188" t="e">
        <f t="shared" si="0"/>
        <v>#DIV/0!</v>
      </c>
      <c r="H19" s="234" t="e">
        <f>SUMIFS('Rawhitiroa (T&amp;M) Actual'!$J$88:$U$88,'Rawhitiroa (T&amp;M) Actual'!$J$81:$U$81,"&lt;="&amp;Summary_5!$E$2)/H5</f>
        <v>#DIV/0!</v>
      </c>
      <c r="I19" s="183" t="e">
        <f>SUMIFS('Rawhitiroa (T&amp;M) Budget'!$J$88:$U$88,'Rawhitiroa (T&amp;M) Budget'!$J$81:$U$81,"&lt;="&amp;Summary_5!$E$2)/I5</f>
        <v>#DIV/0!</v>
      </c>
      <c r="J19" s="189" t="e">
        <f t="shared" si="1"/>
        <v>#DIV/0!</v>
      </c>
      <c r="L19" s="444" t="s">
        <v>27</v>
      </c>
      <c r="M19" s="189">
        <f>$S$5*'Rawhitiroa (T&amp;M) Budget'!C34</f>
        <v>0</v>
      </c>
      <c r="P19" s="252">
        <f>IFERROR(HLOOKUP($Q$2,'Rawhitiroa (T&amp;M) Actual'!$J$81:$U$105,8,0)/$P$5,0)</f>
        <v>0</v>
      </c>
      <c r="Q19" s="252">
        <f>IFERROR(HLOOKUP($Q$2,'Rawhitiroa (T&amp;M) Budget'!$J$81:$U$105,8,0)/$Q$5,0)</f>
        <v>0</v>
      </c>
      <c r="R19" s="252">
        <f>HLOOKUP($Q$2,'Rawhitiroa (T&amp;M) Actual'!$J$81:$U$105,8,0)</f>
        <v>0</v>
      </c>
      <c r="S19" s="252">
        <f>HLOOKUP($Q$2,'Rawhitiroa (T&amp;M) Budget'!$J$81:$U$105,8,0)</f>
        <v>0</v>
      </c>
    </row>
    <row r="20" spans="2:19" x14ac:dyDescent="0.25">
      <c r="B20" s="172" t="s">
        <v>229</v>
      </c>
      <c r="C20" s="172" t="s">
        <v>53</v>
      </c>
      <c r="D20" s="171"/>
      <c r="E20" s="219" t="e">
        <f>HLOOKUP($E$2,'Rawhitiroa (T&amp;M) Actual'!$J$81:$U$105,9,0)/$E$5</f>
        <v>#DIV/0!</v>
      </c>
      <c r="F20" s="218" t="e">
        <f>HLOOKUP($E$2,'Rawhitiroa (T&amp;M) Budget'!$J$81:$U$105,9,0)/$F$5</f>
        <v>#DIV/0!</v>
      </c>
      <c r="G20" s="176" t="e">
        <f t="shared" si="0"/>
        <v>#DIV/0!</v>
      </c>
      <c r="H20" s="235" t="e">
        <f>SUMIFS('Rawhitiroa (T&amp;M) Actual'!$J$89:$U$89,'Rawhitiroa (T&amp;M) Actual'!$J$81:$U$81,"&lt;="&amp;Summary_5!$E$2)/H5</f>
        <v>#DIV/0!</v>
      </c>
      <c r="I20" s="179" t="e">
        <f>SUMIFS('Rawhitiroa (T&amp;M) Budget'!$J$89:$U$89,'Rawhitiroa (T&amp;M) Budget'!$J$81:$U$81,"&lt;="&amp;Summary_5!$E$2)/I5</f>
        <v>#DIV/0!</v>
      </c>
      <c r="J20" s="187" t="e">
        <f t="shared" si="1"/>
        <v>#DIV/0!</v>
      </c>
      <c r="L20" s="444" t="s">
        <v>29</v>
      </c>
      <c r="M20" s="189">
        <f>$S$5*'Rawhitiroa (T&amp;M) Budget'!C35</f>
        <v>0</v>
      </c>
      <c r="P20" s="253">
        <f>IFERROR(HLOOKUP($Q$2,'Rawhitiroa (T&amp;M) Actual'!$J$81:$U$105,9,0)/$P$5,0)</f>
        <v>0</v>
      </c>
      <c r="Q20" s="253">
        <f>IFERROR(HLOOKUP($Q$2,'Rawhitiroa (T&amp;M) Budget'!$J$81:$U$105,9,0)/$Q$5,0)</f>
        <v>0</v>
      </c>
      <c r="R20" s="253">
        <f>HLOOKUP($Q$2,'Rawhitiroa (T&amp;M) Actual'!$J$81:$U$105,9,0)</f>
        <v>0</v>
      </c>
      <c r="S20" s="253">
        <f>HLOOKUP($Q$2,'Rawhitiroa (T&amp;M) Budget'!$J$81:$U$105,9,0)</f>
        <v>0</v>
      </c>
    </row>
    <row r="21" spans="2:19" x14ac:dyDescent="0.25">
      <c r="B21" s="169" t="s">
        <v>141</v>
      </c>
      <c r="C21" s="169" t="s">
        <v>53</v>
      </c>
      <c r="D21" s="158" t="s">
        <v>142</v>
      </c>
      <c r="E21" s="220" t="e">
        <f t="shared" ref="E21:J21" si="2">SUM(E13:E20)</f>
        <v>#DIV/0!</v>
      </c>
      <c r="F21" s="221" t="e">
        <f t="shared" si="2"/>
        <v>#DIV/0!</v>
      </c>
      <c r="G21" s="188" t="e">
        <f t="shared" si="2"/>
        <v>#DIV/0!</v>
      </c>
      <c r="H21" s="234" t="e">
        <f t="shared" si="2"/>
        <v>#DIV/0!</v>
      </c>
      <c r="I21" s="183" t="e">
        <f t="shared" si="2"/>
        <v>#DIV/0!</v>
      </c>
      <c r="J21" s="189" t="e">
        <f t="shared" si="2"/>
        <v>#DIV/0!</v>
      </c>
      <c r="L21" s="444" t="s">
        <v>28</v>
      </c>
      <c r="M21" s="189">
        <f>$S$5*'Rawhitiroa (T&amp;M) Budget'!C36</f>
        <v>0</v>
      </c>
      <c r="P21" s="252">
        <f>SUM(P13:P20)</f>
        <v>0</v>
      </c>
      <c r="Q21" s="252">
        <f>SUM(Q13:Q20)</f>
        <v>0</v>
      </c>
      <c r="R21" s="252">
        <f>SUM(R13:R20)</f>
        <v>0</v>
      </c>
      <c r="S21" s="252">
        <f>SUM(S13:S20)</f>
        <v>0</v>
      </c>
    </row>
    <row r="22" spans="2:19" x14ac:dyDescent="0.25">
      <c r="E22" s="220"/>
      <c r="F22" s="373"/>
      <c r="H22" s="234"/>
      <c r="I22" s="183"/>
      <c r="J22" s="185"/>
      <c r="L22" s="444" t="s">
        <v>31</v>
      </c>
      <c r="M22" s="189">
        <f>$S$5*'Rawhitiroa (T&amp;M) Budget'!C37</f>
        <v>0</v>
      </c>
      <c r="P22" s="252"/>
      <c r="Q22" s="252"/>
      <c r="R22" s="252"/>
      <c r="S22" s="252"/>
    </row>
    <row r="23" spans="2:19" x14ac:dyDescent="0.25">
      <c r="B23" s="329" t="s">
        <v>238</v>
      </c>
      <c r="C23" s="157" t="s">
        <v>59</v>
      </c>
      <c r="E23" s="220" t="e">
        <f>HLOOKUP($E$2,'Rawhitiroa (T&amp;M) Actual'!$J$81:$U$105,10,0)/$E$5</f>
        <v>#DIV/0!</v>
      </c>
      <c r="F23" s="221" t="e">
        <f>HLOOKUP($E$2,'Rawhitiroa (T&amp;M) Budget'!$J$81:$U$105,10,0)/$F$5</f>
        <v>#DIV/0!</v>
      </c>
      <c r="G23" s="188" t="e">
        <f t="shared" ref="G23:G28" si="3">F23-E23</f>
        <v>#DIV/0!</v>
      </c>
      <c r="H23" s="234" t="e">
        <f>SUMIFS('Rawhitiroa (T&amp;M) Actual'!$J$90:$U$90,'Rawhitiroa (T&amp;M) Actual'!$J$81:$U$81,"&lt;="&amp;Summary_5!$E$2)/H5</f>
        <v>#DIV/0!</v>
      </c>
      <c r="I23" s="183" t="e">
        <f>SUMIFS('Rawhitiroa (T&amp;M) Budget'!$J$90:$U$90,'Rawhitiroa (T&amp;M) Budget'!$J$81:$U$81,"&lt;="&amp;Summary_5!$E$2)/I5</f>
        <v>#DIV/0!</v>
      </c>
      <c r="J23" s="189" t="e">
        <f t="shared" ref="J23:J28" si="4">I23-H23</f>
        <v>#DIV/0!</v>
      </c>
      <c r="L23" s="444" t="s">
        <v>32</v>
      </c>
      <c r="M23" s="189">
        <f>$S$5*'Rawhitiroa (T&amp;M) Budget'!C38</f>
        <v>0</v>
      </c>
      <c r="P23" s="252">
        <f>IFERROR(HLOOKUP($Q$2,'Rawhitiroa (T&amp;M) Actual'!$J$81:$U$105,10,0)/$P$5,0)</f>
        <v>0</v>
      </c>
      <c r="Q23" s="252">
        <f>IFERROR(HLOOKUP($Q$2,'Rawhitiroa (T&amp;M) Budget'!$J$81:$U$105,10,0)/$Q$5,0)</f>
        <v>0</v>
      </c>
      <c r="R23" s="252">
        <f>HLOOKUP($Q$2,'Rawhitiroa (T&amp;M) Actual'!$J$81:$U$105,10,0)</f>
        <v>0</v>
      </c>
      <c r="S23" s="252">
        <f>HLOOKUP($Q$2,'Rawhitiroa (T&amp;M) Budget'!$J$81:$U$105,10,0)</f>
        <v>0</v>
      </c>
    </row>
    <row r="24" spans="2:19" x14ac:dyDescent="0.25">
      <c r="B24" s="329" t="s">
        <v>225</v>
      </c>
      <c r="C24" s="157" t="s">
        <v>59</v>
      </c>
      <c r="E24" s="220" t="e">
        <f>HLOOKUP($E$2,'Rawhitiroa (T&amp;M) Actual'!$J$81:$U$105,11,0)/$E$5</f>
        <v>#DIV/0!</v>
      </c>
      <c r="F24" s="221" t="e">
        <f>HLOOKUP($E$2,'Rawhitiroa (T&amp;M) Budget'!$J$81:$U$105,11,0)/$F$5</f>
        <v>#DIV/0!</v>
      </c>
      <c r="G24" s="188" t="e">
        <f t="shared" si="3"/>
        <v>#DIV/0!</v>
      </c>
      <c r="H24" s="234" t="e">
        <f>SUMIFS('Rawhitiroa (T&amp;M) Actual'!$J$91:$U$91,'Rawhitiroa (T&amp;M) Actual'!$J$81:$U$81,"&lt;="&amp;Summary_5!$E$2)/H5</f>
        <v>#DIV/0!</v>
      </c>
      <c r="I24" s="183" t="e">
        <f>SUMIFS('Rawhitiroa (T&amp;M) Budget'!$J$91:$U$91,'Rawhitiroa (T&amp;M) Budget'!$J$81:$U$81,"&lt;="&amp;Summary_5!$E$2)/I5</f>
        <v>#DIV/0!</v>
      </c>
      <c r="J24" s="189" t="e">
        <f t="shared" si="4"/>
        <v>#DIV/0!</v>
      </c>
      <c r="L24" s="444" t="s">
        <v>33</v>
      </c>
      <c r="M24" s="189">
        <f>$S$5*'Rawhitiroa (T&amp;M) Budget'!C39</f>
        <v>0</v>
      </c>
      <c r="P24" s="252">
        <f>IFERROR(HLOOKUP($Q$2,'Rawhitiroa (T&amp;M) Actual'!$J$81:$U$105,11,0)/$P$5,0)</f>
        <v>0</v>
      </c>
      <c r="Q24" s="252">
        <f>IFERROR(HLOOKUP($Q$2,'Rawhitiroa (T&amp;M) Budget'!$J$81:$U$105,11,0)/$Q$5,0)</f>
        <v>0</v>
      </c>
      <c r="R24" s="252">
        <f>HLOOKUP($Q$2,'Rawhitiroa (T&amp;M) Actual'!$J$81:$U$105,11,0)</f>
        <v>0</v>
      </c>
      <c r="S24" s="252">
        <f>HLOOKUP($Q$2,'Rawhitiroa (T&amp;M) Budget'!$J$81:$U$105,11,0)</f>
        <v>0</v>
      </c>
    </row>
    <row r="25" spans="2:19" x14ac:dyDescent="0.25">
      <c r="B25" s="329" t="s">
        <v>226</v>
      </c>
      <c r="C25" s="157" t="s">
        <v>59</v>
      </c>
      <c r="E25" s="220" t="e">
        <f>HLOOKUP($E$2,'Rawhitiroa (T&amp;M) Actual'!$J$81:$U$105,12,0)/$E$5</f>
        <v>#DIV/0!</v>
      </c>
      <c r="F25" s="221" t="e">
        <f>HLOOKUP($E$2,'Rawhitiroa (T&amp;M) Budget'!$J$81:$U$105,12,0)/$F$5</f>
        <v>#DIV/0!</v>
      </c>
      <c r="G25" s="188" t="e">
        <f t="shared" si="3"/>
        <v>#DIV/0!</v>
      </c>
      <c r="H25" s="234" t="e">
        <f>SUMIFS('Rawhitiroa (T&amp;M) Actual'!$J$92:$U$92,'Rawhitiroa (T&amp;M) Actual'!$J$81:$U$81,"&lt;="&amp;Summary_5!$E$2)/H5</f>
        <v>#DIV/0!</v>
      </c>
      <c r="I25" s="183" t="e">
        <f>SUMIFS('Rawhitiroa (T&amp;M) Budget'!$J$92:$U$92,'Rawhitiroa (T&amp;M) Budget'!$J$81:$U$81,"&lt;="&amp;Summary_5!$E$2)/I5</f>
        <v>#DIV/0!</v>
      </c>
      <c r="J25" s="189" t="e">
        <f t="shared" si="4"/>
        <v>#DIV/0!</v>
      </c>
      <c r="L25" s="444" t="s">
        <v>35</v>
      </c>
      <c r="M25" s="189">
        <f>$S$5*'Rawhitiroa (T&amp;M) Budget'!C40</f>
        <v>0</v>
      </c>
      <c r="P25" s="252">
        <f>IFERROR(HLOOKUP($Q$2,'Rawhitiroa (T&amp;M) Actual'!$J$81:$U$105,12,0)/$P$5,0)</f>
        <v>0</v>
      </c>
      <c r="Q25" s="252">
        <f>IFERROR(HLOOKUP($Q$2,'Rawhitiroa (T&amp;M) Budget'!$J$81:$U$105,12,0)/$Q$5,0)</f>
        <v>0</v>
      </c>
      <c r="R25" s="252">
        <f>HLOOKUP($Q$2,'Rawhitiroa (T&amp;M) Actual'!$J$81:$U$105,12,0)</f>
        <v>0</v>
      </c>
      <c r="S25" s="252">
        <f>HLOOKUP($Q$2,'Rawhitiroa (T&amp;M) Budget'!$J$81:$U$105,12,0)</f>
        <v>0</v>
      </c>
    </row>
    <row r="26" spans="2:19" ht="15.75" thickBot="1" x14ac:dyDescent="0.3">
      <c r="B26" s="329" t="s">
        <v>205</v>
      </c>
      <c r="C26" s="157" t="s">
        <v>59</v>
      </c>
      <c r="E26" s="220" t="e">
        <f>HLOOKUP($E$2,'Rawhitiroa (T&amp;M) Actual'!$J$81:$U$105,13,0)/$E$5</f>
        <v>#DIV/0!</v>
      </c>
      <c r="F26" s="221" t="e">
        <f>HLOOKUP($E$2,'Rawhitiroa (T&amp;M) Budget'!$J$81:$U$105,13,0)/$F$5</f>
        <v>#DIV/0!</v>
      </c>
      <c r="G26" s="188" t="e">
        <f t="shared" si="3"/>
        <v>#DIV/0!</v>
      </c>
      <c r="H26" s="234" t="e">
        <f>SUMIFS('Rawhitiroa (T&amp;M) Actual'!$J$93:$U$93,'Rawhitiroa (T&amp;M) Actual'!$J$81:$U$81,"&lt;="&amp;Summary_5!$E$2)/H5</f>
        <v>#DIV/0!</v>
      </c>
      <c r="I26" s="183" t="e">
        <f>SUMIFS('Rawhitiroa (T&amp;M) Budget'!$J$93:$U$93,'Rawhitiroa (T&amp;M) Budget'!$J$81:$U$81,"&lt;="&amp;Summary_5!$E$2)/I5</f>
        <v>#DIV/0!</v>
      </c>
      <c r="J26" s="189" t="e">
        <f t="shared" si="4"/>
        <v>#DIV/0!</v>
      </c>
      <c r="L26" s="445" t="s">
        <v>36</v>
      </c>
      <c r="M26" s="446">
        <f>$S$5*'Rawhitiroa (T&amp;M) Budget'!C41</f>
        <v>0</v>
      </c>
      <c r="P26" s="252">
        <f>IFERROR(HLOOKUP($Q$2,'Rawhitiroa (T&amp;M) Actual'!$J$81:$U$105,13,0)/$P$5,0)</f>
        <v>0</v>
      </c>
      <c r="Q26" s="252">
        <f>IFERROR(HLOOKUP($Q$2,'Rawhitiroa (T&amp;M) Budget'!$J$81:$U$105,13,0)/$Q$5,0)</f>
        <v>0</v>
      </c>
      <c r="R26" s="252">
        <f>HLOOKUP($Q$2,'Rawhitiroa (T&amp;M) Actual'!$J$81:$U$105,13,0)</f>
        <v>0</v>
      </c>
      <c r="S26" s="252">
        <f>HLOOKUP($Q$2,'Rawhitiroa (T&amp;M) Budget'!$J$81:$U$105,13,0)</f>
        <v>0</v>
      </c>
    </row>
    <row r="27" spans="2:19" x14ac:dyDescent="0.25">
      <c r="B27" s="329" t="s">
        <v>60</v>
      </c>
      <c r="C27" s="157" t="s">
        <v>59</v>
      </c>
      <c r="E27" s="220" t="e">
        <f>HLOOKUP($E$2,'Rawhitiroa (T&amp;M) Actual'!$J$81:$U$105,14,0)/$E$5</f>
        <v>#DIV/0!</v>
      </c>
      <c r="F27" s="221" t="e">
        <f>HLOOKUP($E$2,'Rawhitiroa (T&amp;M) Budget'!$J$81:$U$105,14,0)/$F$5</f>
        <v>#DIV/0!</v>
      </c>
      <c r="G27" s="188" t="e">
        <f t="shared" si="3"/>
        <v>#DIV/0!</v>
      </c>
      <c r="H27" s="234" t="e">
        <f>SUMIFS('Rawhitiroa (T&amp;M) Actual'!$J$94:$U$94,'Rawhitiroa (T&amp;M) Actual'!$J$81:$U$81,"&lt;="&amp;Summary_5!$E$2)/H5</f>
        <v>#DIV/0!</v>
      </c>
      <c r="I27" s="183" t="e">
        <f>SUMIFS('Rawhitiroa (T&amp;M) Budget'!$J$94:$U$94,'Rawhitiroa (T&amp;M) Budget'!$J$81:$U$81,"&lt;="&amp;Summary_5!$E$2)/I5</f>
        <v>#DIV/0!</v>
      </c>
      <c r="J27" s="189" t="e">
        <f t="shared" si="4"/>
        <v>#DIV/0!</v>
      </c>
      <c r="P27" s="252">
        <f>IFERROR(HLOOKUP($Q$2,'Rawhitiroa (T&amp;M) Actual'!$J$81:$U$105,14,0)/$P$5,0)</f>
        <v>0</v>
      </c>
      <c r="Q27" s="252">
        <f>IFERROR(HLOOKUP($Q$2,'Rawhitiroa (T&amp;M) Budget'!$J$81:$U$105,14,0)/$Q$5,0)</f>
        <v>0</v>
      </c>
      <c r="R27" s="252">
        <f>HLOOKUP($Q$2,'Rawhitiroa (T&amp;M) Actual'!$J$81:$U$105,14,0)</f>
        <v>0</v>
      </c>
      <c r="S27" s="252">
        <f>HLOOKUP($Q$2,'Rawhitiroa (T&amp;M) Budget'!$J$81:$U$105,14,0)</f>
        <v>0</v>
      </c>
    </row>
    <row r="28" spans="2:19" x14ac:dyDescent="0.25">
      <c r="B28" s="329" t="s">
        <v>80</v>
      </c>
      <c r="C28" s="172" t="s">
        <v>59</v>
      </c>
      <c r="D28" s="171"/>
      <c r="E28" s="219" t="e">
        <f>HLOOKUP($E$2,'Rawhitiroa (T&amp;M) Actual'!$J$81:$U$105,15,0)/$E$5</f>
        <v>#DIV/0!</v>
      </c>
      <c r="F28" s="218" t="e">
        <f>HLOOKUP($E$2,'Rawhitiroa (T&amp;M) Budget'!$J$81:$U$105,15,0)/$F$5</f>
        <v>#DIV/0!</v>
      </c>
      <c r="G28" s="176" t="e">
        <f t="shared" si="3"/>
        <v>#DIV/0!</v>
      </c>
      <c r="H28" s="235" t="e">
        <f>SUMIFS('Rawhitiroa (T&amp;M) Actual'!$J$95:$U$95,'Rawhitiroa (T&amp;M) Actual'!$J$81:$U$81,"&lt;="&amp;Summary_5!$E$2)/H5</f>
        <v>#DIV/0!</v>
      </c>
      <c r="I28" s="179" t="e">
        <f>SUMIFS('Rawhitiroa (T&amp;M) Budget'!$J$95:$U$95,'Rawhitiroa (T&amp;M) Budget'!$J$81:$U$81,"&lt;="&amp;Summary_5!$E$2)/I5</f>
        <v>#DIV/0!</v>
      </c>
      <c r="J28" s="187" t="e">
        <f t="shared" si="4"/>
        <v>#DIV/0!</v>
      </c>
      <c r="P28" s="253">
        <f>IFERROR(HLOOKUP($Q$2,'Rawhitiroa (T&amp;M) Actual'!$J$81:$U$105,15,0)/$P$5,0)</f>
        <v>0</v>
      </c>
      <c r="Q28" s="253">
        <f>IFERROR(HLOOKUP($Q$2,'Rawhitiroa (T&amp;M) Budget'!$J$81:$U$105,15,0)/$Q$5,0)</f>
        <v>0</v>
      </c>
      <c r="R28" s="253">
        <f>HLOOKUP($Q$2,'Rawhitiroa (T&amp;M) Actual'!$J$81:$U$105,15,0)</f>
        <v>0</v>
      </c>
      <c r="S28" s="253">
        <f>HLOOKUP($Q$2,'Rawhitiroa (T&amp;M) Budget'!$J$81:$U$105,15,0)</f>
        <v>0</v>
      </c>
    </row>
    <row r="29" spans="2:19" x14ac:dyDescent="0.25">
      <c r="B29" s="169" t="s">
        <v>143</v>
      </c>
      <c r="C29" s="169" t="s">
        <v>59</v>
      </c>
      <c r="D29" s="158" t="s">
        <v>144</v>
      </c>
      <c r="E29" s="220" t="e">
        <f t="shared" ref="E29:J29" si="5">SUM(E23:E28)</f>
        <v>#DIV/0!</v>
      </c>
      <c r="F29" s="373" t="e">
        <f t="shared" si="5"/>
        <v>#DIV/0!</v>
      </c>
      <c r="G29" s="188" t="e">
        <f t="shared" si="5"/>
        <v>#DIV/0!</v>
      </c>
      <c r="H29" s="234" t="e">
        <f t="shared" si="5"/>
        <v>#DIV/0!</v>
      </c>
      <c r="I29" s="183" t="e">
        <f t="shared" si="5"/>
        <v>#DIV/0!</v>
      </c>
      <c r="J29" s="189" t="e">
        <f t="shared" si="5"/>
        <v>#DIV/0!</v>
      </c>
      <c r="P29" s="252">
        <f>SUM(P23:P28)</f>
        <v>0</v>
      </c>
      <c r="Q29" s="252">
        <f>SUM(Q23:Q28)</f>
        <v>0</v>
      </c>
      <c r="R29" s="252">
        <f>SUM(R23:R28)</f>
        <v>0</v>
      </c>
      <c r="S29" s="252">
        <f>SUM(S23:S28)</f>
        <v>0</v>
      </c>
    </row>
    <row r="30" spans="2:19" x14ac:dyDescent="0.25">
      <c r="C30" s="169"/>
      <c r="E30" s="220"/>
      <c r="F30" s="221"/>
      <c r="H30" s="234"/>
      <c r="I30" s="183"/>
      <c r="J30" s="185"/>
      <c r="P30" s="252"/>
      <c r="Q30" s="252"/>
      <c r="R30" s="252"/>
      <c r="S30" s="252"/>
    </row>
    <row r="31" spans="2:19" x14ac:dyDescent="0.25">
      <c r="B31" s="157" t="s">
        <v>230</v>
      </c>
      <c r="C31" s="157" t="s">
        <v>61</v>
      </c>
      <c r="E31" s="220" t="e">
        <f>HLOOKUP($E$2,'Rawhitiroa (T&amp;M) Actual'!$J$81:$U$105,16,0)/$E$5</f>
        <v>#DIV/0!</v>
      </c>
      <c r="F31" s="221" t="e">
        <f>HLOOKUP($E$2,'Rawhitiroa (T&amp;M) Budget'!$J$81:$U$105,16,0)/$F$5</f>
        <v>#DIV/0!</v>
      </c>
      <c r="G31" s="188" t="e">
        <f>F31-E31</f>
        <v>#DIV/0!</v>
      </c>
      <c r="H31" s="234" t="e">
        <f>SUMIFS('Rawhitiroa (T&amp;M) Actual'!$J$96:$U$96,'Rawhitiroa (T&amp;M) Actual'!$J$81:$U$81,"&lt;="&amp;Summary_5!$E$2)/H5</f>
        <v>#DIV/0!</v>
      </c>
      <c r="I31" s="183" t="e">
        <f>SUMIFS('Rawhitiroa (T&amp;M) Budget'!$J$96:$U$96,'Rawhitiroa (T&amp;M) Budget'!$J$81:$U$81,"&lt;="&amp;Summary_5!$E$2)/I5</f>
        <v>#DIV/0!</v>
      </c>
      <c r="J31" s="189" t="e">
        <f>I31-H31</f>
        <v>#DIV/0!</v>
      </c>
      <c r="P31" s="252">
        <f>IFERROR(HLOOKUP($Q$2,'Rawhitiroa (T&amp;M) Actual'!$J$81:$U$105,16,0)/$P$5,0)</f>
        <v>0</v>
      </c>
      <c r="Q31" s="252">
        <f>IFERROR(HLOOKUP($Q$2,'Rawhitiroa (T&amp;M) Budget'!$J$81:$U$105,16,0)/$Q$5,0)</f>
        <v>0</v>
      </c>
      <c r="R31" s="252">
        <f>HLOOKUP($Q$2,'Rawhitiroa (T&amp;M) Actual'!$J$81:$U$105,16,0)</f>
        <v>0</v>
      </c>
      <c r="S31" s="252">
        <f>HLOOKUP($Q$2,'Rawhitiroa (T&amp;M) Budget'!$J$81:$U$105,16,0)</f>
        <v>0</v>
      </c>
    </row>
    <row r="32" spans="2:19" x14ac:dyDescent="0.25">
      <c r="B32" s="172" t="s">
        <v>231</v>
      </c>
      <c r="C32" s="172" t="s">
        <v>61</v>
      </c>
      <c r="D32" s="171"/>
      <c r="E32" s="219" t="e">
        <f>HLOOKUP($E$2,'Rawhitiroa (T&amp;M) Actual'!$J$81:$U$105,17,0)/$E$5</f>
        <v>#DIV/0!</v>
      </c>
      <c r="F32" s="218" t="e">
        <f>HLOOKUP($E$2,'Rawhitiroa (T&amp;M) Budget'!$J$81:$U$105,17,0)/$F$5</f>
        <v>#DIV/0!</v>
      </c>
      <c r="G32" s="176" t="e">
        <f>F32-E32</f>
        <v>#DIV/0!</v>
      </c>
      <c r="H32" s="235" t="e">
        <f>SUMIFS('Rawhitiroa (T&amp;M) Actual'!$J$97:$U$97,'Rawhitiroa (T&amp;M) Actual'!$J$81:$U$81,"&lt;="&amp;Summary_5!$E$2)/H5</f>
        <v>#DIV/0!</v>
      </c>
      <c r="I32" s="179" t="e">
        <f>SUMIFS('Rawhitiroa (T&amp;M) Budget'!$J$97:$U$97,'Rawhitiroa (T&amp;M) Budget'!$J$81:$U$81,"&lt;="&amp;Summary_5!$E$2)/I5</f>
        <v>#DIV/0!</v>
      </c>
      <c r="J32" s="187" t="e">
        <f>I32-H32</f>
        <v>#DIV/0!</v>
      </c>
      <c r="P32" s="253">
        <f>IFERROR(HLOOKUP($Q$2,'Rawhitiroa (T&amp;M) Actual'!$J$81:$U$105,17,0)/$P$5,0)</f>
        <v>0</v>
      </c>
      <c r="Q32" s="253">
        <f>IFERROR(HLOOKUP($Q$2,'Rawhitiroa (T&amp;M) Budget'!$J$81:$U$105,17,0)/$Q$5,0)</f>
        <v>0</v>
      </c>
      <c r="R32" s="253">
        <f>HLOOKUP($Q$2,'Rawhitiroa (T&amp;M) Actual'!$J$81:$U$105,17,0)</f>
        <v>0</v>
      </c>
      <c r="S32" s="253">
        <f>HLOOKUP($Q$2,'Rawhitiroa (T&amp;M) Budget'!$J$81:$U$105,17,0)</f>
        <v>0</v>
      </c>
    </row>
    <row r="33" spans="2:19" x14ac:dyDescent="0.25">
      <c r="B33" s="169" t="s">
        <v>145</v>
      </c>
      <c r="C33" s="169" t="s">
        <v>61</v>
      </c>
      <c r="D33" s="158" t="s">
        <v>146</v>
      </c>
      <c r="E33" s="220" t="e">
        <f t="shared" ref="E33:J33" si="6">SUM(E31:E32)</f>
        <v>#DIV/0!</v>
      </c>
      <c r="F33" s="373" t="e">
        <f t="shared" si="6"/>
        <v>#DIV/0!</v>
      </c>
      <c r="G33" s="188" t="e">
        <f t="shared" si="6"/>
        <v>#DIV/0!</v>
      </c>
      <c r="H33" s="234" t="e">
        <f t="shared" si="6"/>
        <v>#DIV/0!</v>
      </c>
      <c r="I33" s="183" t="e">
        <f t="shared" si="6"/>
        <v>#DIV/0!</v>
      </c>
      <c r="J33" s="189" t="e">
        <f t="shared" si="6"/>
        <v>#DIV/0!</v>
      </c>
      <c r="P33" s="252">
        <f>SUM(P31:P32)</f>
        <v>0</v>
      </c>
      <c r="Q33" s="252">
        <f>SUM(Q31:Q32)</f>
        <v>0</v>
      </c>
      <c r="R33" s="252">
        <f>SUM(R31:R32)</f>
        <v>0</v>
      </c>
      <c r="S33" s="252">
        <f>SUM(S31:S32)</f>
        <v>0</v>
      </c>
    </row>
    <row r="34" spans="2:19" x14ac:dyDescent="0.25">
      <c r="E34" s="220"/>
      <c r="F34" s="373"/>
      <c r="H34" s="234"/>
      <c r="I34" s="183"/>
      <c r="J34" s="185"/>
      <c r="P34" s="252"/>
      <c r="Q34" s="252"/>
      <c r="R34" s="252"/>
      <c r="S34" s="252"/>
    </row>
    <row r="35" spans="2:19" x14ac:dyDescent="0.25">
      <c r="B35" s="157" t="s">
        <v>232</v>
      </c>
      <c r="C35" s="157" t="s">
        <v>62</v>
      </c>
      <c r="E35" s="220" t="e">
        <f>HLOOKUP($E$2,'Rawhitiroa (T&amp;M) Actual'!$J$81:$U$105,18,0)/$E$5</f>
        <v>#DIV/0!</v>
      </c>
      <c r="F35" s="221" t="e">
        <f>HLOOKUP($E$2,'Rawhitiroa (T&amp;M) Budget'!$J$81:$U$105,18,0)/$F$5</f>
        <v>#DIV/0!</v>
      </c>
      <c r="G35" s="188" t="e">
        <f>F35-E35</f>
        <v>#DIV/0!</v>
      </c>
      <c r="H35" s="234" t="e">
        <f>SUMIFS('Rawhitiroa (T&amp;M) Actual'!$J$98:$U$98,'Rawhitiroa (T&amp;M) Actual'!$J$81:$U$81,"&lt;="&amp;Summary_5!$E$2)/H5</f>
        <v>#DIV/0!</v>
      </c>
      <c r="I35" s="183" t="e">
        <f>SUMIFS('Rawhitiroa (T&amp;M) Budget'!$J$98:$U$98,'Rawhitiroa (T&amp;M) Budget'!$J$81:$U$81,"&lt;="&amp;Summary_5!$E$2)/I5</f>
        <v>#DIV/0!</v>
      </c>
      <c r="J35" s="189" t="e">
        <f>I35-H35</f>
        <v>#DIV/0!</v>
      </c>
      <c r="P35" s="252">
        <f>IFERROR(HLOOKUP($Q$2,'Rawhitiroa (T&amp;M) Actual'!$J$81:$U$105,18,0)/$P$5,0)</f>
        <v>0</v>
      </c>
      <c r="Q35" s="252">
        <f>IFERROR(HLOOKUP($Q$2,'Rawhitiroa (T&amp;M) Budget'!$J$81:$U$105,18,0)/$Q$5,0)</f>
        <v>0</v>
      </c>
      <c r="R35" s="252">
        <f>HLOOKUP($Q$2,'Rawhitiroa (T&amp;M) Actual'!$J$81:$U$105,18,0)</f>
        <v>0</v>
      </c>
      <c r="S35" s="252">
        <f>HLOOKUP($Q$2,'Rawhitiroa (T&amp;M) Budget'!$J$81:$U$105,18,0)</f>
        <v>0</v>
      </c>
    </row>
    <row r="36" spans="2:19" x14ac:dyDescent="0.25">
      <c r="B36" s="172" t="s">
        <v>233</v>
      </c>
      <c r="C36" s="172" t="s">
        <v>62</v>
      </c>
      <c r="D36" s="171"/>
      <c r="E36" s="219" t="e">
        <f>HLOOKUP($E$2,'Rawhitiroa (T&amp;M) Actual'!$J$81:$U$105,19,0)/$E$5</f>
        <v>#DIV/0!</v>
      </c>
      <c r="F36" s="218" t="e">
        <f>HLOOKUP($E$2,'Rawhitiroa (T&amp;M) Budget'!$J$81:$U$105,19,0)/$F$5</f>
        <v>#DIV/0!</v>
      </c>
      <c r="G36" s="176" t="e">
        <f>F36-E36</f>
        <v>#DIV/0!</v>
      </c>
      <c r="H36" s="235" t="e">
        <f>SUMIFS('Rawhitiroa (T&amp;M) Actual'!$J$99:$U$99,'Rawhitiroa (T&amp;M) Actual'!$J$81:$U$81,"&lt;="&amp;Summary_5!$E$2)/H5</f>
        <v>#DIV/0!</v>
      </c>
      <c r="I36" s="179" t="e">
        <f>SUMIFS('Rawhitiroa (T&amp;M) Budget'!$J$99:$U$99,'Rawhitiroa (T&amp;M) Budget'!$J$81:$U$81,"&lt;="&amp;Summary_5!$E$2)/I5</f>
        <v>#DIV/0!</v>
      </c>
      <c r="J36" s="187" t="e">
        <f>I36-H36</f>
        <v>#DIV/0!</v>
      </c>
      <c r="P36" s="253">
        <f>IFERROR(HLOOKUP($Q$2,'Rawhitiroa (T&amp;M) Actual'!$J$81:$U$105,19,0)/$P$5,0)</f>
        <v>0</v>
      </c>
      <c r="Q36" s="253">
        <f>IFERROR(HLOOKUP($Q$2,'Rawhitiroa (T&amp;M) Budget'!$J$81:$U$105,19,0)/$Q$5,0)</f>
        <v>0</v>
      </c>
      <c r="R36" s="253">
        <f>HLOOKUP($Q$2,'Rawhitiroa (T&amp;M) Actual'!$J$81:$U$105,19,0)</f>
        <v>0</v>
      </c>
      <c r="S36" s="253">
        <f>HLOOKUP($Q$2,'Rawhitiroa (T&amp;M) Budget'!$J$81:$U$105,19,0)</f>
        <v>0</v>
      </c>
    </row>
    <row r="37" spans="2:19" x14ac:dyDescent="0.25">
      <c r="B37" s="169" t="s">
        <v>147</v>
      </c>
      <c r="C37" s="169" t="s">
        <v>62</v>
      </c>
      <c r="D37" s="158" t="s">
        <v>148</v>
      </c>
      <c r="E37" s="220" t="e">
        <f>SUM(E35:E36)</f>
        <v>#DIV/0!</v>
      </c>
      <c r="F37" s="373" t="e">
        <f>SUM(F35:F36)</f>
        <v>#DIV/0!</v>
      </c>
      <c r="H37" s="234" t="e">
        <f>SUM(H35:H36)</f>
        <v>#DIV/0!</v>
      </c>
      <c r="I37" s="183" t="e">
        <f>SUM(I35:I36)</f>
        <v>#DIV/0!</v>
      </c>
      <c r="J37" s="185"/>
      <c r="P37" s="252">
        <f>SUM(P35:P36)</f>
        <v>0</v>
      </c>
      <c r="Q37" s="252">
        <f>SUM(Q35:Q36)</f>
        <v>0</v>
      </c>
      <c r="R37" s="252">
        <f>SUM(R35:R36)</f>
        <v>0</v>
      </c>
      <c r="S37" s="252">
        <f>SUM(S35:S36)</f>
        <v>0</v>
      </c>
    </row>
    <row r="38" spans="2:19" x14ac:dyDescent="0.25">
      <c r="E38" s="220"/>
      <c r="F38" s="373"/>
      <c r="H38" s="234"/>
      <c r="I38" s="183"/>
      <c r="J38" s="185"/>
      <c r="P38" s="252"/>
      <c r="Q38" s="252"/>
      <c r="R38" s="252"/>
      <c r="S38" s="252"/>
    </row>
    <row r="39" spans="2:19" x14ac:dyDescent="0.25">
      <c r="E39" s="220"/>
      <c r="F39" s="221"/>
      <c r="G39" s="188"/>
      <c r="H39" s="234"/>
      <c r="I39" s="183"/>
      <c r="J39" s="189"/>
      <c r="P39" s="252"/>
      <c r="Q39" s="252"/>
      <c r="R39" s="252"/>
      <c r="S39" s="252"/>
    </row>
    <row r="40" spans="2:19" x14ac:dyDescent="0.25">
      <c r="B40" s="157" t="s">
        <v>235</v>
      </c>
      <c r="C40" s="157" t="s">
        <v>63</v>
      </c>
      <c r="E40" s="220" t="e">
        <f>HLOOKUP($E$2,'Rawhitiroa (T&amp;M) Actual'!$J$81:$U$105,20,0)/$E$5</f>
        <v>#DIV/0!</v>
      </c>
      <c r="F40" s="221" t="e">
        <f>HLOOKUP($E$2,'Rawhitiroa (T&amp;M) Budget'!$J$81:$U$105,20,0)/$F$5</f>
        <v>#DIV/0!</v>
      </c>
      <c r="G40" s="190" t="e">
        <f>F40-E40</f>
        <v>#DIV/0!</v>
      </c>
      <c r="H40" s="234" t="e">
        <f>SUMIFS('Rawhitiroa (T&amp;M) Actual'!$J$100:$U$100,'Rawhitiroa (T&amp;M) Actual'!$J$81:$U$81,"&lt;="&amp;Summary_5!$E$2)/H5</f>
        <v>#DIV/0!</v>
      </c>
      <c r="I40" s="183" t="e">
        <f>SUMIFS('Rawhitiroa (T&amp;M) Budget'!$J$100:$U$100,'Rawhitiroa (T&amp;M) Budget'!$J$81:$U$81,"&lt;="&amp;Summary_5!$E$2)/I5</f>
        <v>#DIV/0!</v>
      </c>
      <c r="J40" s="191" t="e">
        <f>I40-H40</f>
        <v>#DIV/0!</v>
      </c>
      <c r="P40" s="252">
        <f>IFERROR(HLOOKUP($Q$2,'Rawhitiroa (T&amp;M) Actual'!$J$81:$U$105,20,0)/$P$5,0)</f>
        <v>0</v>
      </c>
      <c r="Q40" s="252">
        <f>IFERROR(HLOOKUP($Q$2,'Rawhitiroa (T&amp;M) Budget'!$J$81:$U$105,20,0)/$Q$5,0)</f>
        <v>0</v>
      </c>
      <c r="R40" s="252">
        <f>HLOOKUP($Q$2,'Rawhitiroa (T&amp;M) Actual'!$J$81:$U$105,20,0)</f>
        <v>0</v>
      </c>
      <c r="S40" s="252">
        <f>HLOOKUP($Q$2,'Rawhitiroa (T&amp;M) Budget'!$J$81:$U$105,20,0)</f>
        <v>0</v>
      </c>
    </row>
    <row r="41" spans="2:19" x14ac:dyDescent="0.25">
      <c r="B41" s="157" t="s">
        <v>64</v>
      </c>
      <c r="C41" s="157" t="s">
        <v>63</v>
      </c>
      <c r="E41" s="220" t="e">
        <f>HLOOKUP($E$2,'Rawhitiroa (T&amp;M) Actual'!$J$81:$U$105,21,0)/$E$5</f>
        <v>#DIV/0!</v>
      </c>
      <c r="F41" s="221" t="e">
        <f>HLOOKUP($E$2,'Rawhitiroa (T&amp;M) Budget'!$J$81:$U$105,21,0)/$F$5</f>
        <v>#DIV/0!</v>
      </c>
      <c r="G41" s="188" t="e">
        <f>F41-E41</f>
        <v>#DIV/0!</v>
      </c>
      <c r="H41" s="234" t="e">
        <f>SUMIFS('Rawhitiroa (T&amp;M) Actual'!$J$101:$U$101,'Rawhitiroa (T&amp;M) Actual'!$J$81:$U$81,"&lt;="&amp;Summary_5!$E$2)/H5</f>
        <v>#DIV/0!</v>
      </c>
      <c r="I41" s="183" t="e">
        <f>SUMIFS('Rawhitiroa (T&amp;M) Budget'!$J$101:$U$101,'Rawhitiroa (T&amp;M) Budget'!$J$81:$U$81,"&lt;="&amp;Summary_5!$E$2)/I5</f>
        <v>#DIV/0!</v>
      </c>
      <c r="J41" s="189" t="e">
        <f>I41-H41</f>
        <v>#DIV/0!</v>
      </c>
      <c r="P41" s="252">
        <f>IFERROR(HLOOKUP($Q$2,'Rawhitiroa (T&amp;M) Actual'!$J$81:$U$105,21,0)/$P$5,0)</f>
        <v>0</v>
      </c>
      <c r="Q41" s="252">
        <f>IFERROR(HLOOKUP($Q$2,'Rawhitiroa (T&amp;M) Budget'!$J$81:$U$105,21,0)/$Q$5,0)</f>
        <v>0</v>
      </c>
      <c r="R41" s="252">
        <f>HLOOKUP($Q$2,'Rawhitiroa (T&amp;M) Actual'!$J$81:$U$105,21,0)</f>
        <v>0</v>
      </c>
      <c r="S41" s="252">
        <f>HLOOKUP($Q$2,'Rawhitiroa (T&amp;M) Budget'!$J$81:$U$105,21,0)</f>
        <v>0</v>
      </c>
    </row>
    <row r="42" spans="2:19" x14ac:dyDescent="0.25">
      <c r="B42" s="172" t="s">
        <v>65</v>
      </c>
      <c r="C42" s="172" t="s">
        <v>63</v>
      </c>
      <c r="D42" s="171"/>
      <c r="E42" s="219" t="e">
        <f>HLOOKUP($E$2,'Rawhitiroa (T&amp;M) Actual'!$J$81:$U$105,22,0)/$E$5</f>
        <v>#DIV/0!</v>
      </c>
      <c r="F42" s="218" t="e">
        <f>HLOOKUP($E$2,'Rawhitiroa (T&amp;M) Budget'!$J$81:$U$105,22,0)/$F$5</f>
        <v>#DIV/0!</v>
      </c>
      <c r="G42" s="176" t="e">
        <f>F42-E42</f>
        <v>#DIV/0!</v>
      </c>
      <c r="H42" s="235" t="e">
        <f>SUMIFS('Rawhitiroa (T&amp;M) Budget'!$J$102:$U$102,'Rawhitiroa (T&amp;M) Budget'!$J$81:$U$81,"&lt;="&amp;Summary_5!$E$2)/H5</f>
        <v>#DIV/0!</v>
      </c>
      <c r="I42" s="179" t="e">
        <f>SUMIFS('Rawhitiroa (T&amp;M) Budget'!$J$102:$U$102,'Rawhitiroa (T&amp;M) Budget'!$J$81:$U$81,"&lt;="&amp;Summary_5!$E$2)/I5</f>
        <v>#DIV/0!</v>
      </c>
      <c r="J42" s="187" t="e">
        <f>I42-H42</f>
        <v>#DIV/0!</v>
      </c>
      <c r="P42" s="253">
        <f>IFERROR(HLOOKUP($Q$2,'Rawhitiroa (T&amp;M) Actual'!$J$81:$U$105,22,0)/$P$5,0)</f>
        <v>0</v>
      </c>
      <c r="Q42" s="253">
        <f>IFERROR(HLOOKUP($Q$2,'Rawhitiroa (T&amp;M) Budget'!$J$81:$U$105,22,0)/$Q$5,0)</f>
        <v>0</v>
      </c>
      <c r="R42" s="253">
        <f>HLOOKUP($Q$2,'Rawhitiroa (T&amp;M) Actual'!$J$81:$U$105,22,0)</f>
        <v>0</v>
      </c>
      <c r="S42" s="253">
        <f>HLOOKUP($Q$2,'Rawhitiroa (T&amp;M) Budget'!$J$81:$U$105,22,0)</f>
        <v>0</v>
      </c>
    </row>
    <row r="43" spans="2:19" x14ac:dyDescent="0.25">
      <c r="B43" s="169" t="s">
        <v>149</v>
      </c>
      <c r="C43" s="169" t="s">
        <v>63</v>
      </c>
      <c r="D43" s="158" t="s">
        <v>150</v>
      </c>
      <c r="E43" s="220" t="e">
        <f t="shared" ref="E43:J43" si="7">SUM(E39:E42)</f>
        <v>#DIV/0!</v>
      </c>
      <c r="F43" s="221" t="e">
        <f t="shared" si="7"/>
        <v>#DIV/0!</v>
      </c>
      <c r="G43" s="188" t="e">
        <f t="shared" si="7"/>
        <v>#DIV/0!</v>
      </c>
      <c r="H43" s="234" t="e">
        <f t="shared" si="7"/>
        <v>#DIV/0!</v>
      </c>
      <c r="I43" s="183" t="e">
        <f t="shared" si="7"/>
        <v>#DIV/0!</v>
      </c>
      <c r="J43" s="189" t="e">
        <f t="shared" si="7"/>
        <v>#DIV/0!</v>
      </c>
      <c r="P43" s="252">
        <f>SUM(P39:P42)</f>
        <v>0</v>
      </c>
      <c r="Q43" s="252">
        <f>SUM(Q39:Q42)</f>
        <v>0</v>
      </c>
      <c r="R43" s="252">
        <f>SUM(R39:R42)</f>
        <v>0</v>
      </c>
      <c r="S43" s="252">
        <f>SUM(S39:S42)</f>
        <v>0</v>
      </c>
    </row>
    <row r="44" spans="2:19" x14ac:dyDescent="0.25">
      <c r="E44" s="220"/>
      <c r="F44" s="373"/>
      <c r="H44" s="234"/>
      <c r="I44" s="183"/>
      <c r="J44" s="185"/>
      <c r="P44" s="252"/>
      <c r="Q44" s="252"/>
      <c r="R44" s="252"/>
      <c r="S44" s="252"/>
    </row>
    <row r="45" spans="2:19" x14ac:dyDescent="0.25">
      <c r="B45" s="157" t="s">
        <v>66</v>
      </c>
      <c r="C45" s="157" t="s">
        <v>67</v>
      </c>
      <c r="E45" s="220" t="e">
        <f>HLOOKUP($E$2,'Rawhitiroa (T&amp;M) Actual'!$J$81:$U$105,23,0)/$E$5</f>
        <v>#DIV/0!</v>
      </c>
      <c r="F45" s="221" t="e">
        <f>HLOOKUP($E$2,'Rawhitiroa (T&amp;M) Budget'!$J$81:$U$105,23,0)/$F$5</f>
        <v>#DIV/0!</v>
      </c>
      <c r="G45" s="190" t="e">
        <f>F45-E45</f>
        <v>#DIV/0!</v>
      </c>
      <c r="H45" s="234" t="e">
        <f>SUMIFS('Rawhitiroa (T&amp;M) Actual'!$J$103:$U$103,'Rawhitiroa (T&amp;M) Actual'!$J$81:$U$81,"&lt;="&amp;Summary_5!$E$2)/H5</f>
        <v>#DIV/0!</v>
      </c>
      <c r="I45" s="183" t="e">
        <f>SUMIFS('Rawhitiroa (T&amp;M) Budget'!$J$103:$U$103,'Rawhitiroa (T&amp;M) Budget'!$J$81:$U$81,"&lt;="&amp;Summary_5!$E$2)/I5</f>
        <v>#DIV/0!</v>
      </c>
      <c r="J45" s="191" t="e">
        <f>I45-H45</f>
        <v>#DIV/0!</v>
      </c>
      <c r="P45" s="252">
        <f>IFERROR(HLOOKUP($Q$2,'Rawhitiroa (T&amp;M) Actual'!$J$81:$U$105,23,0)/$P$5,0)</f>
        <v>0</v>
      </c>
      <c r="Q45" s="252">
        <f>IFERROR(HLOOKUP($Q$2,'Rawhitiroa (T&amp;M) Budget'!$J$81:$U$105,23,0)/$Q$5,0)</f>
        <v>0</v>
      </c>
      <c r="R45" s="252">
        <f>HLOOKUP($Q$2,'Rawhitiroa (T&amp;M) Actual'!$J$81:$U$105,23,0)</f>
        <v>0</v>
      </c>
      <c r="S45" s="252">
        <f>HLOOKUP($Q$2,'Rawhitiroa (T&amp;M) Budget'!$J$81:$U$105,23,0)</f>
        <v>0</v>
      </c>
    </row>
    <row r="46" spans="2:19" x14ac:dyDescent="0.25">
      <c r="B46" s="157" t="s">
        <v>234</v>
      </c>
      <c r="C46" s="157" t="s">
        <v>67</v>
      </c>
      <c r="E46" s="382" t="e">
        <f>HLOOKUP($E$2,'Rawhitiroa (T&amp;M) Actual'!$J$81:$U$105,24,0)/$E$5</f>
        <v>#DIV/0!</v>
      </c>
      <c r="F46" s="374" t="e">
        <f>HLOOKUP($E$2,'Rawhitiroa (T&amp;M) Budget'!$J$81:$U$105,24,0)/$F$5</f>
        <v>#DIV/0!</v>
      </c>
      <c r="G46" s="383" t="e">
        <f>F46-E46</f>
        <v>#DIV/0!</v>
      </c>
      <c r="H46" s="384" t="e">
        <f>SUMIFS('Rawhitiroa (T&amp;M) Actual'!$J$104:$U$104,'Rawhitiroa (T&amp;M) Actual'!$J$81:$U$81,"&lt;="&amp;Summary_5!$E$2)/H5</f>
        <v>#DIV/0!</v>
      </c>
      <c r="I46" s="385" t="e">
        <f>SUMIFS('Rawhitiroa (T&amp;M) Budget'!$J$104:$U$104,'Rawhitiroa (T&amp;M) Budget'!$J$81:$U$81,"&lt;="&amp;Summary_5!$E$2)/I5</f>
        <v>#DIV/0!</v>
      </c>
      <c r="J46" s="386" t="e">
        <f>I46-H46</f>
        <v>#DIV/0!</v>
      </c>
      <c r="P46" s="387">
        <f>IFERROR(HLOOKUP($Q$2,'Rawhitiroa (T&amp;M) Actual'!$J$81:$U$105,24,0)/$P$5,0)</f>
        <v>0</v>
      </c>
      <c r="Q46" s="387">
        <f>IFERROR(HLOOKUP($Q$2,'Rawhitiroa (T&amp;M) Budget'!$J$81:$U$105,24,0)/$Q$5,0)</f>
        <v>0</v>
      </c>
      <c r="R46" s="252">
        <f>HLOOKUP($Q$2,'Rawhitiroa (T&amp;M) Actual'!$J$81:$U$105,24,0)</f>
        <v>0</v>
      </c>
      <c r="S46" s="252">
        <f>HLOOKUP($Q$2,'Rawhitiroa (T&amp;M) Budget'!$J$81:$U$105,24,0)</f>
        <v>0</v>
      </c>
    </row>
    <row r="47" spans="2:19" x14ac:dyDescent="0.25">
      <c r="B47" s="172" t="s">
        <v>68</v>
      </c>
      <c r="C47" s="172" t="s">
        <v>67</v>
      </c>
      <c r="D47" s="171"/>
      <c r="E47" s="219" t="e">
        <f>HLOOKUP($E$2,'Rawhitiroa (T&amp;M) Actual'!$J$81:$U$105,25,0)/$E$5</f>
        <v>#DIV/0!</v>
      </c>
      <c r="F47" s="218" t="e">
        <f>HLOOKUP($E$2,'Rawhitiroa (T&amp;M) Budget'!$J$81:$U$105,25,0)/$F$5</f>
        <v>#DIV/0!</v>
      </c>
      <c r="G47" s="176" t="e">
        <f>F47-E47</f>
        <v>#DIV/0!</v>
      </c>
      <c r="H47" s="235" t="e">
        <f>SUMIFS('Rawhitiroa (T&amp;M) Actual'!$J$105:$U$105,'Rawhitiroa (T&amp;M) Actual'!$J$81:$U$81,"&lt;="&amp;Summary_5!$E$2)/H5</f>
        <v>#DIV/0!</v>
      </c>
      <c r="I47" s="179" t="e">
        <f>SUMIFS('Rawhitiroa (T&amp;M) Budget'!$J$105:$U$105,'Rawhitiroa (T&amp;M) Budget'!$J$81:$U$81,"&lt;="&amp;Summary_5!$E$2)/I5</f>
        <v>#DIV/0!</v>
      </c>
      <c r="J47" s="187" t="e">
        <f>I47-H47</f>
        <v>#DIV/0!</v>
      </c>
      <c r="P47" s="253">
        <f>IFERROR(HLOOKUP($Q$2,'Rawhitiroa (T&amp;M) Actual'!$J$81:$U$105,25,0)/$P$5,0)</f>
        <v>0</v>
      </c>
      <c r="Q47" s="253">
        <f>IFERROR(HLOOKUP($Q$2,'Rawhitiroa (T&amp;M) Budget'!$J$81:$U$105,25,0)/$Q$5,0)</f>
        <v>0</v>
      </c>
      <c r="R47" s="253">
        <f>HLOOKUP($Q$2,'Rawhitiroa (T&amp;M) Actual'!$J$81:$U$105,25,0)</f>
        <v>0</v>
      </c>
      <c r="S47" s="253">
        <f>HLOOKUP($Q$2,'Rawhitiroa (T&amp;M) Budget'!$J$81:$U$105,25,0)</f>
        <v>0</v>
      </c>
    </row>
    <row r="48" spans="2:19" x14ac:dyDescent="0.25">
      <c r="B48" s="169" t="s">
        <v>151</v>
      </c>
      <c r="C48" s="169" t="s">
        <v>67</v>
      </c>
      <c r="D48" s="158" t="s">
        <v>152</v>
      </c>
      <c r="E48" s="220" t="e">
        <f t="shared" ref="E48:J48" si="8">SUM(E45:E47)</f>
        <v>#DIV/0!</v>
      </c>
      <c r="F48" s="221" t="e">
        <f t="shared" si="8"/>
        <v>#DIV/0!</v>
      </c>
      <c r="G48" s="190" t="e">
        <f t="shared" si="8"/>
        <v>#DIV/0!</v>
      </c>
      <c r="H48" s="234" t="e">
        <f t="shared" si="8"/>
        <v>#DIV/0!</v>
      </c>
      <c r="I48" s="183" t="e">
        <f t="shared" si="8"/>
        <v>#DIV/0!</v>
      </c>
      <c r="J48" s="191" t="e">
        <f t="shared" si="8"/>
        <v>#DIV/0!</v>
      </c>
      <c r="P48" s="252">
        <f>SUM(P45:P47)</f>
        <v>0</v>
      </c>
      <c r="Q48" s="252">
        <f>SUM(Q45:Q47)</f>
        <v>0</v>
      </c>
      <c r="R48" s="252">
        <f>SUM(R45:R47)</f>
        <v>0</v>
      </c>
      <c r="S48" s="252">
        <f>SUM(S45:S47)</f>
        <v>0</v>
      </c>
    </row>
    <row r="49" spans="2:19" x14ac:dyDescent="0.25">
      <c r="B49" s="169"/>
      <c r="C49" s="169"/>
      <c r="E49" s="226"/>
      <c r="H49" s="234"/>
      <c r="I49" s="183"/>
      <c r="J49" s="185"/>
      <c r="P49" s="252"/>
      <c r="Q49" s="252"/>
      <c r="R49" s="252"/>
      <c r="S49" s="252"/>
    </row>
    <row r="50" spans="2:19" x14ac:dyDescent="0.25">
      <c r="B50" s="170" t="s">
        <v>153</v>
      </c>
      <c r="C50" s="172"/>
      <c r="D50" s="171" t="s">
        <v>154</v>
      </c>
      <c r="E50" s="227" t="e">
        <f>E21+E29+E33+E37+E43+E48</f>
        <v>#DIV/0!</v>
      </c>
      <c r="F50" s="176" t="e">
        <f>F21+F29+F33+F37+F43+F48</f>
        <v>#DIV/0!</v>
      </c>
      <c r="G50" s="176" t="e">
        <f>F50-E50</f>
        <v>#DIV/0!</v>
      </c>
      <c r="H50" s="235" t="e">
        <f>H21+H29+H33+H37+H43+H48</f>
        <v>#DIV/0!</v>
      </c>
      <c r="I50" s="179" t="e">
        <f>I21+I29+I33+I37+I43+I48</f>
        <v>#DIV/0!</v>
      </c>
      <c r="J50" s="187" t="e">
        <f>I50-H50</f>
        <v>#DIV/0!</v>
      </c>
      <c r="P50" s="253">
        <f>P21+P29+P33+P37+P43+P48</f>
        <v>0</v>
      </c>
      <c r="Q50" s="253">
        <f>Q21+Q29+Q33+Q37+Q43+Q48</f>
        <v>0</v>
      </c>
      <c r="R50" s="253">
        <f>R21+R29+R33+R37+R43+R48</f>
        <v>0</v>
      </c>
      <c r="S50" s="253">
        <f>S21+S29+S33+S37+S43+S48</f>
        <v>0</v>
      </c>
    </row>
    <row r="51" spans="2:19" x14ac:dyDescent="0.25">
      <c r="E51" s="226"/>
      <c r="H51" s="234"/>
      <c r="I51" s="183"/>
      <c r="J51" s="185"/>
      <c r="P51" s="252"/>
      <c r="Q51" s="252"/>
      <c r="R51" s="252"/>
      <c r="S51" s="252"/>
    </row>
    <row r="52" spans="2:19" x14ac:dyDescent="0.25">
      <c r="B52" s="170" t="s">
        <v>155</v>
      </c>
      <c r="C52" s="170"/>
      <c r="D52" s="171" t="s">
        <v>156</v>
      </c>
      <c r="E52" s="227" t="e">
        <f>E9+E11+E50</f>
        <v>#DIV/0!</v>
      </c>
      <c r="F52" s="176" t="e">
        <f>F9+F11+F50</f>
        <v>#DIV/0!</v>
      </c>
      <c r="G52" s="176" t="e">
        <f>F52-E52</f>
        <v>#DIV/0!</v>
      </c>
      <c r="H52" s="235" t="e">
        <f>H9+H11+H50</f>
        <v>#DIV/0!</v>
      </c>
      <c r="I52" s="179" t="e">
        <f>I9+I11+I50</f>
        <v>#DIV/0!</v>
      </c>
      <c r="J52" s="187" t="e">
        <f>I52-H52</f>
        <v>#DIV/0!</v>
      </c>
      <c r="P52" s="253">
        <f>P9+P11+P50</f>
        <v>0</v>
      </c>
      <c r="Q52" s="253">
        <f>Q9+Q11+Q50</f>
        <v>0</v>
      </c>
      <c r="R52" s="253">
        <f>R9+R11+R50</f>
        <v>0</v>
      </c>
      <c r="S52" s="253">
        <f>S9+S11+S50</f>
        <v>0</v>
      </c>
    </row>
    <row r="53" spans="2:19" x14ac:dyDescent="0.25">
      <c r="E53" s="226"/>
      <c r="H53" s="234"/>
      <c r="I53" s="183"/>
      <c r="J53" s="185"/>
      <c r="P53" s="252"/>
      <c r="Q53" s="252"/>
      <c r="R53" s="252"/>
      <c r="S53" s="252"/>
    </row>
    <row r="54" spans="2:19" x14ac:dyDescent="0.25">
      <c r="B54" s="173" t="s">
        <v>157</v>
      </c>
      <c r="C54" s="173"/>
      <c r="D54" s="174" t="s">
        <v>158</v>
      </c>
      <c r="E54" s="228" t="e">
        <f>E7-E52</f>
        <v>#DIV/0!</v>
      </c>
      <c r="F54" s="192" t="e">
        <f>F7-F52</f>
        <v>#DIV/0!</v>
      </c>
      <c r="G54" s="192" t="e">
        <f>F54-E54</f>
        <v>#DIV/0!</v>
      </c>
      <c r="H54" s="236" t="e">
        <f>H7-H52</f>
        <v>#DIV/0!</v>
      </c>
      <c r="I54" s="193" t="e">
        <f>I7-I52</f>
        <v>#DIV/0!</v>
      </c>
      <c r="J54" s="194" t="e">
        <f>I54-H54</f>
        <v>#DIV/0!</v>
      </c>
      <c r="P54" s="252">
        <f>P7-P52</f>
        <v>0</v>
      </c>
      <c r="Q54" s="252">
        <f>Q7-Q52</f>
        <v>0</v>
      </c>
      <c r="R54" s="252">
        <f>R7-R52</f>
        <v>0</v>
      </c>
      <c r="S54" s="252">
        <f>S7-S52</f>
        <v>0</v>
      </c>
    </row>
    <row r="55" spans="2:19" ht="15.75" thickBot="1" x14ac:dyDescent="0.3">
      <c r="B55" s="169" t="s">
        <v>159</v>
      </c>
      <c r="D55" s="158" t="s">
        <v>160</v>
      </c>
      <c r="E55" s="226" t="e">
        <f t="shared" ref="E55:J55" si="9">E54*E5</f>
        <v>#DIV/0!</v>
      </c>
      <c r="F55" s="188" t="e">
        <f t="shared" si="9"/>
        <v>#DIV/0!</v>
      </c>
      <c r="G55" s="188" t="e">
        <f t="shared" si="9"/>
        <v>#DIV/0!</v>
      </c>
      <c r="H55" s="234" t="e">
        <f t="shared" si="9"/>
        <v>#DIV/0!</v>
      </c>
      <c r="I55" s="183" t="e">
        <f t="shared" si="9"/>
        <v>#DIV/0!</v>
      </c>
      <c r="J55" s="189" t="e">
        <f t="shared" si="9"/>
        <v>#DIV/0!</v>
      </c>
      <c r="P55" s="254">
        <f>P54*P5</f>
        <v>0</v>
      </c>
      <c r="Q55" s="254">
        <f>Q54*Q5</f>
        <v>0</v>
      </c>
      <c r="R55" s="254">
        <f>R54</f>
        <v>0</v>
      </c>
      <c r="S55" s="254">
        <f>S54</f>
        <v>0</v>
      </c>
    </row>
    <row r="56" spans="2:19" x14ac:dyDescent="0.25">
      <c r="E56" s="226"/>
      <c r="F56" s="188"/>
      <c r="H56" s="234"/>
      <c r="J56" s="185"/>
    </row>
    <row r="57" spans="2:19" x14ac:dyDescent="0.25">
      <c r="E57" s="226"/>
      <c r="H57" s="234"/>
      <c r="J57" s="185"/>
    </row>
    <row r="58" spans="2:19" x14ac:dyDescent="0.25">
      <c r="B58" s="173" t="s">
        <v>161</v>
      </c>
      <c r="C58" s="173"/>
      <c r="D58" s="174" t="s">
        <v>162</v>
      </c>
      <c r="E58" s="228"/>
      <c r="F58" s="152"/>
      <c r="G58" s="152"/>
      <c r="H58" s="236"/>
      <c r="I58" s="195"/>
      <c r="J58" s="196"/>
    </row>
    <row r="59" spans="2:19" x14ac:dyDescent="0.25">
      <c r="E59" s="226"/>
      <c r="H59" s="234"/>
      <c r="J59" s="185"/>
    </row>
    <row r="60" spans="2:19" ht="15.75" thickBot="1" x14ac:dyDescent="0.3">
      <c r="B60" s="169" t="s">
        <v>163</v>
      </c>
      <c r="C60" s="169"/>
      <c r="D60" s="158" t="s">
        <v>164</v>
      </c>
      <c r="E60" s="229"/>
      <c r="F60" s="197"/>
      <c r="G60" s="197"/>
      <c r="H60" s="237"/>
      <c r="I60" s="198"/>
      <c r="J60" s="199"/>
    </row>
  </sheetData>
  <conditionalFormatting sqref="H1:J2 H4:J4">
    <cfRule type="cellIs" dxfId="2" priority="1" operator="lessThan">
      <formula>0</formula>
    </cfRule>
  </conditionalFormatting>
  <dataValidations count="1">
    <dataValidation type="list" allowBlank="1" showInputMessage="1" showErrorMessage="1" sqref="E2" xr:uid="{567C84F3-9B57-43D6-8FD0-1107CDBCC471}">
      <formula1>"1/01/2025,1/02/2025,1/03/2025,1/04/2025,1/05/2025,1/06/2025,1/07/2025,1/08/2025,1/09/2025,1/10/2025,1/11/2025,1/12/2025"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0C6B8-AE1F-40B5-A72E-87859C71714B}">
  <sheetPr codeName="Sheet22">
    <tabColor theme="0" tint="-0.14999847407452621"/>
  </sheetPr>
  <dimension ref="A1:V60"/>
  <sheetViews>
    <sheetView workbookViewId="0">
      <selection activeCell="E16" sqref="E16"/>
    </sheetView>
  </sheetViews>
  <sheetFormatPr defaultColWidth="9.140625" defaultRowHeight="15" x14ac:dyDescent="0.25"/>
  <cols>
    <col min="1" max="1" width="9.140625" style="149"/>
    <col min="2" max="2" width="41.28515625" style="157" customWidth="1"/>
    <col min="3" max="3" width="16.85546875" style="157" bestFit="1" customWidth="1"/>
    <col min="4" max="4" width="14.42578125" style="158" bestFit="1" customWidth="1"/>
    <col min="5" max="5" width="11.5703125" style="223" bestFit="1" customWidth="1"/>
    <col min="6" max="6" width="11.5703125" style="149" bestFit="1" customWidth="1"/>
    <col min="7" max="7" width="14.28515625" style="149" bestFit="1" customWidth="1"/>
    <col min="8" max="8" width="11.7109375" style="223" bestFit="1" customWidth="1"/>
    <col min="9" max="9" width="12.42578125" style="157" bestFit="1" customWidth="1"/>
    <col min="10" max="10" width="14.28515625" style="149" bestFit="1" customWidth="1"/>
    <col min="11" max="15" width="9.140625" style="149"/>
    <col min="16" max="16" width="11.5703125" style="149" bestFit="1" customWidth="1"/>
    <col min="17" max="17" width="11.28515625" style="149" bestFit="1" customWidth="1"/>
    <col min="18" max="18" width="11.28515625" style="149" customWidth="1"/>
    <col min="19" max="19" width="13.42578125" style="149" customWidth="1"/>
    <col min="20" max="16384" width="9.140625" style="149"/>
  </cols>
  <sheetData>
    <row r="1" spans="1:22" ht="15.75" thickBot="1" x14ac:dyDescent="0.3">
      <c r="A1" s="247">
        <f>MONTH(E2)</f>
        <v>1</v>
      </c>
      <c r="B1" s="169" t="str">
        <f>'Kanuka (T&amp;M) Actual'!B2</f>
        <v>Kanuka</v>
      </c>
      <c r="F1" s="157"/>
      <c r="G1" s="157"/>
      <c r="J1" s="157"/>
      <c r="P1" s="149">
        <f>MONTH(Q2)</f>
        <v>1</v>
      </c>
      <c r="T1" t="s">
        <v>177</v>
      </c>
      <c r="U1" t="s">
        <v>178</v>
      </c>
    </row>
    <row r="2" spans="1:22" ht="15.75" thickBot="1" x14ac:dyDescent="0.3">
      <c r="A2" s="247" t="str">
        <f>_xlfn.XLOOKUP(A1,T2:T13,U2:U13,0,0)</f>
        <v>January</v>
      </c>
      <c r="B2" s="159"/>
      <c r="C2" s="159"/>
      <c r="D2" s="160"/>
      <c r="E2" s="238">
        <v>45658</v>
      </c>
      <c r="F2" s="161"/>
      <c r="G2" s="161"/>
      <c r="H2" s="230" t="s">
        <v>123</v>
      </c>
      <c r="I2" s="162"/>
      <c r="J2" s="163"/>
      <c r="M2" s="175"/>
      <c r="P2" t="s">
        <v>179</v>
      </c>
      <c r="Q2" s="248">
        <f>_xlfn.XLOOKUP(P2,U2:U13,V2:V13,0,0)</f>
        <v>45658</v>
      </c>
      <c r="R2" s="248"/>
      <c r="T2">
        <v>1</v>
      </c>
      <c r="U2" t="s">
        <v>179</v>
      </c>
      <c r="V2" s="249">
        <v>45658</v>
      </c>
    </row>
    <row r="3" spans="1:22" x14ac:dyDescent="0.25">
      <c r="B3" s="159"/>
      <c r="C3" s="159"/>
      <c r="D3" s="160"/>
      <c r="E3" s="224" t="s">
        <v>124</v>
      </c>
      <c r="F3" s="180" t="s">
        <v>125</v>
      </c>
      <c r="G3" s="180" t="s">
        <v>126</v>
      </c>
      <c r="H3" s="231" t="s">
        <v>124</v>
      </c>
      <c r="I3" s="180" t="s">
        <v>125</v>
      </c>
      <c r="J3" s="181" t="s">
        <v>126</v>
      </c>
      <c r="L3" s="447" t="s">
        <v>13</v>
      </c>
      <c r="M3" s="250" t="s">
        <v>125</v>
      </c>
      <c r="P3" s="250" t="s">
        <v>180</v>
      </c>
      <c r="Q3" s="250" t="s">
        <v>125</v>
      </c>
      <c r="R3" s="250" t="s">
        <v>180</v>
      </c>
      <c r="S3" s="250" t="s">
        <v>125</v>
      </c>
      <c r="T3">
        <v>2</v>
      </c>
      <c r="U3" t="s">
        <v>181</v>
      </c>
      <c r="V3" s="249">
        <v>45689</v>
      </c>
    </row>
    <row r="4" spans="1:22" ht="15.75" thickBot="1" x14ac:dyDescent="0.3">
      <c r="B4" s="164"/>
      <c r="C4" s="164"/>
      <c r="D4" s="165"/>
      <c r="E4" s="225" t="s">
        <v>127</v>
      </c>
      <c r="F4" s="166" t="s">
        <v>128</v>
      </c>
      <c r="G4" s="166" t="s">
        <v>129</v>
      </c>
      <c r="H4" s="232" t="s">
        <v>130</v>
      </c>
      <c r="I4" s="167" t="s">
        <v>131</v>
      </c>
      <c r="J4" s="168" t="s">
        <v>132</v>
      </c>
      <c r="L4" s="251"/>
      <c r="M4" s="251" t="s">
        <v>240</v>
      </c>
      <c r="P4" s="251" t="s">
        <v>203</v>
      </c>
      <c r="Q4" s="251" t="s">
        <v>203</v>
      </c>
      <c r="R4" s="251" t="s">
        <v>204</v>
      </c>
      <c r="S4" s="251" t="s">
        <v>204</v>
      </c>
      <c r="T4">
        <v>3</v>
      </c>
      <c r="U4" t="s">
        <v>182</v>
      </c>
      <c r="V4" s="249">
        <v>45717</v>
      </c>
    </row>
    <row r="5" spans="1:22" x14ac:dyDescent="0.25">
      <c r="B5" s="169" t="s">
        <v>133</v>
      </c>
      <c r="C5" s="169"/>
      <c r="D5" s="158" t="s">
        <v>134</v>
      </c>
      <c r="E5" s="375">
        <f>HLOOKUP($E$2,'Kanuka (T&amp;M) Actual'!$J$3:$U$16,14,0)</f>
        <v>0</v>
      </c>
      <c r="F5" s="221">
        <f>HLOOKUP($E$2,'Kanuka (T&amp;M) Budget'!$J$3:$U$16,14,0)</f>
        <v>0</v>
      </c>
      <c r="G5" s="182">
        <f>E5-F5</f>
        <v>0</v>
      </c>
      <c r="H5" s="233">
        <f>SUMIFS('Kanuka (T&amp;M) Actual'!$J$16:$U$16,'Kanuka (T&amp;M) Actual'!$J$3:$U$3,"&lt;="&amp;Summary_6!$E$2)</f>
        <v>0</v>
      </c>
      <c r="I5" s="183">
        <f>SUMIFS('Kanuka (T&amp;M) Budget'!$J$16:$U$16,'Kanuka (T&amp;M) Budget'!$J$3:$U$3,"&lt;="&amp;Summary_6!$E$2)</f>
        <v>0</v>
      </c>
      <c r="J5" s="184">
        <f>H5-I5</f>
        <v>0</v>
      </c>
      <c r="L5" s="442" t="s">
        <v>20</v>
      </c>
      <c r="M5" s="443">
        <f>$S$5*'Kanuka (T&amp;M) Budget'!C20</f>
        <v>0</v>
      </c>
      <c r="P5" s="252">
        <f>HLOOKUP($Q$2,'Kanuka (T&amp;M) Actual'!$J$3:$U$16,14,0)</f>
        <v>0</v>
      </c>
      <c r="Q5" s="252">
        <f>HLOOKUP($Q$2,'Kanuka (T&amp;M) Budget'!$J$3:$U$16,14,0)</f>
        <v>0</v>
      </c>
      <c r="R5" s="252">
        <f>HLOOKUP($Q$2,'Kanuka (T&amp;M) Actual'!$J$3:$U$16,14,0)</f>
        <v>0</v>
      </c>
      <c r="S5" s="252">
        <f>HLOOKUP($Q$2,'Kanuka (T&amp;M) Budget'!$J$3:$U$16,14,0)</f>
        <v>0</v>
      </c>
      <c r="T5">
        <v>4</v>
      </c>
      <c r="U5" t="s">
        <v>183</v>
      </c>
      <c r="V5" s="249">
        <v>45748</v>
      </c>
    </row>
    <row r="6" spans="1:22" x14ac:dyDescent="0.25">
      <c r="B6" s="169"/>
      <c r="C6" s="169"/>
      <c r="E6" s="220"/>
      <c r="F6" s="151"/>
      <c r="H6" s="234"/>
      <c r="I6" s="183"/>
      <c r="J6" s="185"/>
      <c r="L6" s="444" t="s">
        <v>22</v>
      </c>
      <c r="M6" s="189">
        <f>$S$5*'Kanuka (T&amp;M) Budget'!C21</f>
        <v>0</v>
      </c>
      <c r="P6" s="252"/>
      <c r="Q6" s="252"/>
      <c r="R6" s="252"/>
      <c r="S6" s="252"/>
      <c r="T6">
        <v>5</v>
      </c>
      <c r="U6" t="s">
        <v>184</v>
      </c>
      <c r="V6" s="249">
        <v>45778</v>
      </c>
    </row>
    <row r="7" spans="1:22" x14ac:dyDescent="0.25">
      <c r="B7" s="170" t="s">
        <v>135</v>
      </c>
      <c r="C7" s="170"/>
      <c r="D7" s="171" t="s">
        <v>136</v>
      </c>
      <c r="E7" s="219" t="e">
        <f>(HLOOKUP($E$2,'Kanuka (T&amp;M) Actual'!$J$19:$U$46,28,0))/E5</f>
        <v>#DIV/0!</v>
      </c>
      <c r="F7" s="218" t="e">
        <f>(HLOOKUP($E$2,'Kanuka (T&amp;M) Budget'!$J$19:$U$46,28,0))/F5</f>
        <v>#DIV/0!</v>
      </c>
      <c r="G7" s="177" t="e">
        <f>E7-F7</f>
        <v>#DIV/0!</v>
      </c>
      <c r="H7" s="235" t="e">
        <f>SUMIFS('Kanuka (T&amp;M) Actual'!$J$46:$U$46,'Kanuka (T&amp;M) Actual'!J19:U19,"&lt;="&amp;Summary_6!$E$2)/H5</f>
        <v>#DIV/0!</v>
      </c>
      <c r="I7" s="179" t="e">
        <f>SUMIFS('Kanuka (T&amp;M) Budget'!$J$46:$U$46,'Kanuka (T&amp;M) Budget'!J19:U19,"&lt;="&amp;Summary_6!$E$2)/I5</f>
        <v>#DIV/0!</v>
      </c>
      <c r="J7" s="186" t="e">
        <f>H7-I7</f>
        <v>#DIV/0!</v>
      </c>
      <c r="L7" s="444" t="s">
        <v>25</v>
      </c>
      <c r="M7" s="189">
        <f>$S$5*'Kanuka (T&amp;M) Budget'!C22</f>
        <v>0</v>
      </c>
      <c r="P7" s="253">
        <f>IFERROR(HLOOKUP($Q$2,'Kanuka (T&amp;M) Actual'!$J$19:$U$46,28,0)/P5,0)</f>
        <v>0</v>
      </c>
      <c r="Q7" s="253">
        <f>IFERROR(HLOOKUP($Q$2,'Kanuka (T&amp;M) Budget'!$J$19:$U$46,28,0)/Q5,0)</f>
        <v>0</v>
      </c>
      <c r="R7" s="253">
        <f>HLOOKUP($Q$2,'Kanuka (T&amp;M) Actual'!$J$19:$U$46,28,0)</f>
        <v>0</v>
      </c>
      <c r="S7" s="253">
        <f>(HLOOKUP($Q$2,'Kanuka (T&amp;M) Budget'!$J$19:$U$46,28,0))</f>
        <v>0</v>
      </c>
      <c r="T7">
        <v>6</v>
      </c>
      <c r="U7" t="s">
        <v>185</v>
      </c>
      <c r="V7" s="249">
        <v>45809</v>
      </c>
    </row>
    <row r="8" spans="1:22" x14ac:dyDescent="0.25">
      <c r="E8" s="220"/>
      <c r="F8" s="151"/>
      <c r="H8" s="234"/>
      <c r="I8" s="183"/>
      <c r="J8" s="185"/>
      <c r="L8" s="444" t="s">
        <v>30</v>
      </c>
      <c r="M8" s="189">
        <f>$S$5*'Kanuka (T&amp;M) Budget'!C23</f>
        <v>0</v>
      </c>
      <c r="P8" s="252"/>
      <c r="Q8" s="252"/>
      <c r="R8" s="252"/>
      <c r="S8" s="252"/>
      <c r="T8">
        <v>7</v>
      </c>
      <c r="U8" t="s">
        <v>186</v>
      </c>
      <c r="V8" s="249">
        <v>45839</v>
      </c>
    </row>
    <row r="9" spans="1:22" x14ac:dyDescent="0.25">
      <c r="B9" s="170" t="s">
        <v>137</v>
      </c>
      <c r="C9" s="170"/>
      <c r="D9" s="171" t="s">
        <v>138</v>
      </c>
      <c r="E9" s="219" t="e">
        <f>HLOOKUP($E$2,'Kanuka (T&amp;M) Actual'!$J$50:$U$51,2,0)/E5</f>
        <v>#DIV/0!</v>
      </c>
      <c r="F9" s="218" t="e">
        <f>HLOOKUP($E$2,'Kanuka (T&amp;M) Budget'!$J$50:$U$51,2,0)/F5</f>
        <v>#DIV/0!</v>
      </c>
      <c r="G9" s="176" t="e">
        <f>F9-E9</f>
        <v>#DIV/0!</v>
      </c>
      <c r="H9" s="235" t="e">
        <f>SUMIFS('Kanuka (T&amp;M) Actual'!$J$51:$U$51,'Kanuka (T&amp;M) Actual'!J50:U50,"&lt;="&amp;Summary_6!$E$2)/H5</f>
        <v>#DIV/0!</v>
      </c>
      <c r="I9" s="179" t="e">
        <f>SUMIFS('Kanuka (T&amp;M) Budget'!$J$51:$U$51,'Kanuka (T&amp;M) Budget'!J50:U50,"&lt;="&amp;Summary_6!$E$2)/I5</f>
        <v>#DIV/0!</v>
      </c>
      <c r="J9" s="187" t="e">
        <f>I9-H9</f>
        <v>#DIV/0!</v>
      </c>
      <c r="L9" s="444" t="s">
        <v>222</v>
      </c>
      <c r="M9" s="189">
        <f>$S$5*'Kanuka (T&amp;M) Budget'!C24</f>
        <v>0</v>
      </c>
      <c r="P9" s="253">
        <f>IFERROR(HLOOKUP($Q$2,'Kanuka (T&amp;M) Actual'!$J$50:$U$51,2,0)/P5,0)</f>
        <v>0</v>
      </c>
      <c r="Q9" s="253">
        <f>IFERROR(HLOOKUP($Q$2,'Kanuka (T&amp;M) Budget'!$J$50:$U$51,2,0)/Q5,0)</f>
        <v>0</v>
      </c>
      <c r="R9" s="253">
        <f>HLOOKUP($Q$2,'Kanuka (T&amp;M) Actual'!$J$50:$U$51,2,0)</f>
        <v>0</v>
      </c>
      <c r="S9" s="253">
        <f>HLOOKUP($Q$2,'Kanuka (T&amp;M) Budget'!$J$50:$U$51,2,0)</f>
        <v>0</v>
      </c>
      <c r="T9">
        <v>8</v>
      </c>
      <c r="U9" t="s">
        <v>187</v>
      </c>
      <c r="V9" s="249">
        <v>45870</v>
      </c>
    </row>
    <row r="10" spans="1:22" x14ac:dyDescent="0.25">
      <c r="E10" s="220"/>
      <c r="F10" s="151"/>
      <c r="H10" s="234"/>
      <c r="I10" s="183"/>
      <c r="J10" s="185"/>
      <c r="L10" s="444" t="s">
        <v>34</v>
      </c>
      <c r="M10" s="189">
        <f>$S$5*'Kanuka (T&amp;M) Budget'!C25</f>
        <v>0</v>
      </c>
      <c r="P10" s="252"/>
      <c r="Q10" s="252"/>
      <c r="R10" s="252"/>
      <c r="S10" s="252"/>
      <c r="T10">
        <v>9</v>
      </c>
      <c r="U10" t="s">
        <v>188</v>
      </c>
      <c r="V10" s="249">
        <v>45901</v>
      </c>
    </row>
    <row r="11" spans="1:22" x14ac:dyDescent="0.25">
      <c r="B11" s="170" t="s">
        <v>139</v>
      </c>
      <c r="C11" s="170"/>
      <c r="D11" s="171" t="s">
        <v>140</v>
      </c>
      <c r="E11" s="219" t="e">
        <f>HLOOKUP($E$2,'Kanuka (T&amp;M) Actual'!$J$55:$U$78,24,0)/E5</f>
        <v>#DIV/0!</v>
      </c>
      <c r="F11" s="218" t="e">
        <f>HLOOKUP($E$2,'Kanuka (T&amp;M) Budget'!$J$55:$U$78,24,0)/F5</f>
        <v>#DIV/0!</v>
      </c>
      <c r="G11" s="176" t="e">
        <f>F11-E11</f>
        <v>#DIV/0!</v>
      </c>
      <c r="H11" s="235" t="e">
        <f>SUMIFS('Kanuka (T&amp;M) Actual'!$J$78:$U$78,'Kanuka (T&amp;M) Actual'!$J$55:$U$55,"&lt;="&amp;Summary_6!$E$2)/H5</f>
        <v>#DIV/0!</v>
      </c>
      <c r="I11" s="179" t="e">
        <f>SUMIFS('Kanuka (T&amp;M) Budget'!$J$78:$U$78,'Kanuka (T&amp;M) Budget'!$J$55:$U$55,"&lt;="&amp;Summary_6!$E$2)/I5</f>
        <v>#DIV/0!</v>
      </c>
      <c r="J11" s="187" t="e">
        <f>I11-H11</f>
        <v>#DIV/0!</v>
      </c>
      <c r="L11" s="444" t="s">
        <v>37</v>
      </c>
      <c r="M11" s="189">
        <f>$S$5*'Kanuka (T&amp;M) Budget'!C26</f>
        <v>0</v>
      </c>
      <c r="P11" s="253">
        <f>IFERROR(HLOOKUP($Q$2,'Kanuka (T&amp;M) Actual'!$J$55:$U$78,24,0)/P5,0)</f>
        <v>0</v>
      </c>
      <c r="Q11" s="253">
        <f>IFERROR(HLOOKUP($Q$2,'Kanuka (T&amp;M) Budget'!$J$55:$U$78,24,0)/Q5,0)</f>
        <v>0</v>
      </c>
      <c r="R11" s="253">
        <f>HLOOKUP($Q$2,'Kanuka (T&amp;M) Actual'!$J$55:$U$78,24,0)</f>
        <v>0</v>
      </c>
      <c r="S11" s="253">
        <f>HLOOKUP($Q$2,'Kanuka (T&amp;M) Budget'!$J$55:$U$78,24,0)</f>
        <v>0</v>
      </c>
      <c r="T11">
        <v>10</v>
      </c>
      <c r="U11" t="s">
        <v>189</v>
      </c>
      <c r="V11" s="249">
        <v>45931</v>
      </c>
    </row>
    <row r="12" spans="1:22" x14ac:dyDescent="0.25">
      <c r="E12" s="220"/>
      <c r="F12" s="373"/>
      <c r="H12" s="234"/>
      <c r="I12" s="183"/>
      <c r="J12" s="185"/>
      <c r="L12" s="444" t="s">
        <v>174</v>
      </c>
      <c r="M12" s="189">
        <f>$S$5*'Kanuka (T&amp;M) Budget'!C27</f>
        <v>0</v>
      </c>
      <c r="P12" s="252"/>
      <c r="Q12" s="252"/>
      <c r="R12" s="252"/>
      <c r="S12" s="252"/>
      <c r="T12">
        <v>11</v>
      </c>
      <c r="U12" t="s">
        <v>190</v>
      </c>
      <c r="V12" s="249">
        <v>45962</v>
      </c>
    </row>
    <row r="13" spans="1:22" x14ac:dyDescent="0.25">
      <c r="B13" s="157" t="s">
        <v>52</v>
      </c>
      <c r="C13" s="157" t="s">
        <v>53</v>
      </c>
      <c r="E13" s="220" t="e">
        <f>HLOOKUP($E$2,'Kanuka (T&amp;M) Actual'!$J$81:$U$105,2,0)/$E$5</f>
        <v>#DIV/0!</v>
      </c>
      <c r="F13" s="221" t="e">
        <f>HLOOKUP($E$2,'Kanuka (T&amp;M) Budget'!$J$81:$U$105,2,0)/$F$5</f>
        <v>#DIV/0!</v>
      </c>
      <c r="G13" s="188" t="e">
        <f t="shared" ref="G13:G20" si="0">F13-E13</f>
        <v>#DIV/0!</v>
      </c>
      <c r="H13" s="234" t="e">
        <f>SUMIFS('Kanuka (T&amp;M) Actual'!$J$82:$U$82,'Kanuka (T&amp;M) Actual'!$J$81:$U$81,"&lt;="&amp;Summary_6!$E$2)/H5</f>
        <v>#DIV/0!</v>
      </c>
      <c r="I13" s="183" t="e">
        <f>SUMIFS('Kanuka (T&amp;M) Budget'!$J$82:$U$82,'Kanuka (T&amp;M) Budget'!$J$81:$U$81,"&lt;="&amp;Summary_6!$E$2)/I5</f>
        <v>#DIV/0!</v>
      </c>
      <c r="J13" s="189" t="e">
        <f t="shared" ref="J13:J20" si="1">I13-H13</f>
        <v>#DIV/0!</v>
      </c>
      <c r="L13" s="444" t="s">
        <v>202</v>
      </c>
      <c r="M13" s="189">
        <f>$S$5*'Kanuka (T&amp;M) Budget'!C28</f>
        <v>0</v>
      </c>
      <c r="P13" s="252">
        <f>IFERROR(HLOOKUP($Q$2,'Kanuka (T&amp;M) Actual'!$J$81:$U$105,2,0)/$P$5,0)</f>
        <v>0</v>
      </c>
      <c r="Q13" s="252">
        <f>IFERROR(HLOOKUP($Q$2,'Kanuka (T&amp;M) Budget'!$J$81:$U$105,2,0)/$Q$5,0)</f>
        <v>0</v>
      </c>
      <c r="R13" s="252">
        <f>HLOOKUP($Q$2,'Kanuka (T&amp;M) Actual'!$J$81:$U$105,2,0)</f>
        <v>0</v>
      </c>
      <c r="S13" s="252">
        <f>HLOOKUP($Q$2,'Kanuka (T&amp;M) Budget'!$J$81:$U$105,2,0)</f>
        <v>0</v>
      </c>
      <c r="T13">
        <v>12</v>
      </c>
      <c r="U13" t="s">
        <v>191</v>
      </c>
      <c r="V13" s="249">
        <v>45992</v>
      </c>
    </row>
    <row r="14" spans="1:22" x14ac:dyDescent="0.25">
      <c r="B14" s="157" t="s">
        <v>227</v>
      </c>
      <c r="C14" s="157" t="s">
        <v>53</v>
      </c>
      <c r="E14" s="220" t="e">
        <f>HLOOKUP($E$2,'Kanuka (T&amp;M) Actual'!$J$81:$U$105,3,0)/$E$5</f>
        <v>#DIV/0!</v>
      </c>
      <c r="F14" s="221" t="e">
        <f>HLOOKUP($E$2,'Kanuka (T&amp;M) Budget'!$J$81:$U$105,3,0)/$F$5</f>
        <v>#DIV/0!</v>
      </c>
      <c r="G14" s="188" t="e">
        <f t="shared" si="0"/>
        <v>#DIV/0!</v>
      </c>
      <c r="H14" s="234" t="e">
        <f>SUMIFS('Kanuka (T&amp;M) Actual'!$J$83:$U$83,'Kanuka (T&amp;M) Actual'!$J$81:$U$81,"&lt;="&amp;Summary_6!$E$2)/H5</f>
        <v>#DIV/0!</v>
      </c>
      <c r="I14" s="183" t="e">
        <f>SUMIFS('Kanuka (T&amp;M) Budget'!$J$83:$U$83,'Kanuka (T&amp;M) Budget'!$J$81:$U$81,"&lt;="&amp;Summary_6!$E$2)/I5</f>
        <v>#DIV/0!</v>
      </c>
      <c r="J14" s="189" t="e">
        <f t="shared" si="1"/>
        <v>#DIV/0!</v>
      </c>
      <c r="L14" s="444" t="s">
        <v>175</v>
      </c>
      <c r="M14" s="189">
        <f>$S$5*'Kanuka (T&amp;M) Budget'!C29</f>
        <v>0</v>
      </c>
      <c r="P14" s="252">
        <f>IFERROR(HLOOKUP($Q$2,'Kanuka (T&amp;M) Actual'!$J$81:$U$105,3,0)/$P$5,0)</f>
        <v>0</v>
      </c>
      <c r="Q14" s="252">
        <f>IFERROR(HLOOKUP($Q$2,'Kanuka (T&amp;M) Budget'!$J$81:$U$105,3,0)/$Q$5,0)</f>
        <v>0</v>
      </c>
      <c r="R14" s="252">
        <f>HLOOKUP($Q$2,'Kanuka (T&amp;M) Actual'!$J$81:$U$105,3,0)</f>
        <v>0</v>
      </c>
      <c r="S14" s="252">
        <f>HLOOKUP($Q$2,'Kanuka (T&amp;M) Budget'!$J$81:$U$105,3,0)</f>
        <v>0</v>
      </c>
    </row>
    <row r="15" spans="1:22" x14ac:dyDescent="0.25">
      <c r="B15" s="157" t="s">
        <v>54</v>
      </c>
      <c r="C15" s="157" t="s">
        <v>53</v>
      </c>
      <c r="E15" s="220" t="e">
        <f>HLOOKUP($E$2,'Kanuka (T&amp;M) Actual'!$J$81:$U$105,4,0)/$E$5</f>
        <v>#DIV/0!</v>
      </c>
      <c r="F15" s="221" t="e">
        <f>HLOOKUP($E$2,'Kanuka (T&amp;M) Budget'!$J$81:$U$105,4,0)/$F$5</f>
        <v>#DIV/0!</v>
      </c>
      <c r="G15" s="188" t="e">
        <f t="shared" si="0"/>
        <v>#DIV/0!</v>
      </c>
      <c r="H15" s="234" t="e">
        <f>SUMIFS('Kanuka (T&amp;M) Actual'!$J$84:$U$84,'Kanuka (T&amp;M) Actual'!$J$81:$U$81,"&lt;="&amp;Summary_6!$E$2)/H5</f>
        <v>#DIV/0!</v>
      </c>
      <c r="I15" s="183" t="e">
        <f>SUMIFS('Kanuka (T&amp;M) Budget'!$J$84:$U$84,'Kanuka (T&amp;M) Budget'!$J$81:$U$81,"&lt;="&amp;Summary_6!$E$2)/I5</f>
        <v>#DIV/0!</v>
      </c>
      <c r="J15" s="189" t="e">
        <f t="shared" si="1"/>
        <v>#DIV/0!</v>
      </c>
      <c r="L15" s="444" t="s">
        <v>176</v>
      </c>
      <c r="M15" s="189">
        <f>$S$5*'Kanuka (T&amp;M) Budget'!C30</f>
        <v>0</v>
      </c>
      <c r="P15" s="252">
        <f>IFERROR(HLOOKUP($Q$2,'Kanuka (T&amp;M) Actual'!$J$81:$U$105,4,0)/$P$5,0)</f>
        <v>0</v>
      </c>
      <c r="Q15" s="252">
        <f>IFERROR(HLOOKUP($Q$2,'Kanuka (T&amp;M) Budget'!$J$81:$U$105,4,0)/$Q$5,0)</f>
        <v>0</v>
      </c>
      <c r="R15" s="252">
        <f>HLOOKUP($Q$2,'Kanuka (T&amp;M) Actual'!$J$81:$U$105,4,0)</f>
        <v>0</v>
      </c>
      <c r="S15" s="252">
        <f>HLOOKUP($Q$2,'Kanuka (T&amp;M) Budget'!$J$81:$U$105,4,0)</f>
        <v>0</v>
      </c>
    </row>
    <row r="16" spans="1:22" x14ac:dyDescent="0.25">
      <c r="B16" s="157" t="s">
        <v>55</v>
      </c>
      <c r="C16" s="157" t="s">
        <v>53</v>
      </c>
      <c r="E16" s="220" t="e">
        <f>HLOOKUP($E$2,'Kanuka (T&amp;M) Actual'!$J$81:$U$105,5,0)/$E$5</f>
        <v>#DIV/0!</v>
      </c>
      <c r="F16" s="221" t="e">
        <f>HLOOKUP($E$2,'Kanuka (T&amp;M) Budget'!$J$81:$U$105,5,0)/$F$5</f>
        <v>#DIV/0!</v>
      </c>
      <c r="G16" s="188" t="e">
        <f t="shared" si="0"/>
        <v>#DIV/0!</v>
      </c>
      <c r="H16" s="234" t="e">
        <f>SUMIFS('Kanuka (T&amp;M) Actual'!$J$85:$U$85,'Kanuka (T&amp;M) Actual'!$J$81:$U$81,"&lt;="&amp;Summary_6!$E$2)/H5</f>
        <v>#DIV/0!</v>
      </c>
      <c r="I16" s="183" t="e">
        <f>SUMIFS('Kanuka (T&amp;M) Budget'!$J$85:$U$85,'Kanuka (T&amp;M) Budget'!$J$81:$U$81,"&lt;="&amp;Summary_6!$E$2)/I5</f>
        <v>#DIV/0!</v>
      </c>
      <c r="J16" s="189" t="e">
        <f t="shared" si="1"/>
        <v>#DIV/0!</v>
      </c>
      <c r="L16" s="444" t="s">
        <v>23</v>
      </c>
      <c r="M16" s="189">
        <f>$S$5*'Kanuka (T&amp;M) Budget'!C31</f>
        <v>0</v>
      </c>
      <c r="P16" s="252">
        <f>IFERROR(HLOOKUP($Q$2,'Kanuka (T&amp;M) Actual'!$J$81:$U$105,5,0)/$P$5,0)</f>
        <v>0</v>
      </c>
      <c r="Q16" s="252">
        <f>IFERROR(HLOOKUP($Q$2,'Kanuka (T&amp;M) Budget'!$J$81:$U$105,5,0)/$Q$5,0)</f>
        <v>0</v>
      </c>
      <c r="R16" s="252">
        <f>HLOOKUP($Q$2,'Kanuka (T&amp;M) Actual'!$J$81:$U$105,5,0)</f>
        <v>0</v>
      </c>
      <c r="S16" s="252">
        <f>HLOOKUP($Q$2,'Kanuka (T&amp;M) Budget'!$J$81:$U$105,5,0)</f>
        <v>0</v>
      </c>
    </row>
    <row r="17" spans="2:19" x14ac:dyDescent="0.25">
      <c r="B17" s="157" t="s">
        <v>228</v>
      </c>
      <c r="C17" s="157" t="s">
        <v>53</v>
      </c>
      <c r="E17" s="220" t="e">
        <f>HLOOKUP($E$2,'Kanuka (T&amp;M) Actual'!$J$81:$U$105,6,0)/$E$5</f>
        <v>#DIV/0!</v>
      </c>
      <c r="F17" s="221" t="e">
        <f>HLOOKUP($E$2,'Kanuka (T&amp;M) Budget'!$J$81:$U$105,6,0)/$F$5</f>
        <v>#DIV/0!</v>
      </c>
      <c r="G17" s="188" t="e">
        <f t="shared" si="0"/>
        <v>#DIV/0!</v>
      </c>
      <c r="H17" s="234" t="e">
        <f>SUMIFS('Kanuka (T&amp;M) Actual'!$J$86:$U$86,'Kanuka (T&amp;M) Actual'!$J$81:$U$81,"&lt;="&amp;Summary_6!$E$2)/H5</f>
        <v>#DIV/0!</v>
      </c>
      <c r="I17" s="183" t="e">
        <f>SUMIFS('Kanuka (T&amp;M) Budget'!$J$86:$U$86,'Kanuka (T&amp;M) Budget'!$J$81:$U$81,"&lt;="&amp;Summary_6!$E$2)/I5</f>
        <v>#DIV/0!</v>
      </c>
      <c r="J17" s="189" t="e">
        <f t="shared" si="1"/>
        <v>#DIV/0!</v>
      </c>
      <c r="L17" s="444" t="s">
        <v>24</v>
      </c>
      <c r="M17" s="189">
        <f>$S$5*'Kanuka (T&amp;M) Budget'!C32</f>
        <v>0</v>
      </c>
      <c r="P17" s="252">
        <f>IFERROR(HLOOKUP($Q$2,'Kanuka (T&amp;M) Actual'!$J$81:$U$105,6,0)/$P$5,0)</f>
        <v>0</v>
      </c>
      <c r="Q17" s="252">
        <f>IFERROR(HLOOKUP($Q$2,'Kanuka (T&amp;M) Budget'!$J$81:$U$105,6,0)/$Q$5,0)</f>
        <v>0</v>
      </c>
      <c r="R17" s="252">
        <f>HLOOKUP($Q$2,'Kanuka (T&amp;M) Actual'!$J$81:$U$105,6,0)</f>
        <v>0</v>
      </c>
      <c r="S17" s="252">
        <f>HLOOKUP($Q$2,'Kanuka (T&amp;M) Budget'!$J$81:$U$105,6,0)</f>
        <v>0</v>
      </c>
    </row>
    <row r="18" spans="2:19" x14ac:dyDescent="0.25">
      <c r="B18" s="157" t="s">
        <v>56</v>
      </c>
      <c r="C18" s="157" t="s">
        <v>53</v>
      </c>
      <c r="E18" s="220" t="e">
        <f>HLOOKUP($E$2,'Kanuka (T&amp;M) Actual'!$J$81:$U$105,7,0)/$E$5</f>
        <v>#DIV/0!</v>
      </c>
      <c r="F18" s="221" t="e">
        <f>HLOOKUP($E$2,'Kanuka (T&amp;M) Budget'!$J$81:$U$105,7,0)/$F$5</f>
        <v>#DIV/0!</v>
      </c>
      <c r="G18" s="188" t="e">
        <f t="shared" si="0"/>
        <v>#DIV/0!</v>
      </c>
      <c r="H18" s="234" t="e">
        <f>SUMIFS('Kanuka (T&amp;M) Actual'!$J$87:$U$87,'Kanuka (T&amp;M) Actual'!$J$81:$U$81,"&lt;="&amp;Summary_6!$E$2)/H5</f>
        <v>#DIV/0!</v>
      </c>
      <c r="I18" s="183" t="e">
        <f>SUMIFS('Kanuka (T&amp;M) Budget'!$J$87:$U$87,'Kanuka (T&amp;M) Budget'!$J$81:$U$81,"&lt;="&amp;Summary_6!$E$2)/I5</f>
        <v>#DIV/0!</v>
      </c>
      <c r="J18" s="189" t="e">
        <f t="shared" si="1"/>
        <v>#DIV/0!</v>
      </c>
      <c r="L18" s="444" t="s">
        <v>26</v>
      </c>
      <c r="M18" s="189">
        <f>$S$5*'Kanuka (T&amp;M) Budget'!C33</f>
        <v>0</v>
      </c>
      <c r="P18" s="252">
        <f>IFERROR(HLOOKUP($Q$2,'Kanuka (T&amp;M) Actual'!$J$81:$U$105,7,0)/$P$5,0)</f>
        <v>0</v>
      </c>
      <c r="Q18" s="252">
        <f>IFERROR(HLOOKUP($Q$2,'Kanuka (T&amp;M) Budget'!$J$81:$U$105,7,0)/$Q$5,0)</f>
        <v>0</v>
      </c>
      <c r="R18" s="252">
        <f>HLOOKUP($Q$2,'Kanuka (T&amp;M) Actual'!$J$81:$U$105,7,0)</f>
        <v>0</v>
      </c>
      <c r="S18" s="252">
        <f>HLOOKUP($Q$2,'Kanuka (T&amp;M) Budget'!$J$81:$U$105,7,0)</f>
        <v>0</v>
      </c>
    </row>
    <row r="19" spans="2:19" x14ac:dyDescent="0.25">
      <c r="B19" s="157" t="s">
        <v>57</v>
      </c>
      <c r="C19" s="157" t="s">
        <v>53</v>
      </c>
      <c r="E19" s="220" t="e">
        <f>HLOOKUP($E$2,'Kanuka (T&amp;M) Actual'!$J$81:$U$105,8,0)/$E$5</f>
        <v>#DIV/0!</v>
      </c>
      <c r="F19" s="221" t="e">
        <f>HLOOKUP($E$2,'Kanuka (T&amp;M) Budget'!$J$81:$U$105,8,0)/$F$5</f>
        <v>#DIV/0!</v>
      </c>
      <c r="G19" s="188" t="e">
        <f t="shared" si="0"/>
        <v>#DIV/0!</v>
      </c>
      <c r="H19" s="234" t="e">
        <f>SUMIFS('Kanuka (T&amp;M) Actual'!$J$88:$U$88,'Kanuka (T&amp;M) Actual'!$J$81:$U$81,"&lt;="&amp;Summary_6!$E$2)/H5</f>
        <v>#DIV/0!</v>
      </c>
      <c r="I19" s="183" t="e">
        <f>SUMIFS('Kanuka (T&amp;M) Budget'!$J$88:$U$88,'Kanuka (T&amp;M) Budget'!$J$81:$U$81,"&lt;="&amp;Summary_6!$E$2)/I5</f>
        <v>#DIV/0!</v>
      </c>
      <c r="J19" s="189" t="e">
        <f t="shared" si="1"/>
        <v>#DIV/0!</v>
      </c>
      <c r="L19" s="444" t="s">
        <v>27</v>
      </c>
      <c r="M19" s="189">
        <f>$S$5*'Kanuka (T&amp;M) Budget'!C34</f>
        <v>0</v>
      </c>
      <c r="P19" s="252">
        <f>IFERROR(HLOOKUP($Q$2,'Kanuka (T&amp;M) Actual'!$J$81:$U$105,8,0)/$P$5,0)</f>
        <v>0</v>
      </c>
      <c r="Q19" s="252">
        <f>IFERROR(HLOOKUP($Q$2,'Kanuka (T&amp;M) Budget'!$J$81:$U$105,8,0)/$Q$5,0)</f>
        <v>0</v>
      </c>
      <c r="R19" s="252">
        <f>HLOOKUP($Q$2,'Kanuka (T&amp;M) Actual'!$J$81:$U$105,8,0)</f>
        <v>0</v>
      </c>
      <c r="S19" s="252">
        <f>HLOOKUP($Q$2,'Kanuka (T&amp;M) Budget'!$J$81:$U$105,8,0)</f>
        <v>0</v>
      </c>
    </row>
    <row r="20" spans="2:19" x14ac:dyDescent="0.25">
      <c r="B20" s="172" t="s">
        <v>229</v>
      </c>
      <c r="C20" s="172" t="s">
        <v>53</v>
      </c>
      <c r="D20" s="171"/>
      <c r="E20" s="219" t="e">
        <f>HLOOKUP($E$2,'Kanuka (T&amp;M) Actual'!$J$81:$U$105,9,0)/$E$5</f>
        <v>#DIV/0!</v>
      </c>
      <c r="F20" s="218" t="e">
        <f>HLOOKUP($E$2,'Kanuka (T&amp;M) Budget'!$J$81:$U$105,9,0)/$F$5</f>
        <v>#DIV/0!</v>
      </c>
      <c r="G20" s="176" t="e">
        <f t="shared" si="0"/>
        <v>#DIV/0!</v>
      </c>
      <c r="H20" s="235" t="e">
        <f>SUMIFS('Kanuka (T&amp;M) Actual'!$J$89:$U$89,'Kanuka (T&amp;M) Actual'!$J$81:$U$81,"&lt;="&amp;Summary_6!$E$2)/H5</f>
        <v>#DIV/0!</v>
      </c>
      <c r="I20" s="179" t="e">
        <f>SUMIFS('Kanuka (T&amp;M) Budget'!$J$89:$U$89,'Kanuka (T&amp;M) Budget'!$J$81:$U$81,"&lt;="&amp;Summary_6!$E$2)/I5</f>
        <v>#DIV/0!</v>
      </c>
      <c r="J20" s="187" t="e">
        <f t="shared" si="1"/>
        <v>#DIV/0!</v>
      </c>
      <c r="L20" s="444" t="s">
        <v>29</v>
      </c>
      <c r="M20" s="189">
        <f>$S$5*'Kanuka (T&amp;M) Budget'!C35</f>
        <v>0</v>
      </c>
      <c r="P20" s="253">
        <f>IFERROR(HLOOKUP($Q$2,'Kanuka (T&amp;M) Actual'!$J$81:$U$105,9,0)/$P$5,0)</f>
        <v>0</v>
      </c>
      <c r="Q20" s="253">
        <f>IFERROR(HLOOKUP($Q$2,'Kanuka (T&amp;M) Budget'!$J$81:$U$105,9,0)/$Q$5,0)</f>
        <v>0</v>
      </c>
      <c r="R20" s="253">
        <f>HLOOKUP($Q$2,'Kanuka (T&amp;M) Actual'!$J$81:$U$105,9,0)</f>
        <v>0</v>
      </c>
      <c r="S20" s="253">
        <f>HLOOKUP($Q$2,'Kanuka (T&amp;M) Budget'!$J$81:$U$105,9,0)</f>
        <v>0</v>
      </c>
    </row>
    <row r="21" spans="2:19" x14ac:dyDescent="0.25">
      <c r="B21" s="169" t="s">
        <v>141</v>
      </c>
      <c r="C21" s="169" t="s">
        <v>53</v>
      </c>
      <c r="D21" s="158" t="s">
        <v>142</v>
      </c>
      <c r="E21" s="220" t="e">
        <f t="shared" ref="E21:J21" si="2">SUM(E13:E20)</f>
        <v>#DIV/0!</v>
      </c>
      <c r="F21" s="221" t="e">
        <f t="shared" si="2"/>
        <v>#DIV/0!</v>
      </c>
      <c r="G21" s="188" t="e">
        <f t="shared" si="2"/>
        <v>#DIV/0!</v>
      </c>
      <c r="H21" s="234" t="e">
        <f t="shared" si="2"/>
        <v>#DIV/0!</v>
      </c>
      <c r="I21" s="183" t="e">
        <f t="shared" si="2"/>
        <v>#DIV/0!</v>
      </c>
      <c r="J21" s="189" t="e">
        <f t="shared" si="2"/>
        <v>#DIV/0!</v>
      </c>
      <c r="L21" s="444" t="s">
        <v>28</v>
      </c>
      <c r="M21" s="189">
        <f>$S$5*'Kanuka (T&amp;M) Budget'!C36</f>
        <v>0</v>
      </c>
      <c r="P21" s="252">
        <f>SUM(P13:P20)</f>
        <v>0</v>
      </c>
      <c r="Q21" s="252">
        <f>SUM(Q13:Q20)</f>
        <v>0</v>
      </c>
      <c r="R21" s="252">
        <f>SUM(R13:R20)</f>
        <v>0</v>
      </c>
      <c r="S21" s="252">
        <f>SUM(S13:S20)</f>
        <v>0</v>
      </c>
    </row>
    <row r="22" spans="2:19" x14ac:dyDescent="0.25">
      <c r="E22" s="220"/>
      <c r="F22" s="373"/>
      <c r="H22" s="234"/>
      <c r="I22" s="183"/>
      <c r="J22" s="185"/>
      <c r="L22" s="444" t="s">
        <v>31</v>
      </c>
      <c r="M22" s="189">
        <f>$S$5*'Kanuka (T&amp;M) Budget'!C37</f>
        <v>0</v>
      </c>
      <c r="P22" s="252"/>
      <c r="Q22" s="252"/>
      <c r="R22" s="252"/>
      <c r="S22" s="252"/>
    </row>
    <row r="23" spans="2:19" x14ac:dyDescent="0.25">
      <c r="B23" s="329" t="s">
        <v>238</v>
      </c>
      <c r="C23" s="157" t="s">
        <v>59</v>
      </c>
      <c r="E23" s="220" t="e">
        <f>HLOOKUP($E$2,'Kanuka (T&amp;M) Actual'!$J$81:$U$105,10,0)/$E$5</f>
        <v>#DIV/0!</v>
      </c>
      <c r="F23" s="221" t="e">
        <f>HLOOKUP($E$2,'Kanuka (T&amp;M) Budget'!$J$81:$U$105,10,0)/$F$5</f>
        <v>#DIV/0!</v>
      </c>
      <c r="G23" s="188" t="e">
        <f t="shared" ref="G23:G28" si="3">F23-E23</f>
        <v>#DIV/0!</v>
      </c>
      <c r="H23" s="234" t="e">
        <f>SUMIFS('Kanuka (T&amp;M) Actual'!$J$90:$U$90,'Kanuka (T&amp;M) Actual'!$J$81:$U$81,"&lt;="&amp;Summary_6!$E$2)/H5</f>
        <v>#DIV/0!</v>
      </c>
      <c r="I23" s="183" t="e">
        <f>SUMIFS('Kanuka (T&amp;M) Budget'!$J$90:$U$90,'Kanuka (T&amp;M) Budget'!$J$81:$U$81,"&lt;="&amp;Summary_6!$E$2)/I5</f>
        <v>#DIV/0!</v>
      </c>
      <c r="J23" s="189" t="e">
        <f t="shared" ref="J23:J28" si="4">I23-H23</f>
        <v>#DIV/0!</v>
      </c>
      <c r="L23" s="444" t="s">
        <v>32</v>
      </c>
      <c r="M23" s="189">
        <f>$S$5*'Kanuka (T&amp;M) Budget'!C38</f>
        <v>0</v>
      </c>
      <c r="P23" s="252">
        <f>IFERROR(HLOOKUP($Q$2,'Kanuka (T&amp;M) Actual'!$J$81:$U$105,10,0)/$P$5,0)</f>
        <v>0</v>
      </c>
      <c r="Q23" s="252">
        <f>IFERROR(HLOOKUP($Q$2,'Kanuka (T&amp;M) Budget'!$J$81:$U$105,10,0)/$Q$5,0)</f>
        <v>0</v>
      </c>
      <c r="R23" s="252">
        <f>HLOOKUP($Q$2,'Kanuka (T&amp;M) Actual'!$J$81:$U$105,10,0)</f>
        <v>0</v>
      </c>
      <c r="S23" s="252">
        <f>HLOOKUP($Q$2,'Kanuka (T&amp;M) Budget'!$J$81:$U$105,10,0)</f>
        <v>0</v>
      </c>
    </row>
    <row r="24" spans="2:19" x14ac:dyDescent="0.25">
      <c r="B24" s="329" t="s">
        <v>225</v>
      </c>
      <c r="C24" s="157" t="s">
        <v>59</v>
      </c>
      <c r="E24" s="220" t="e">
        <f>HLOOKUP($E$2,'Kanuka (T&amp;M) Actual'!$J$81:$U$105,11,0)/$E$5</f>
        <v>#DIV/0!</v>
      </c>
      <c r="F24" s="221" t="e">
        <f>HLOOKUP($E$2,'Kanuka (T&amp;M) Budget'!$J$81:$U$105,11,0)/$F$5</f>
        <v>#DIV/0!</v>
      </c>
      <c r="G24" s="188" t="e">
        <f t="shared" si="3"/>
        <v>#DIV/0!</v>
      </c>
      <c r="H24" s="234" t="e">
        <f>SUMIFS('Kanuka (T&amp;M) Actual'!$J$91:$U$91,'Kanuka (T&amp;M) Actual'!$J$81:$U$81,"&lt;="&amp;Summary_6!$E$2)/H5</f>
        <v>#DIV/0!</v>
      </c>
      <c r="I24" s="183" t="e">
        <f>SUMIFS('Kanuka (T&amp;M) Budget'!$J$91:$U$91,'Kanuka (T&amp;M) Budget'!$J$81:$U$81,"&lt;="&amp;Summary_6!$E$2)/I5</f>
        <v>#DIV/0!</v>
      </c>
      <c r="J24" s="189" t="e">
        <f t="shared" si="4"/>
        <v>#DIV/0!</v>
      </c>
      <c r="L24" s="444" t="s">
        <v>33</v>
      </c>
      <c r="M24" s="189">
        <f>$S$5*'Kanuka (T&amp;M) Budget'!C39</f>
        <v>0</v>
      </c>
      <c r="P24" s="252">
        <f>IFERROR(HLOOKUP($Q$2,'Kanuka (T&amp;M) Actual'!$J$81:$U$105,11,0)/$P$5,0)</f>
        <v>0</v>
      </c>
      <c r="Q24" s="252">
        <f>IFERROR(HLOOKUP($Q$2,'Kanuka (T&amp;M) Budget'!$J$81:$U$105,11,0)/$Q$5,0)</f>
        <v>0</v>
      </c>
      <c r="R24" s="252">
        <f>HLOOKUP($Q$2,'Kanuka (T&amp;M) Actual'!$J$81:$U$105,11,0)</f>
        <v>0</v>
      </c>
      <c r="S24" s="252">
        <f>HLOOKUP($Q$2,'Kanuka (T&amp;M) Budget'!$J$81:$U$105,11,0)</f>
        <v>0</v>
      </c>
    </row>
    <row r="25" spans="2:19" x14ac:dyDescent="0.25">
      <c r="B25" s="329" t="s">
        <v>226</v>
      </c>
      <c r="C25" s="157" t="s">
        <v>59</v>
      </c>
      <c r="E25" s="220" t="e">
        <f>HLOOKUP($E$2,'Kanuka (T&amp;M) Actual'!$J$81:$U$105,12,0)/$E$5</f>
        <v>#DIV/0!</v>
      </c>
      <c r="F25" s="221" t="e">
        <f>HLOOKUP($E$2,'Kanuka (T&amp;M) Budget'!$J$81:$U$105,12,0)/$F$5</f>
        <v>#DIV/0!</v>
      </c>
      <c r="G25" s="188" t="e">
        <f t="shared" si="3"/>
        <v>#DIV/0!</v>
      </c>
      <c r="H25" s="234" t="e">
        <f>SUMIFS('Kanuka (T&amp;M) Actual'!$J$92:$U$92,'Kanuka (T&amp;M) Actual'!$J$81:$U$81,"&lt;="&amp;Summary_6!$E$2)/H5</f>
        <v>#DIV/0!</v>
      </c>
      <c r="I25" s="183" t="e">
        <f>SUMIFS('Kanuka (T&amp;M) Budget'!$J$92:$U$92,'Kanuka (T&amp;M) Budget'!$J$81:$U$81,"&lt;="&amp;Summary_6!$E$2)/I5</f>
        <v>#DIV/0!</v>
      </c>
      <c r="J25" s="189" t="e">
        <f t="shared" si="4"/>
        <v>#DIV/0!</v>
      </c>
      <c r="L25" s="444" t="s">
        <v>35</v>
      </c>
      <c r="M25" s="189">
        <f>$S$5*'Kanuka (T&amp;M) Budget'!C40</f>
        <v>0</v>
      </c>
      <c r="P25" s="252">
        <f>IFERROR(HLOOKUP($Q$2,'Kanuka (T&amp;M) Actual'!$J$81:$U$105,12,0)/$P$5,0)</f>
        <v>0</v>
      </c>
      <c r="Q25" s="252">
        <f>IFERROR(HLOOKUP($Q$2,'Kanuka (T&amp;M) Budget'!$J$81:$U$105,12,0)/$Q$5,0)</f>
        <v>0</v>
      </c>
      <c r="R25" s="252">
        <f>HLOOKUP($Q$2,'Kanuka (T&amp;M) Actual'!$J$81:$U$105,12,0)</f>
        <v>0</v>
      </c>
      <c r="S25" s="252">
        <f>HLOOKUP($Q$2,'Kanuka (T&amp;M) Budget'!$J$81:$U$105,12,0)</f>
        <v>0</v>
      </c>
    </row>
    <row r="26" spans="2:19" ht="15.75" thickBot="1" x14ac:dyDescent="0.3">
      <c r="B26" s="329" t="s">
        <v>205</v>
      </c>
      <c r="C26" s="157" t="s">
        <v>59</v>
      </c>
      <c r="E26" s="220" t="e">
        <f>HLOOKUP($E$2,'Kanuka (T&amp;M) Actual'!$J$81:$U$105,13,0)/$E$5</f>
        <v>#DIV/0!</v>
      </c>
      <c r="F26" s="221" t="e">
        <f>HLOOKUP($E$2,'Kanuka (T&amp;M) Budget'!$J$81:$U$105,13,0)/$F$5</f>
        <v>#DIV/0!</v>
      </c>
      <c r="G26" s="188" t="e">
        <f t="shared" si="3"/>
        <v>#DIV/0!</v>
      </c>
      <c r="H26" s="234" t="e">
        <f>SUMIFS('Kanuka (T&amp;M) Actual'!$J$93:$U$93,'Kanuka (T&amp;M) Actual'!$J$81:$U$81,"&lt;="&amp;Summary_6!$E$2)/H5</f>
        <v>#DIV/0!</v>
      </c>
      <c r="I26" s="183" t="e">
        <f>SUMIFS('Kanuka (T&amp;M) Budget'!$J$93:$U$93,'Kanuka (T&amp;M) Budget'!$J$81:$U$81,"&lt;="&amp;Summary_6!$E$2)/I5</f>
        <v>#DIV/0!</v>
      </c>
      <c r="J26" s="189" t="e">
        <f t="shared" si="4"/>
        <v>#DIV/0!</v>
      </c>
      <c r="L26" s="445" t="s">
        <v>36</v>
      </c>
      <c r="M26" s="446">
        <f>$S$5*'Kanuka (T&amp;M) Budget'!C41</f>
        <v>0</v>
      </c>
      <c r="P26" s="252">
        <f>IFERROR(HLOOKUP($Q$2,'Kanuka (T&amp;M) Actual'!$J$81:$U$105,13,0)/$P$5,0)</f>
        <v>0</v>
      </c>
      <c r="Q26" s="252">
        <f>IFERROR(HLOOKUP($Q$2,'Kanuka (T&amp;M) Budget'!$J$81:$U$105,13,0)/$Q$5,0)</f>
        <v>0</v>
      </c>
      <c r="R26" s="252">
        <f>HLOOKUP($Q$2,'Kanuka (T&amp;M) Actual'!$J$81:$U$105,13,0)</f>
        <v>0</v>
      </c>
      <c r="S26" s="252">
        <f>HLOOKUP($Q$2,'Kanuka (T&amp;M) Budget'!$J$81:$U$105,13,0)</f>
        <v>0</v>
      </c>
    </row>
    <row r="27" spans="2:19" x14ac:dyDescent="0.25">
      <c r="B27" s="329" t="s">
        <v>60</v>
      </c>
      <c r="C27" s="157" t="s">
        <v>59</v>
      </c>
      <c r="E27" s="220" t="e">
        <f>HLOOKUP($E$2,'Kanuka (T&amp;M) Actual'!$J$81:$U$105,14,0)/$E$5</f>
        <v>#DIV/0!</v>
      </c>
      <c r="F27" s="221" t="e">
        <f>HLOOKUP($E$2,'Kanuka (T&amp;M) Budget'!$J$81:$U$105,14,0)/$F$5</f>
        <v>#DIV/0!</v>
      </c>
      <c r="G27" s="188" t="e">
        <f t="shared" si="3"/>
        <v>#DIV/0!</v>
      </c>
      <c r="H27" s="234" t="e">
        <f>SUMIFS('Kanuka (T&amp;M) Actual'!$J$94:$U$94,'Kanuka (T&amp;M) Actual'!$J$81:$U$81,"&lt;="&amp;Summary_6!$E$2)/H5</f>
        <v>#DIV/0!</v>
      </c>
      <c r="I27" s="183" t="e">
        <f>SUMIFS('Kanuka (T&amp;M) Budget'!$J$94:$U$94,'Kanuka (T&amp;M) Budget'!$J$81:$U$81,"&lt;="&amp;Summary_6!$E$2)/I5</f>
        <v>#DIV/0!</v>
      </c>
      <c r="J27" s="189" t="e">
        <f t="shared" si="4"/>
        <v>#DIV/0!</v>
      </c>
      <c r="P27" s="252">
        <f>IFERROR(HLOOKUP($Q$2,'Kanuka (T&amp;M) Actual'!$J$81:$U$105,14,0)/$P$5,0)</f>
        <v>0</v>
      </c>
      <c r="Q27" s="252">
        <f>IFERROR(HLOOKUP($Q$2,'Kanuka (T&amp;M) Budget'!$J$81:$U$105,14,0)/$Q$5,0)</f>
        <v>0</v>
      </c>
      <c r="R27" s="252">
        <f>HLOOKUP($Q$2,'Kanuka (T&amp;M) Actual'!$J$81:$U$105,14,0)</f>
        <v>0</v>
      </c>
      <c r="S27" s="252">
        <f>HLOOKUP($Q$2,'Kanuka (T&amp;M) Budget'!$J$81:$U$105,14,0)</f>
        <v>0</v>
      </c>
    </row>
    <row r="28" spans="2:19" x14ac:dyDescent="0.25">
      <c r="B28" s="329" t="s">
        <v>80</v>
      </c>
      <c r="C28" s="172" t="s">
        <v>59</v>
      </c>
      <c r="D28" s="171"/>
      <c r="E28" s="219" t="e">
        <f>HLOOKUP($E$2,'Kanuka (T&amp;M) Actual'!$J$81:$U$105,15,0)/$E$5</f>
        <v>#DIV/0!</v>
      </c>
      <c r="F28" s="218" t="e">
        <f>HLOOKUP($E$2,'Kanuka (T&amp;M) Budget'!$J$81:$U$105,15,0)/$F$5</f>
        <v>#DIV/0!</v>
      </c>
      <c r="G28" s="176" t="e">
        <f t="shared" si="3"/>
        <v>#DIV/0!</v>
      </c>
      <c r="H28" s="235" t="e">
        <f>SUMIFS('Kanuka (T&amp;M) Actual'!$J$95:$U$95,'Kanuka (T&amp;M) Actual'!$J$81:$U$81,"&lt;="&amp;Summary_6!$E$2)/H5</f>
        <v>#DIV/0!</v>
      </c>
      <c r="I28" s="179" t="e">
        <f>SUMIFS('Kanuka (T&amp;M) Budget'!$J$95:$U$95,'Kanuka (T&amp;M) Budget'!$J$81:$U$81,"&lt;="&amp;Summary_6!$E$2)/I5</f>
        <v>#DIV/0!</v>
      </c>
      <c r="J28" s="187" t="e">
        <f t="shared" si="4"/>
        <v>#DIV/0!</v>
      </c>
      <c r="P28" s="253">
        <f>IFERROR(HLOOKUP($Q$2,'Kanuka (T&amp;M) Actual'!$J$81:$U$105,15,0)/$P$5,0)</f>
        <v>0</v>
      </c>
      <c r="Q28" s="253">
        <f>IFERROR(HLOOKUP($Q$2,'Kanuka (T&amp;M) Budget'!$J$81:$U$105,15,0)/$Q$5,0)</f>
        <v>0</v>
      </c>
      <c r="R28" s="253">
        <f>HLOOKUP($Q$2,'Kanuka (T&amp;M) Actual'!$J$81:$U$105,15,0)</f>
        <v>0</v>
      </c>
      <c r="S28" s="253">
        <f>HLOOKUP($Q$2,'Kanuka (T&amp;M) Budget'!$J$81:$U$105,15,0)</f>
        <v>0</v>
      </c>
    </row>
    <row r="29" spans="2:19" x14ac:dyDescent="0.25">
      <c r="B29" s="169" t="s">
        <v>143</v>
      </c>
      <c r="C29" s="169" t="s">
        <v>59</v>
      </c>
      <c r="D29" s="158" t="s">
        <v>144</v>
      </c>
      <c r="E29" s="220" t="e">
        <f t="shared" ref="E29:J29" si="5">SUM(E23:E28)</f>
        <v>#DIV/0!</v>
      </c>
      <c r="F29" s="373" t="e">
        <f t="shared" si="5"/>
        <v>#DIV/0!</v>
      </c>
      <c r="G29" s="188" t="e">
        <f t="shared" si="5"/>
        <v>#DIV/0!</v>
      </c>
      <c r="H29" s="234" t="e">
        <f t="shared" si="5"/>
        <v>#DIV/0!</v>
      </c>
      <c r="I29" s="183" t="e">
        <f t="shared" si="5"/>
        <v>#DIV/0!</v>
      </c>
      <c r="J29" s="189" t="e">
        <f t="shared" si="5"/>
        <v>#DIV/0!</v>
      </c>
      <c r="P29" s="252">
        <f>SUM(P23:P28)</f>
        <v>0</v>
      </c>
      <c r="Q29" s="252">
        <f>SUM(Q23:Q28)</f>
        <v>0</v>
      </c>
      <c r="R29" s="252">
        <f>SUM(R23:R28)</f>
        <v>0</v>
      </c>
      <c r="S29" s="252">
        <f>SUM(S23:S28)</f>
        <v>0</v>
      </c>
    </row>
    <row r="30" spans="2:19" x14ac:dyDescent="0.25">
      <c r="C30" s="169"/>
      <c r="E30" s="220"/>
      <c r="F30" s="221"/>
      <c r="H30" s="234"/>
      <c r="I30" s="183"/>
      <c r="J30" s="185"/>
      <c r="P30" s="252"/>
      <c r="Q30" s="252"/>
      <c r="R30" s="252"/>
      <c r="S30" s="252"/>
    </row>
    <row r="31" spans="2:19" x14ac:dyDescent="0.25">
      <c r="B31" s="157" t="s">
        <v>230</v>
      </c>
      <c r="C31" s="157" t="s">
        <v>61</v>
      </c>
      <c r="E31" s="220" t="e">
        <f>HLOOKUP($E$2,'Kanuka (T&amp;M) Actual'!$J$81:$U$105,16,0)/$E$5</f>
        <v>#DIV/0!</v>
      </c>
      <c r="F31" s="221" t="e">
        <f>HLOOKUP($E$2,'Kanuka (T&amp;M) Budget'!$J$81:$U$105,16,0)/$F$5</f>
        <v>#DIV/0!</v>
      </c>
      <c r="G31" s="188" t="e">
        <f>F31-E31</f>
        <v>#DIV/0!</v>
      </c>
      <c r="H31" s="234" t="e">
        <f>SUMIFS('Kanuka (T&amp;M) Actual'!$J$96:$U$96,'Kanuka (T&amp;M) Actual'!$J$81:$U$81,"&lt;="&amp;Summary_6!$E$2)/H5</f>
        <v>#DIV/0!</v>
      </c>
      <c r="I31" s="183" t="e">
        <f>SUMIFS('Kanuka (T&amp;M) Budget'!$J$96:$U$96,'Kanuka (T&amp;M) Budget'!$J$81:$U$81,"&lt;="&amp;Summary_6!$E$2)/I5</f>
        <v>#DIV/0!</v>
      </c>
      <c r="J31" s="189" t="e">
        <f>I31-H31</f>
        <v>#DIV/0!</v>
      </c>
      <c r="P31" s="252">
        <f>IFERROR(HLOOKUP($Q$2,'Kanuka (T&amp;M) Actual'!$J$81:$U$105,16,0)/$P$5,0)</f>
        <v>0</v>
      </c>
      <c r="Q31" s="252">
        <f>IFERROR(HLOOKUP($Q$2,'Kanuka (T&amp;M) Budget'!$J$81:$U$105,16,0)/$Q$5,0)</f>
        <v>0</v>
      </c>
      <c r="R31" s="252">
        <f>HLOOKUP($Q$2,'Kanuka (T&amp;M) Actual'!$J$81:$U$105,16,0)</f>
        <v>0</v>
      </c>
      <c r="S31" s="252">
        <f>HLOOKUP($Q$2,'Kanuka (T&amp;M) Budget'!$J$81:$U$105,16,0)</f>
        <v>0</v>
      </c>
    </row>
    <row r="32" spans="2:19" x14ac:dyDescent="0.25">
      <c r="B32" s="172" t="s">
        <v>231</v>
      </c>
      <c r="C32" s="172" t="s">
        <v>61</v>
      </c>
      <c r="D32" s="171"/>
      <c r="E32" s="219" t="e">
        <f>HLOOKUP($E$2,'Kanuka (T&amp;M) Actual'!$J$81:$U$105,17,0)/$E$5</f>
        <v>#DIV/0!</v>
      </c>
      <c r="F32" s="218" t="e">
        <f>HLOOKUP($E$2,'Kanuka (T&amp;M) Budget'!$J$81:$U$105,17,0)/$F$5</f>
        <v>#DIV/0!</v>
      </c>
      <c r="G32" s="176" t="e">
        <f>F32-E32</f>
        <v>#DIV/0!</v>
      </c>
      <c r="H32" s="235" t="e">
        <f>SUMIFS('Kanuka (T&amp;M) Actual'!$J$97:$U$97,'Kanuka (T&amp;M) Actual'!$J$81:$U$81,"&lt;="&amp;Summary_6!$E$2)/H5</f>
        <v>#DIV/0!</v>
      </c>
      <c r="I32" s="179" t="e">
        <f>SUMIFS('Kanuka (T&amp;M) Budget'!$J$97:$U$97,'Kanuka (T&amp;M) Budget'!$J$81:$U$81,"&lt;="&amp;Summary_6!$E$2)/I5</f>
        <v>#DIV/0!</v>
      </c>
      <c r="J32" s="187" t="e">
        <f>I32-H32</f>
        <v>#DIV/0!</v>
      </c>
      <c r="P32" s="253">
        <f>IFERROR(HLOOKUP($Q$2,'Kanuka (T&amp;M) Actual'!$J$81:$U$105,17,0)/$P$5,0)</f>
        <v>0</v>
      </c>
      <c r="Q32" s="253">
        <f>IFERROR(HLOOKUP($Q$2,'Kanuka (T&amp;M) Budget'!$J$81:$U$105,17,0)/$Q$5,0)</f>
        <v>0</v>
      </c>
      <c r="R32" s="253">
        <f>HLOOKUP($Q$2,'Kanuka (T&amp;M) Actual'!$J$81:$U$105,17,0)</f>
        <v>0</v>
      </c>
      <c r="S32" s="253">
        <f>HLOOKUP($Q$2,'Kanuka (T&amp;M) Budget'!$J$81:$U$105,17,0)</f>
        <v>0</v>
      </c>
    </row>
    <row r="33" spans="2:19" x14ac:dyDescent="0.25">
      <c r="B33" s="169" t="s">
        <v>145</v>
      </c>
      <c r="C33" s="169" t="s">
        <v>61</v>
      </c>
      <c r="D33" s="158" t="s">
        <v>146</v>
      </c>
      <c r="E33" s="220" t="e">
        <f t="shared" ref="E33:J33" si="6">SUM(E31:E32)</f>
        <v>#DIV/0!</v>
      </c>
      <c r="F33" s="373" t="e">
        <f t="shared" si="6"/>
        <v>#DIV/0!</v>
      </c>
      <c r="G33" s="188" t="e">
        <f t="shared" si="6"/>
        <v>#DIV/0!</v>
      </c>
      <c r="H33" s="234" t="e">
        <f t="shared" si="6"/>
        <v>#DIV/0!</v>
      </c>
      <c r="I33" s="183" t="e">
        <f t="shared" si="6"/>
        <v>#DIV/0!</v>
      </c>
      <c r="J33" s="189" t="e">
        <f t="shared" si="6"/>
        <v>#DIV/0!</v>
      </c>
      <c r="P33" s="252">
        <f>SUM(P31:P32)</f>
        <v>0</v>
      </c>
      <c r="Q33" s="252">
        <f>SUM(Q31:Q32)</f>
        <v>0</v>
      </c>
      <c r="R33" s="252">
        <f>SUM(R31:R32)</f>
        <v>0</v>
      </c>
      <c r="S33" s="252">
        <f>SUM(S31:S32)</f>
        <v>0</v>
      </c>
    </row>
    <row r="34" spans="2:19" x14ac:dyDescent="0.25">
      <c r="E34" s="220"/>
      <c r="F34" s="373"/>
      <c r="H34" s="234"/>
      <c r="I34" s="183"/>
      <c r="J34" s="185"/>
      <c r="P34" s="252"/>
      <c r="Q34" s="252"/>
      <c r="R34" s="252"/>
      <c r="S34" s="252"/>
    </row>
    <row r="35" spans="2:19" x14ac:dyDescent="0.25">
      <c r="B35" s="157" t="s">
        <v>232</v>
      </c>
      <c r="C35" s="157" t="s">
        <v>62</v>
      </c>
      <c r="E35" s="220" t="e">
        <f>HLOOKUP($E$2,'Kanuka (T&amp;M) Actual'!$J$81:$U$105,18,0)/$E$5</f>
        <v>#DIV/0!</v>
      </c>
      <c r="F35" s="221" t="e">
        <f>HLOOKUP($E$2,'Kanuka (T&amp;M) Budget'!$J$81:$U$105,18,0)/$F$5</f>
        <v>#DIV/0!</v>
      </c>
      <c r="G35" s="188" t="e">
        <f>F35-E35</f>
        <v>#DIV/0!</v>
      </c>
      <c r="H35" s="234" t="e">
        <f>SUMIFS('Kanuka (T&amp;M) Actual'!$J$98:$U$98,'Kanuka (T&amp;M) Actual'!$J$81:$U$81,"&lt;="&amp;Summary_6!$E$2)/H5</f>
        <v>#DIV/0!</v>
      </c>
      <c r="I35" s="183" t="e">
        <f>SUMIFS('Kanuka (T&amp;M) Budget'!$J$98:$U$98,'Kanuka (T&amp;M) Budget'!$J$81:$U$81,"&lt;="&amp;Summary_6!$E$2)/I5</f>
        <v>#DIV/0!</v>
      </c>
      <c r="J35" s="189" t="e">
        <f>I35-H35</f>
        <v>#DIV/0!</v>
      </c>
      <c r="P35" s="252">
        <f>IFERROR(HLOOKUP($Q$2,'Kanuka (T&amp;M) Actual'!$J$81:$U$105,18,0)/$P$5,0)</f>
        <v>0</v>
      </c>
      <c r="Q35" s="252">
        <f>IFERROR(HLOOKUP($Q$2,'Kanuka (T&amp;M) Budget'!$J$81:$U$105,18,0)/$Q$5,0)</f>
        <v>0</v>
      </c>
      <c r="R35" s="252">
        <f>HLOOKUP($Q$2,'Kanuka (T&amp;M) Actual'!$J$81:$U$105,18,0)</f>
        <v>0</v>
      </c>
      <c r="S35" s="252">
        <f>HLOOKUP($Q$2,'Kanuka (T&amp;M) Budget'!$J$81:$U$105,18,0)</f>
        <v>0</v>
      </c>
    </row>
    <row r="36" spans="2:19" x14ac:dyDescent="0.25">
      <c r="B36" s="172" t="s">
        <v>233</v>
      </c>
      <c r="C36" s="172" t="s">
        <v>62</v>
      </c>
      <c r="D36" s="171"/>
      <c r="E36" s="219" t="e">
        <f>HLOOKUP($E$2,'Kanuka (T&amp;M) Actual'!$J$81:$U$105,19,0)/$E$5</f>
        <v>#DIV/0!</v>
      </c>
      <c r="F36" s="218" t="e">
        <f>HLOOKUP($E$2,'Kanuka (T&amp;M) Budget'!$J$81:$U$105,19,0)/$F$5</f>
        <v>#DIV/0!</v>
      </c>
      <c r="G36" s="176" t="e">
        <f>F36-E36</f>
        <v>#DIV/0!</v>
      </c>
      <c r="H36" s="235" t="e">
        <f>SUMIFS('Kanuka (T&amp;M) Actual'!$J$99:$U$99,'Kanuka (T&amp;M) Actual'!$J$81:$U$81,"&lt;="&amp;Summary_6!$E$2)/H5</f>
        <v>#DIV/0!</v>
      </c>
      <c r="I36" s="179" t="e">
        <f>SUMIFS('Kanuka (T&amp;M) Budget'!$J$99:$U$99,'Kanuka (T&amp;M) Budget'!$J$81:$U$81,"&lt;="&amp;Summary_6!$E$2)/I5</f>
        <v>#DIV/0!</v>
      </c>
      <c r="J36" s="187" t="e">
        <f>I36-H36</f>
        <v>#DIV/0!</v>
      </c>
      <c r="P36" s="253">
        <f>IFERROR(HLOOKUP($Q$2,'Kanuka (T&amp;M) Actual'!$J$81:$U$105,19,0)/$P$5,0)</f>
        <v>0</v>
      </c>
      <c r="Q36" s="253">
        <f>IFERROR(HLOOKUP($Q$2,'Kanuka (T&amp;M) Budget'!$J$81:$U$105,19,0)/$Q$5,0)</f>
        <v>0</v>
      </c>
      <c r="R36" s="253">
        <f>HLOOKUP($Q$2,'Kanuka (T&amp;M) Actual'!$J$81:$U$105,19,0)</f>
        <v>0</v>
      </c>
      <c r="S36" s="253">
        <f>HLOOKUP($Q$2,'Kanuka (T&amp;M) Budget'!$J$81:$U$105,19,0)</f>
        <v>0</v>
      </c>
    </row>
    <row r="37" spans="2:19" x14ac:dyDescent="0.25">
      <c r="B37" s="169" t="s">
        <v>147</v>
      </c>
      <c r="C37" s="169" t="s">
        <v>62</v>
      </c>
      <c r="D37" s="158" t="s">
        <v>148</v>
      </c>
      <c r="E37" s="220" t="e">
        <f>SUM(E35:E36)</f>
        <v>#DIV/0!</v>
      </c>
      <c r="F37" s="373" t="e">
        <f>SUM(F35:F36)</f>
        <v>#DIV/0!</v>
      </c>
      <c r="H37" s="234" t="e">
        <f>SUM(H35:H36)</f>
        <v>#DIV/0!</v>
      </c>
      <c r="I37" s="183" t="e">
        <f>SUM(I35:I36)</f>
        <v>#DIV/0!</v>
      </c>
      <c r="J37" s="185"/>
      <c r="P37" s="252">
        <f>SUM(P35:P36)</f>
        <v>0</v>
      </c>
      <c r="Q37" s="252">
        <f>SUM(Q35:Q36)</f>
        <v>0</v>
      </c>
      <c r="R37" s="252">
        <f>SUM(R35:R36)</f>
        <v>0</v>
      </c>
      <c r="S37" s="252">
        <f>SUM(S35:S36)</f>
        <v>0</v>
      </c>
    </row>
    <row r="38" spans="2:19" x14ac:dyDescent="0.25">
      <c r="E38" s="220"/>
      <c r="F38" s="373"/>
      <c r="H38" s="234"/>
      <c r="I38" s="183"/>
      <c r="J38" s="185"/>
      <c r="P38" s="252"/>
      <c r="Q38" s="252"/>
      <c r="R38" s="252"/>
      <c r="S38" s="252"/>
    </row>
    <row r="39" spans="2:19" x14ac:dyDescent="0.25">
      <c r="E39" s="220"/>
      <c r="F39" s="221"/>
      <c r="G39" s="188"/>
      <c r="H39" s="234"/>
      <c r="I39" s="183"/>
      <c r="J39" s="189"/>
      <c r="P39" s="252"/>
      <c r="Q39" s="252"/>
      <c r="R39" s="252"/>
      <c r="S39" s="252"/>
    </row>
    <row r="40" spans="2:19" x14ac:dyDescent="0.25">
      <c r="B40" s="157" t="s">
        <v>235</v>
      </c>
      <c r="C40" s="157" t="s">
        <v>63</v>
      </c>
      <c r="E40" s="220" t="e">
        <f>HLOOKUP($E$2,'Kanuka (T&amp;M) Actual'!$J$81:$U$105,20,0)/$E$5</f>
        <v>#DIV/0!</v>
      </c>
      <c r="F40" s="221" t="e">
        <f>HLOOKUP($E$2,'Kanuka (T&amp;M) Budget'!$J$81:$U$105,20,0)/$F$5</f>
        <v>#DIV/0!</v>
      </c>
      <c r="G40" s="190" t="e">
        <f>F40-E40</f>
        <v>#DIV/0!</v>
      </c>
      <c r="H40" s="234" t="e">
        <f>SUMIFS('Kanuka (T&amp;M) Actual'!$J$100:$U$100,'Kanuka (T&amp;M) Actual'!$J$81:$U$81,"&lt;="&amp;Summary_6!$E$2)/H5</f>
        <v>#DIV/0!</v>
      </c>
      <c r="I40" s="183" t="e">
        <f>SUMIFS('Kanuka (T&amp;M) Budget'!$J$100:$U$100,'Kanuka (T&amp;M) Budget'!$J$81:$U$81,"&lt;="&amp;Summary_6!$E$2)/I5</f>
        <v>#DIV/0!</v>
      </c>
      <c r="J40" s="191" t="e">
        <f>I40-H40</f>
        <v>#DIV/0!</v>
      </c>
      <c r="P40" s="252">
        <f>IFERROR(HLOOKUP($Q$2,'Kanuka (T&amp;M) Actual'!$J$81:$U$105,20,0)/$P$5,0)</f>
        <v>0</v>
      </c>
      <c r="Q40" s="252">
        <f>IFERROR(HLOOKUP($Q$2,'Kanuka (T&amp;M) Budget'!$J$81:$U$105,20,0)/$Q$5,0)</f>
        <v>0</v>
      </c>
      <c r="R40" s="252">
        <f>HLOOKUP($Q$2,'Kanuka (T&amp;M) Actual'!$J$81:$U$105,20,0)</f>
        <v>0</v>
      </c>
      <c r="S40" s="252">
        <f>HLOOKUP($Q$2,'Kanuka (T&amp;M) Budget'!$J$81:$U$105,20,0)</f>
        <v>0</v>
      </c>
    </row>
    <row r="41" spans="2:19" x14ac:dyDescent="0.25">
      <c r="B41" s="157" t="s">
        <v>64</v>
      </c>
      <c r="C41" s="157" t="s">
        <v>63</v>
      </c>
      <c r="E41" s="220" t="e">
        <f>HLOOKUP($E$2,'Kanuka (T&amp;M) Actual'!$J$81:$U$105,21,0)/$E$5</f>
        <v>#DIV/0!</v>
      </c>
      <c r="F41" s="221" t="e">
        <f>HLOOKUP($E$2,'Kanuka (T&amp;M) Budget'!$J$81:$U$105,21,0)/$F$5</f>
        <v>#DIV/0!</v>
      </c>
      <c r="G41" s="188" t="e">
        <f>F41-E41</f>
        <v>#DIV/0!</v>
      </c>
      <c r="H41" s="234" t="e">
        <f>SUMIFS('Kanuka (T&amp;M) Actual'!$J$101:$U$101,'Kanuka (T&amp;M) Actual'!$J$81:$U$81,"&lt;="&amp;Summary_6!$E$2)/H5</f>
        <v>#DIV/0!</v>
      </c>
      <c r="I41" s="183" t="e">
        <f>SUMIFS('Kanuka (T&amp;M) Budget'!$J$101:$U$101,'Kanuka (T&amp;M) Budget'!$J$81:$U$81,"&lt;="&amp;Summary_6!$E$2)/I5</f>
        <v>#DIV/0!</v>
      </c>
      <c r="J41" s="189" t="e">
        <f>I41-H41</f>
        <v>#DIV/0!</v>
      </c>
      <c r="P41" s="252">
        <f>IFERROR(HLOOKUP($Q$2,'Kanuka (T&amp;M) Actual'!$J$81:$U$105,21,0)/$P$5,0)</f>
        <v>0</v>
      </c>
      <c r="Q41" s="252">
        <f>IFERROR(HLOOKUP($Q$2,'Kanuka (T&amp;M) Budget'!$J$81:$U$105,21,0)/$Q$5,0)</f>
        <v>0</v>
      </c>
      <c r="R41" s="252">
        <f>HLOOKUP($Q$2,'Kanuka (T&amp;M) Actual'!$J$81:$U$105,21,0)</f>
        <v>0</v>
      </c>
      <c r="S41" s="252">
        <f>HLOOKUP($Q$2,'Kanuka (T&amp;M) Budget'!$J$81:$U$105,21,0)</f>
        <v>0</v>
      </c>
    </row>
    <row r="42" spans="2:19" x14ac:dyDescent="0.25">
      <c r="B42" s="172" t="s">
        <v>65</v>
      </c>
      <c r="C42" s="172" t="s">
        <v>63</v>
      </c>
      <c r="D42" s="171"/>
      <c r="E42" s="219" t="e">
        <f>HLOOKUP($E$2,'Kanuka (T&amp;M) Actual'!$J$81:$U$105,22,0)/$E$5</f>
        <v>#DIV/0!</v>
      </c>
      <c r="F42" s="218" t="e">
        <f>HLOOKUP($E$2,'Kanuka (T&amp;M) Budget'!$J$81:$U$105,22,0)/$F$5</f>
        <v>#DIV/0!</v>
      </c>
      <c r="G42" s="176" t="e">
        <f>F42-E42</f>
        <v>#DIV/0!</v>
      </c>
      <c r="H42" s="235" t="e">
        <f>SUMIFS('Kanuka (T&amp;M) Budget'!$J$102:$U$102,'Kanuka (T&amp;M) Budget'!$J$81:$U$81,"&lt;="&amp;Summary_6!$E$2)/H5</f>
        <v>#DIV/0!</v>
      </c>
      <c r="I42" s="179" t="e">
        <f>SUMIFS('Kanuka (T&amp;M) Budget'!$J$102:$U$102,'Kanuka (T&amp;M) Budget'!$J$81:$U$81,"&lt;="&amp;Summary_6!$E$2)/I5</f>
        <v>#DIV/0!</v>
      </c>
      <c r="J42" s="187" t="e">
        <f>I42-H42</f>
        <v>#DIV/0!</v>
      </c>
      <c r="P42" s="253">
        <f>IFERROR(HLOOKUP($Q$2,'Kanuka (T&amp;M) Actual'!$J$81:$U$105,22,0)/$P$5,0)</f>
        <v>0</v>
      </c>
      <c r="Q42" s="253">
        <f>IFERROR(HLOOKUP($Q$2,'Kanuka (T&amp;M) Budget'!$J$81:$U$105,22,0)/$Q$5,0)</f>
        <v>0</v>
      </c>
      <c r="R42" s="253">
        <f>HLOOKUP($Q$2,'Kanuka (T&amp;M) Actual'!$J$81:$U$105,22,0)</f>
        <v>0</v>
      </c>
      <c r="S42" s="253">
        <f>HLOOKUP($Q$2,'Kanuka (T&amp;M) Budget'!$J$81:$U$105,22,0)</f>
        <v>0</v>
      </c>
    </row>
    <row r="43" spans="2:19" x14ac:dyDescent="0.25">
      <c r="B43" s="169" t="s">
        <v>149</v>
      </c>
      <c r="C43" s="169" t="s">
        <v>63</v>
      </c>
      <c r="D43" s="158" t="s">
        <v>150</v>
      </c>
      <c r="E43" s="220" t="e">
        <f t="shared" ref="E43:J43" si="7">SUM(E39:E42)</f>
        <v>#DIV/0!</v>
      </c>
      <c r="F43" s="221" t="e">
        <f t="shared" si="7"/>
        <v>#DIV/0!</v>
      </c>
      <c r="G43" s="188" t="e">
        <f t="shared" si="7"/>
        <v>#DIV/0!</v>
      </c>
      <c r="H43" s="234" t="e">
        <f t="shared" si="7"/>
        <v>#DIV/0!</v>
      </c>
      <c r="I43" s="183" t="e">
        <f t="shared" si="7"/>
        <v>#DIV/0!</v>
      </c>
      <c r="J43" s="189" t="e">
        <f t="shared" si="7"/>
        <v>#DIV/0!</v>
      </c>
      <c r="P43" s="252">
        <f>SUM(P39:P42)</f>
        <v>0</v>
      </c>
      <c r="Q43" s="252">
        <f>SUM(Q39:Q42)</f>
        <v>0</v>
      </c>
      <c r="R43" s="252">
        <f>SUM(R39:R42)</f>
        <v>0</v>
      </c>
      <c r="S43" s="252">
        <f>SUM(S39:S42)</f>
        <v>0</v>
      </c>
    </row>
    <row r="44" spans="2:19" x14ac:dyDescent="0.25">
      <c r="E44" s="220"/>
      <c r="F44" s="373"/>
      <c r="H44" s="234"/>
      <c r="I44" s="183"/>
      <c r="J44" s="185"/>
      <c r="P44" s="252"/>
      <c r="Q44" s="252"/>
      <c r="R44" s="252"/>
      <c r="S44" s="252"/>
    </row>
    <row r="45" spans="2:19" x14ac:dyDescent="0.25">
      <c r="B45" s="157" t="s">
        <v>66</v>
      </c>
      <c r="C45" s="157" t="s">
        <v>67</v>
      </c>
      <c r="E45" s="220" t="e">
        <f>HLOOKUP($E$2,'Kanuka (T&amp;M) Actual'!$J$81:$U$105,23,0)/$E$5</f>
        <v>#DIV/0!</v>
      </c>
      <c r="F45" s="221" t="e">
        <f>HLOOKUP($E$2,'Kanuka (T&amp;M) Budget'!$J$81:$U$105,23,0)/$F$5</f>
        <v>#DIV/0!</v>
      </c>
      <c r="G45" s="190" t="e">
        <f>F45-E45</f>
        <v>#DIV/0!</v>
      </c>
      <c r="H45" s="234" t="e">
        <f>SUMIFS('Kanuka (T&amp;M) Actual'!$J$103:$U$103,'Kanuka (T&amp;M) Actual'!$J$81:$U$81,"&lt;="&amp;Summary_6!$E$2)/H5</f>
        <v>#DIV/0!</v>
      </c>
      <c r="I45" s="183" t="e">
        <f>SUMIFS('Kanuka (T&amp;M) Budget'!$J$103:$U$103,'Kanuka (T&amp;M) Budget'!$J$81:$U$81,"&lt;="&amp;Summary_6!$E$2)/I5</f>
        <v>#DIV/0!</v>
      </c>
      <c r="J45" s="191" t="e">
        <f>I45-H45</f>
        <v>#DIV/0!</v>
      </c>
      <c r="P45" s="252">
        <f>IFERROR(HLOOKUP($Q$2,'Kanuka (T&amp;M) Actual'!$J$81:$U$105,23,0)/$P$5,0)</f>
        <v>0</v>
      </c>
      <c r="Q45" s="252">
        <f>IFERROR(HLOOKUP($Q$2,'Kanuka (T&amp;M) Budget'!$J$81:$U$105,23,0)/$Q$5,0)</f>
        <v>0</v>
      </c>
      <c r="R45" s="252">
        <f>HLOOKUP($Q$2,'Kanuka (T&amp;M) Actual'!$J$81:$U$105,23,0)</f>
        <v>0</v>
      </c>
      <c r="S45" s="252">
        <f>HLOOKUP($Q$2,'Kanuka (T&amp;M) Budget'!$J$81:$U$105,23,0)</f>
        <v>0</v>
      </c>
    </row>
    <row r="46" spans="2:19" x14ac:dyDescent="0.25">
      <c r="B46" s="157" t="s">
        <v>234</v>
      </c>
      <c r="C46" s="157" t="s">
        <v>67</v>
      </c>
      <c r="E46" s="382" t="e">
        <f>HLOOKUP($E$2,'Kanuka (T&amp;M) Actual'!$J$81:$U$105,24,0)/$E$5</f>
        <v>#DIV/0!</v>
      </c>
      <c r="F46" s="374" t="e">
        <f>HLOOKUP($E$2,'Kanuka (T&amp;M) Budget'!$J$81:$U$105,24,0)/$F$5</f>
        <v>#DIV/0!</v>
      </c>
      <c r="G46" s="383" t="e">
        <f>F46-E46</f>
        <v>#DIV/0!</v>
      </c>
      <c r="H46" s="384" t="e">
        <f>SUMIFS('Kanuka (T&amp;M) Actual'!$J$104:$U$104,'Kanuka (T&amp;M) Actual'!$J$81:$U$81,"&lt;="&amp;Summary_6!$E$2)/H5</f>
        <v>#DIV/0!</v>
      </c>
      <c r="I46" s="385" t="e">
        <f>SUMIFS('Kanuka (T&amp;M) Budget'!$J$104:$U$104,'Kanuka (T&amp;M) Budget'!$J$81:$U$81,"&lt;="&amp;Summary_6!$E$2)/I5</f>
        <v>#DIV/0!</v>
      </c>
      <c r="J46" s="386" t="e">
        <f>I46-H46</f>
        <v>#DIV/0!</v>
      </c>
      <c r="P46" s="387">
        <f>IFERROR(HLOOKUP($Q$2,'Kanuka (T&amp;M) Actual'!$J$81:$U$105,24,0)/$P$5,0)</f>
        <v>0</v>
      </c>
      <c r="Q46" s="387">
        <f>IFERROR(HLOOKUP($Q$2,'Kanuka (T&amp;M) Budget'!$J$81:$U$105,24,0)/$Q$5,0)</f>
        <v>0</v>
      </c>
      <c r="R46" s="252">
        <f>HLOOKUP($Q$2,'Kanuka (T&amp;M) Actual'!$J$81:$U$105,24,0)</f>
        <v>0</v>
      </c>
      <c r="S46" s="252">
        <f>HLOOKUP($Q$2,'Kanuka (T&amp;M) Budget'!$J$81:$U$105,24,0)</f>
        <v>0</v>
      </c>
    </row>
    <row r="47" spans="2:19" x14ac:dyDescent="0.25">
      <c r="B47" s="172" t="s">
        <v>68</v>
      </c>
      <c r="C47" s="172" t="s">
        <v>67</v>
      </c>
      <c r="D47" s="171"/>
      <c r="E47" s="219" t="e">
        <f>HLOOKUP($E$2,'Kanuka (T&amp;M) Actual'!$J$81:$U$105,25,0)/$E$5</f>
        <v>#DIV/0!</v>
      </c>
      <c r="F47" s="218" t="e">
        <f>HLOOKUP($E$2,'Kanuka (T&amp;M) Budget'!$J$81:$U$105,25,0)/$F$5</f>
        <v>#DIV/0!</v>
      </c>
      <c r="G47" s="176" t="e">
        <f>F47-E47</f>
        <v>#DIV/0!</v>
      </c>
      <c r="H47" s="235" t="e">
        <f>SUMIFS('Kanuka (T&amp;M) Actual'!$J$105:$U$105,'Kanuka (T&amp;M) Actual'!$J$81:$U$81,"&lt;="&amp;Summary_6!$E$2)/H5</f>
        <v>#DIV/0!</v>
      </c>
      <c r="I47" s="179" t="e">
        <f>SUMIFS('Kanuka (T&amp;M) Budget'!$J$105:$U$105,'Kanuka (T&amp;M) Budget'!$J$81:$U$81,"&lt;="&amp;Summary_6!$E$2)/I5</f>
        <v>#DIV/0!</v>
      </c>
      <c r="J47" s="187" t="e">
        <f>I47-H47</f>
        <v>#DIV/0!</v>
      </c>
      <c r="P47" s="253">
        <f>IFERROR(HLOOKUP($Q$2,'Kanuka (T&amp;M) Actual'!$J$81:$U$105,25,0)/$P$5,0)</f>
        <v>0</v>
      </c>
      <c r="Q47" s="253">
        <f>IFERROR(HLOOKUP($Q$2,'Kanuka (T&amp;M) Budget'!$J$81:$U$105,25,0)/$Q$5,0)</f>
        <v>0</v>
      </c>
      <c r="R47" s="253">
        <f>HLOOKUP($Q$2,'Kanuka (T&amp;M) Actual'!$J$81:$U$105,25,0)</f>
        <v>0</v>
      </c>
      <c r="S47" s="253">
        <f>HLOOKUP($Q$2,'Kanuka (T&amp;M) Budget'!$J$81:$U$105,25,0)</f>
        <v>0</v>
      </c>
    </row>
    <row r="48" spans="2:19" x14ac:dyDescent="0.25">
      <c r="B48" s="169" t="s">
        <v>151</v>
      </c>
      <c r="C48" s="169" t="s">
        <v>67</v>
      </c>
      <c r="D48" s="158" t="s">
        <v>152</v>
      </c>
      <c r="E48" s="220" t="e">
        <f t="shared" ref="E48:J48" si="8">SUM(E45:E47)</f>
        <v>#DIV/0!</v>
      </c>
      <c r="F48" s="221" t="e">
        <f t="shared" si="8"/>
        <v>#DIV/0!</v>
      </c>
      <c r="G48" s="190" t="e">
        <f t="shared" si="8"/>
        <v>#DIV/0!</v>
      </c>
      <c r="H48" s="234" t="e">
        <f t="shared" si="8"/>
        <v>#DIV/0!</v>
      </c>
      <c r="I48" s="183" t="e">
        <f t="shared" si="8"/>
        <v>#DIV/0!</v>
      </c>
      <c r="J48" s="191" t="e">
        <f t="shared" si="8"/>
        <v>#DIV/0!</v>
      </c>
      <c r="P48" s="252">
        <f>SUM(P45:P47)</f>
        <v>0</v>
      </c>
      <c r="Q48" s="252">
        <f>SUM(Q45:Q47)</f>
        <v>0</v>
      </c>
      <c r="R48" s="252">
        <f>SUM(R45:R47)</f>
        <v>0</v>
      </c>
      <c r="S48" s="252">
        <f>SUM(S45:S47)</f>
        <v>0</v>
      </c>
    </row>
    <row r="49" spans="2:19" x14ac:dyDescent="0.25">
      <c r="B49" s="169"/>
      <c r="C49" s="169"/>
      <c r="E49" s="226"/>
      <c r="H49" s="234"/>
      <c r="I49" s="183"/>
      <c r="J49" s="185"/>
      <c r="P49" s="252"/>
      <c r="Q49" s="252"/>
      <c r="R49" s="252"/>
      <c r="S49" s="252"/>
    </row>
    <row r="50" spans="2:19" x14ac:dyDescent="0.25">
      <c r="B50" s="170" t="s">
        <v>153</v>
      </c>
      <c r="C50" s="172"/>
      <c r="D50" s="171" t="s">
        <v>154</v>
      </c>
      <c r="E50" s="227" t="e">
        <f>E21+E29+E33+E37+E43+E48</f>
        <v>#DIV/0!</v>
      </c>
      <c r="F50" s="176" t="e">
        <f>F21+F29+F33+F37+F43+F48</f>
        <v>#DIV/0!</v>
      </c>
      <c r="G50" s="176" t="e">
        <f>F50-E50</f>
        <v>#DIV/0!</v>
      </c>
      <c r="H50" s="235" t="e">
        <f>H21+H29+H33+H37+H43+H48</f>
        <v>#DIV/0!</v>
      </c>
      <c r="I50" s="179" t="e">
        <f>I21+I29+I33+I37+I43+I48</f>
        <v>#DIV/0!</v>
      </c>
      <c r="J50" s="187" t="e">
        <f>I50-H50</f>
        <v>#DIV/0!</v>
      </c>
      <c r="P50" s="253">
        <f>P21+P29+P33+P37+P43+P48</f>
        <v>0</v>
      </c>
      <c r="Q50" s="253">
        <f>Q21+Q29+Q33+Q37+Q43+Q48</f>
        <v>0</v>
      </c>
      <c r="R50" s="253">
        <f>R21+R29+R33+R37+R43+R48</f>
        <v>0</v>
      </c>
      <c r="S50" s="253">
        <f>S21+S29+S33+S37+S43+S48</f>
        <v>0</v>
      </c>
    </row>
    <row r="51" spans="2:19" x14ac:dyDescent="0.25">
      <c r="E51" s="226"/>
      <c r="H51" s="234"/>
      <c r="I51" s="183"/>
      <c r="J51" s="185"/>
      <c r="P51" s="252"/>
      <c r="Q51" s="252"/>
      <c r="R51" s="252"/>
      <c r="S51" s="252"/>
    </row>
    <row r="52" spans="2:19" x14ac:dyDescent="0.25">
      <c r="B52" s="170" t="s">
        <v>155</v>
      </c>
      <c r="C52" s="170"/>
      <c r="D52" s="171" t="s">
        <v>156</v>
      </c>
      <c r="E52" s="227" t="e">
        <f>E9+E11+E50</f>
        <v>#DIV/0!</v>
      </c>
      <c r="F52" s="176" t="e">
        <f>F9+F11+F50</f>
        <v>#DIV/0!</v>
      </c>
      <c r="G52" s="176" t="e">
        <f>F52-E52</f>
        <v>#DIV/0!</v>
      </c>
      <c r="H52" s="235" t="e">
        <f>H9+H11+H50</f>
        <v>#DIV/0!</v>
      </c>
      <c r="I52" s="179" t="e">
        <f>I9+I11+I50</f>
        <v>#DIV/0!</v>
      </c>
      <c r="J52" s="187" t="e">
        <f>I52-H52</f>
        <v>#DIV/0!</v>
      </c>
      <c r="P52" s="253">
        <f>P9+P11+P50</f>
        <v>0</v>
      </c>
      <c r="Q52" s="253">
        <f>Q9+Q11+Q50</f>
        <v>0</v>
      </c>
      <c r="R52" s="253">
        <f>R9+R11+R50</f>
        <v>0</v>
      </c>
      <c r="S52" s="253">
        <f>S9+S11+S50</f>
        <v>0</v>
      </c>
    </row>
    <row r="53" spans="2:19" x14ac:dyDescent="0.25">
      <c r="E53" s="226"/>
      <c r="H53" s="234"/>
      <c r="I53" s="183"/>
      <c r="J53" s="185"/>
      <c r="P53" s="252"/>
      <c r="Q53" s="252"/>
      <c r="R53" s="252"/>
      <c r="S53" s="252"/>
    </row>
    <row r="54" spans="2:19" x14ac:dyDescent="0.25">
      <c r="B54" s="173" t="s">
        <v>157</v>
      </c>
      <c r="C54" s="173"/>
      <c r="D54" s="174" t="s">
        <v>158</v>
      </c>
      <c r="E54" s="228" t="e">
        <f>E7-E52</f>
        <v>#DIV/0!</v>
      </c>
      <c r="F54" s="192" t="e">
        <f>F7-F52</f>
        <v>#DIV/0!</v>
      </c>
      <c r="G54" s="192" t="e">
        <f>F54-E54</f>
        <v>#DIV/0!</v>
      </c>
      <c r="H54" s="236" t="e">
        <f>H7-H52</f>
        <v>#DIV/0!</v>
      </c>
      <c r="I54" s="193" t="e">
        <f>I7-I52</f>
        <v>#DIV/0!</v>
      </c>
      <c r="J54" s="194" t="e">
        <f>I54-H54</f>
        <v>#DIV/0!</v>
      </c>
      <c r="P54" s="252">
        <f>P7-P52</f>
        <v>0</v>
      </c>
      <c r="Q54" s="252">
        <f>Q7-Q52</f>
        <v>0</v>
      </c>
      <c r="R54" s="252">
        <f>R7-R52</f>
        <v>0</v>
      </c>
      <c r="S54" s="252">
        <f>S7-S52</f>
        <v>0</v>
      </c>
    </row>
    <row r="55" spans="2:19" ht="15.75" thickBot="1" x14ac:dyDescent="0.3">
      <c r="B55" s="169" t="s">
        <v>159</v>
      </c>
      <c r="D55" s="158" t="s">
        <v>160</v>
      </c>
      <c r="E55" s="226" t="e">
        <f t="shared" ref="E55:J55" si="9">E54*E5</f>
        <v>#DIV/0!</v>
      </c>
      <c r="F55" s="188" t="e">
        <f t="shared" si="9"/>
        <v>#DIV/0!</v>
      </c>
      <c r="G55" s="188" t="e">
        <f t="shared" si="9"/>
        <v>#DIV/0!</v>
      </c>
      <c r="H55" s="234" t="e">
        <f t="shared" si="9"/>
        <v>#DIV/0!</v>
      </c>
      <c r="I55" s="183" t="e">
        <f t="shared" si="9"/>
        <v>#DIV/0!</v>
      </c>
      <c r="J55" s="189" t="e">
        <f t="shared" si="9"/>
        <v>#DIV/0!</v>
      </c>
      <c r="P55" s="254">
        <f>P54*P5</f>
        <v>0</v>
      </c>
      <c r="Q55" s="254">
        <f>Q54*Q5</f>
        <v>0</v>
      </c>
      <c r="R55" s="254">
        <f>R54</f>
        <v>0</v>
      </c>
      <c r="S55" s="254">
        <f>S54</f>
        <v>0</v>
      </c>
    </row>
    <row r="56" spans="2:19" x14ac:dyDescent="0.25">
      <c r="E56" s="226"/>
      <c r="F56" s="188"/>
      <c r="H56" s="234"/>
      <c r="J56" s="185"/>
    </row>
    <row r="57" spans="2:19" x14ac:dyDescent="0.25">
      <c r="E57" s="226"/>
      <c r="H57" s="234"/>
      <c r="J57" s="185"/>
    </row>
    <row r="58" spans="2:19" x14ac:dyDescent="0.25">
      <c r="B58" s="173" t="s">
        <v>161</v>
      </c>
      <c r="C58" s="173"/>
      <c r="D58" s="174" t="s">
        <v>162</v>
      </c>
      <c r="E58" s="228"/>
      <c r="F58" s="152"/>
      <c r="G58" s="152"/>
      <c r="H58" s="236"/>
      <c r="I58" s="195"/>
      <c r="J58" s="196"/>
    </row>
    <row r="59" spans="2:19" x14ac:dyDescent="0.25">
      <c r="E59" s="226"/>
      <c r="H59" s="234"/>
      <c r="J59" s="185"/>
    </row>
    <row r="60" spans="2:19" ht="15.75" thickBot="1" x14ac:dyDescent="0.3">
      <c r="B60" s="169" t="s">
        <v>163</v>
      </c>
      <c r="C60" s="169"/>
      <c r="D60" s="158" t="s">
        <v>164</v>
      </c>
      <c r="E60" s="229"/>
      <c r="F60" s="197"/>
      <c r="G60" s="197"/>
      <c r="H60" s="237"/>
      <c r="I60" s="198"/>
      <c r="J60" s="199"/>
    </row>
  </sheetData>
  <conditionalFormatting sqref="H1:J2 H4:J4">
    <cfRule type="cellIs" dxfId="1" priority="1" operator="lessThan">
      <formula>0</formula>
    </cfRule>
  </conditionalFormatting>
  <dataValidations count="1">
    <dataValidation type="list" allowBlank="1" showInputMessage="1" showErrorMessage="1" sqref="E2" xr:uid="{567C84F3-9B57-43D6-8FD0-1107CDBCC471}">
      <formula1>"1/01/2025,1/02/2025,1/03/2025,1/04/2025,1/05/2025,1/06/2025,1/07/2025,1/08/2025,1/09/2025,1/10/2025,1/11/2025,1/12/2025"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69758-20D8-4D09-AE99-FEBF32673DFC}">
  <sheetPr codeName="Sheet23">
    <tabColor theme="0" tint="-0.14999847407452621"/>
  </sheetPr>
  <dimension ref="A1:V60"/>
  <sheetViews>
    <sheetView workbookViewId="0">
      <selection activeCell="E16" sqref="E16"/>
    </sheetView>
  </sheetViews>
  <sheetFormatPr defaultColWidth="9.140625" defaultRowHeight="15" x14ac:dyDescent="0.25"/>
  <cols>
    <col min="1" max="1" width="9.140625" style="149"/>
    <col min="2" max="2" width="41.28515625" style="157" customWidth="1"/>
    <col min="3" max="3" width="16.85546875" style="157" bestFit="1" customWidth="1"/>
    <col min="4" max="4" width="14.42578125" style="158" bestFit="1" customWidth="1"/>
    <col min="5" max="5" width="11.5703125" style="223" bestFit="1" customWidth="1"/>
    <col min="6" max="6" width="11.5703125" style="149" bestFit="1" customWidth="1"/>
    <col min="7" max="7" width="14.28515625" style="149" bestFit="1" customWidth="1"/>
    <col min="8" max="8" width="11.7109375" style="223" bestFit="1" customWidth="1"/>
    <col min="9" max="9" width="12.42578125" style="157" bestFit="1" customWidth="1"/>
    <col min="10" max="10" width="14.28515625" style="149" bestFit="1" customWidth="1"/>
    <col min="11" max="15" width="9.140625" style="149"/>
    <col min="16" max="16" width="11.5703125" style="149" bestFit="1" customWidth="1"/>
    <col min="17" max="17" width="11.28515625" style="149" bestFit="1" customWidth="1"/>
    <col min="18" max="18" width="11.28515625" style="149" customWidth="1"/>
    <col min="19" max="19" width="13.42578125" style="149" customWidth="1"/>
    <col min="20" max="16384" width="9.140625" style="149"/>
  </cols>
  <sheetData>
    <row r="1" spans="1:22" ht="15.75" thickBot="1" x14ac:dyDescent="0.3">
      <c r="A1" s="247">
        <f>MONTH(E2)</f>
        <v>1</v>
      </c>
      <c r="B1" s="169" t="str">
        <f>'Rangatira Utiku Block Actual'!B2</f>
        <v>Rangatira Utiku Block</v>
      </c>
      <c r="F1" s="157"/>
      <c r="G1" s="157"/>
      <c r="J1" s="157"/>
      <c r="P1" s="149">
        <f>MONTH(Q2)</f>
        <v>1</v>
      </c>
      <c r="T1" t="s">
        <v>177</v>
      </c>
      <c r="U1" t="s">
        <v>178</v>
      </c>
    </row>
    <row r="2" spans="1:22" ht="15.75" thickBot="1" x14ac:dyDescent="0.3">
      <c r="A2" s="247" t="str">
        <f>_xlfn.XLOOKUP(A1,T2:T13,U2:U13,0,0)</f>
        <v>January</v>
      </c>
      <c r="B2" s="159"/>
      <c r="C2" s="159"/>
      <c r="D2" s="160"/>
      <c r="E2" s="238">
        <v>45658</v>
      </c>
      <c r="F2" s="161"/>
      <c r="G2" s="161"/>
      <c r="H2" s="230" t="s">
        <v>123</v>
      </c>
      <c r="I2" s="162"/>
      <c r="J2" s="163"/>
      <c r="M2" s="175"/>
      <c r="P2" t="s">
        <v>179</v>
      </c>
      <c r="Q2" s="248">
        <f>_xlfn.XLOOKUP(P2,U2:U13,V2:V13,0,0)</f>
        <v>45658</v>
      </c>
      <c r="R2" s="248"/>
      <c r="T2">
        <v>1</v>
      </c>
      <c r="U2" t="s">
        <v>179</v>
      </c>
      <c r="V2" s="249">
        <v>45658</v>
      </c>
    </row>
    <row r="3" spans="1:22" x14ac:dyDescent="0.25">
      <c r="B3" s="159"/>
      <c r="C3" s="159"/>
      <c r="D3" s="160"/>
      <c r="E3" s="224" t="s">
        <v>124</v>
      </c>
      <c r="F3" s="180" t="s">
        <v>125</v>
      </c>
      <c r="G3" s="180" t="s">
        <v>126</v>
      </c>
      <c r="H3" s="231" t="s">
        <v>124</v>
      </c>
      <c r="I3" s="180" t="s">
        <v>125</v>
      </c>
      <c r="J3" s="181" t="s">
        <v>126</v>
      </c>
      <c r="L3" s="447" t="s">
        <v>13</v>
      </c>
      <c r="M3" s="250" t="s">
        <v>125</v>
      </c>
      <c r="P3" s="250" t="s">
        <v>180</v>
      </c>
      <c r="Q3" s="250" t="s">
        <v>125</v>
      </c>
      <c r="R3" s="250" t="s">
        <v>180</v>
      </c>
      <c r="S3" s="250" t="s">
        <v>125</v>
      </c>
      <c r="T3">
        <v>2</v>
      </c>
      <c r="U3" t="s">
        <v>181</v>
      </c>
      <c r="V3" s="249">
        <v>45689</v>
      </c>
    </row>
    <row r="4" spans="1:22" ht="15.75" thickBot="1" x14ac:dyDescent="0.3">
      <c r="B4" s="164"/>
      <c r="C4" s="164"/>
      <c r="D4" s="165"/>
      <c r="E4" s="225" t="s">
        <v>127</v>
      </c>
      <c r="F4" s="166" t="s">
        <v>128</v>
      </c>
      <c r="G4" s="166" t="s">
        <v>129</v>
      </c>
      <c r="H4" s="232" t="s">
        <v>130</v>
      </c>
      <c r="I4" s="167" t="s">
        <v>131</v>
      </c>
      <c r="J4" s="168" t="s">
        <v>132</v>
      </c>
      <c r="L4" s="251"/>
      <c r="M4" s="251" t="s">
        <v>240</v>
      </c>
      <c r="P4" s="251" t="s">
        <v>203</v>
      </c>
      <c r="Q4" s="251" t="s">
        <v>203</v>
      </c>
      <c r="R4" s="251" t="s">
        <v>204</v>
      </c>
      <c r="S4" s="251" t="s">
        <v>204</v>
      </c>
      <c r="T4">
        <v>3</v>
      </c>
      <c r="U4" t="s">
        <v>182</v>
      </c>
      <c r="V4" s="249">
        <v>45717</v>
      </c>
    </row>
    <row r="5" spans="1:22" x14ac:dyDescent="0.25">
      <c r="B5" s="169" t="s">
        <v>133</v>
      </c>
      <c r="C5" s="169"/>
      <c r="D5" s="158" t="s">
        <v>134</v>
      </c>
      <c r="E5" s="375">
        <f>HLOOKUP($E$2,'Rangatira Utiku Block Actual'!$J$3:$U$16,14,0)</f>
        <v>0</v>
      </c>
      <c r="F5" s="221">
        <f>HLOOKUP($E$2,'Rangatira Utiku Block Budget'!$J$3:$U$16,14,0)</f>
        <v>0</v>
      </c>
      <c r="G5" s="182">
        <f>E5-F5</f>
        <v>0</v>
      </c>
      <c r="H5" s="233">
        <f>SUMIFS('Rangatira Utiku Block Actual'!$J$16:$U$16,'Rangatira Utiku Block Actual'!$J$3:$U$3,"&lt;="&amp;Summary_7!$E$2)</f>
        <v>0</v>
      </c>
      <c r="I5" s="183">
        <f>SUMIFS('Rangatira Utiku Block Budget'!$J$16:$U$16,'Rangatira Utiku Block Budget'!$J$3:$U$3,"&lt;="&amp;Summary_7!$E$2)</f>
        <v>0</v>
      </c>
      <c r="J5" s="184">
        <f>H5-I5</f>
        <v>0</v>
      </c>
      <c r="L5" s="442" t="s">
        <v>20</v>
      </c>
      <c r="M5" s="443">
        <f>$S$5*'Rangatira Utiku Block Budget'!C20</f>
        <v>0</v>
      </c>
      <c r="P5" s="252">
        <f>HLOOKUP($Q$2,'Rangatira Utiku Block Actual'!$J$3:$U$16,14,0)</f>
        <v>0</v>
      </c>
      <c r="Q5" s="252">
        <f>HLOOKUP($Q$2,'Rangatira Utiku Block Budget'!$J$3:$U$16,14,0)</f>
        <v>0</v>
      </c>
      <c r="R5" s="252">
        <f>HLOOKUP($Q$2,'Rangatira Utiku Block Actual'!$J$3:$U$16,14,0)</f>
        <v>0</v>
      </c>
      <c r="S5" s="252">
        <f>HLOOKUP($Q$2,'Rangatira Utiku Block Budget'!$J$3:$U$16,14,0)</f>
        <v>0</v>
      </c>
      <c r="T5">
        <v>4</v>
      </c>
      <c r="U5" t="s">
        <v>183</v>
      </c>
      <c r="V5" s="249">
        <v>45748</v>
      </c>
    </row>
    <row r="6" spans="1:22" x14ac:dyDescent="0.25">
      <c r="B6" s="169"/>
      <c r="C6" s="169"/>
      <c r="E6" s="220"/>
      <c r="F6" s="151"/>
      <c r="H6" s="234"/>
      <c r="I6" s="183"/>
      <c r="J6" s="185"/>
      <c r="L6" s="444" t="s">
        <v>22</v>
      </c>
      <c r="M6" s="189">
        <f>$S$5*'Rangatira Utiku Block Budget'!C21</f>
        <v>0</v>
      </c>
      <c r="P6" s="252"/>
      <c r="Q6" s="252"/>
      <c r="R6" s="252"/>
      <c r="S6" s="252"/>
      <c r="T6">
        <v>5</v>
      </c>
      <c r="U6" t="s">
        <v>184</v>
      </c>
      <c r="V6" s="249">
        <v>45778</v>
      </c>
    </row>
    <row r="7" spans="1:22" x14ac:dyDescent="0.25">
      <c r="B7" s="170" t="s">
        <v>135</v>
      </c>
      <c r="C7" s="170"/>
      <c r="D7" s="171" t="s">
        <v>136</v>
      </c>
      <c r="E7" s="219" t="e">
        <f>(HLOOKUP($E$2,'Rangatira Utiku Block Actual'!$J$19:$U$46,28,0))/E5</f>
        <v>#DIV/0!</v>
      </c>
      <c r="F7" s="218" t="e">
        <f>(HLOOKUP($E$2,'Rangatira Utiku Block Budget'!$J$19:$U$46,28,0))/F5</f>
        <v>#DIV/0!</v>
      </c>
      <c r="G7" s="177" t="e">
        <f>E7-F7</f>
        <v>#DIV/0!</v>
      </c>
      <c r="H7" s="235" t="e">
        <f>SUMIFS('Rangatira Utiku Block Actual'!$J$46:$U$46,'Rangatira Utiku Block Actual'!J19:U19,"&lt;="&amp;Summary_7!$E$2)/H5</f>
        <v>#DIV/0!</v>
      </c>
      <c r="I7" s="179" t="e">
        <f>SUMIFS('Rangatira Utiku Block Budget'!$J$46:$U$46,'Rangatira Utiku Block Budget'!J19:U19,"&lt;="&amp;Summary_7!$E$2)/I5</f>
        <v>#DIV/0!</v>
      </c>
      <c r="J7" s="186" t="e">
        <f>H7-I7</f>
        <v>#DIV/0!</v>
      </c>
      <c r="L7" s="444" t="s">
        <v>25</v>
      </c>
      <c r="M7" s="189">
        <f>$S$5*'Rangatira Utiku Block Budget'!C22</f>
        <v>0</v>
      </c>
      <c r="P7" s="253">
        <f>IFERROR(HLOOKUP($Q$2,'Rangatira Utiku Block Actual'!$J$19:$U$46,28,0)/P5,0)</f>
        <v>0</v>
      </c>
      <c r="Q7" s="253">
        <f>IFERROR(HLOOKUP($Q$2,'Rangatira Utiku Block Budget'!$J$19:$U$46,28,0)/Q5,0)</f>
        <v>0</v>
      </c>
      <c r="R7" s="253">
        <f>HLOOKUP($Q$2,'Rangatira Utiku Block Actual'!$J$19:$U$46,28,0)</f>
        <v>0</v>
      </c>
      <c r="S7" s="253">
        <f>(HLOOKUP($Q$2,'Rangatira Utiku Block Budget'!$J$19:$U$46,28,0))</f>
        <v>0</v>
      </c>
      <c r="T7">
        <v>6</v>
      </c>
      <c r="U7" t="s">
        <v>185</v>
      </c>
      <c r="V7" s="249">
        <v>45809</v>
      </c>
    </row>
    <row r="8" spans="1:22" x14ac:dyDescent="0.25">
      <c r="E8" s="220"/>
      <c r="F8" s="151"/>
      <c r="H8" s="234"/>
      <c r="I8" s="183"/>
      <c r="J8" s="185"/>
      <c r="L8" s="444" t="s">
        <v>30</v>
      </c>
      <c r="M8" s="189">
        <f>$S$5*'Rangatira Utiku Block Budget'!C23</f>
        <v>0</v>
      </c>
      <c r="P8" s="252"/>
      <c r="Q8" s="252"/>
      <c r="R8" s="252"/>
      <c r="S8" s="252"/>
      <c r="T8">
        <v>7</v>
      </c>
      <c r="U8" t="s">
        <v>186</v>
      </c>
      <c r="V8" s="249">
        <v>45839</v>
      </c>
    </row>
    <row r="9" spans="1:22" x14ac:dyDescent="0.25">
      <c r="B9" s="170" t="s">
        <v>137</v>
      </c>
      <c r="C9" s="170"/>
      <c r="D9" s="171" t="s">
        <v>138</v>
      </c>
      <c r="E9" s="219" t="e">
        <f>HLOOKUP($E$2,'Rangatira Utiku Block Actual'!$J$50:$U$51,2,0)/E5</f>
        <v>#DIV/0!</v>
      </c>
      <c r="F9" s="218" t="e">
        <f>HLOOKUP($E$2,'Rangatira Utiku Block Budget'!$J$50:$U$51,2,0)/F5</f>
        <v>#DIV/0!</v>
      </c>
      <c r="G9" s="176" t="e">
        <f>F9-E9</f>
        <v>#DIV/0!</v>
      </c>
      <c r="H9" s="235" t="e">
        <f>SUMIFS('Rangatira Utiku Block Actual'!$J$51:$U$51,'Rangatira Utiku Block Actual'!J50:U50,"&lt;="&amp;Summary_7!$E$2)/H5</f>
        <v>#DIV/0!</v>
      </c>
      <c r="I9" s="179" t="e">
        <f>SUMIFS('Rangatira Utiku Block Budget'!$J$51:$U$51,'Rangatira Utiku Block Budget'!J50:U50,"&lt;="&amp;Summary_7!$E$2)/I5</f>
        <v>#DIV/0!</v>
      </c>
      <c r="J9" s="187" t="e">
        <f>I9-H9</f>
        <v>#DIV/0!</v>
      </c>
      <c r="L9" s="444" t="s">
        <v>222</v>
      </c>
      <c r="M9" s="189">
        <f>$S$5*'Rangatira Utiku Block Budget'!C24</f>
        <v>0</v>
      </c>
      <c r="P9" s="253">
        <f>IFERROR(HLOOKUP($Q$2,'Rangatira Utiku Block Actual'!$J$50:$U$51,2,0)/P5,0)</f>
        <v>0</v>
      </c>
      <c r="Q9" s="253">
        <f>IFERROR(HLOOKUP($Q$2,'Rangatira Utiku Block Budget'!$J$50:$U$51,2,0)/Q5,0)</f>
        <v>0</v>
      </c>
      <c r="R9" s="253">
        <f>HLOOKUP($Q$2,'Rangatira Utiku Block Actual'!$J$50:$U$51,2,0)</f>
        <v>0</v>
      </c>
      <c r="S9" s="253">
        <f>HLOOKUP($Q$2,'Rangatira Utiku Block Budget'!$J$50:$U$51,2,0)</f>
        <v>0</v>
      </c>
      <c r="T9">
        <v>8</v>
      </c>
      <c r="U9" t="s">
        <v>187</v>
      </c>
      <c r="V9" s="249">
        <v>45870</v>
      </c>
    </row>
    <row r="10" spans="1:22" x14ac:dyDescent="0.25">
      <c r="E10" s="220"/>
      <c r="F10" s="151"/>
      <c r="H10" s="234"/>
      <c r="I10" s="183"/>
      <c r="J10" s="185"/>
      <c r="L10" s="444" t="s">
        <v>34</v>
      </c>
      <c r="M10" s="189">
        <f>$S$5*'Rangatira Utiku Block Budget'!C25</f>
        <v>0</v>
      </c>
      <c r="P10" s="252"/>
      <c r="Q10" s="252"/>
      <c r="R10" s="252"/>
      <c r="S10" s="252"/>
      <c r="T10">
        <v>9</v>
      </c>
      <c r="U10" t="s">
        <v>188</v>
      </c>
      <c r="V10" s="249">
        <v>45901</v>
      </c>
    </row>
    <row r="11" spans="1:22" x14ac:dyDescent="0.25">
      <c r="B11" s="170" t="s">
        <v>139</v>
      </c>
      <c r="C11" s="170"/>
      <c r="D11" s="171" t="s">
        <v>140</v>
      </c>
      <c r="E11" s="219" t="e">
        <f>HLOOKUP($E$2,'Rangatira Utiku Block Actual'!$J$55:$U$78,24,0)/E5</f>
        <v>#DIV/0!</v>
      </c>
      <c r="F11" s="218" t="e">
        <f>HLOOKUP($E$2,'Rangatira Utiku Block Budget'!$J$55:$U$78,24,0)/F5</f>
        <v>#DIV/0!</v>
      </c>
      <c r="G11" s="176" t="e">
        <f>F11-E11</f>
        <v>#DIV/0!</v>
      </c>
      <c r="H11" s="235" t="e">
        <f>SUMIFS('Rangatira Utiku Block Actual'!$J$78:$U$78,'Rangatira Utiku Block Actual'!$J$55:$U$55,"&lt;="&amp;Summary_7!$E$2)/H5</f>
        <v>#DIV/0!</v>
      </c>
      <c r="I11" s="179" t="e">
        <f>SUMIFS('Rangatira Utiku Block Budget'!$J$78:$U$78,'Rangatira Utiku Block Budget'!$J$55:$U$55,"&lt;="&amp;Summary_7!$E$2)/I5</f>
        <v>#DIV/0!</v>
      </c>
      <c r="J11" s="187" t="e">
        <f>I11-H11</f>
        <v>#DIV/0!</v>
      </c>
      <c r="L11" s="444" t="s">
        <v>37</v>
      </c>
      <c r="M11" s="189">
        <f>$S$5*'Rangatira Utiku Block Budget'!C26</f>
        <v>0</v>
      </c>
      <c r="P11" s="253">
        <f>IFERROR(HLOOKUP($Q$2,'Rangatira Utiku Block Actual'!$J$55:$U$78,24,0)/P5,0)</f>
        <v>0</v>
      </c>
      <c r="Q11" s="253">
        <f>IFERROR(HLOOKUP($Q$2,'Rangatira Utiku Block Budget'!$J$55:$U$78,24,0)/Q5,0)</f>
        <v>0</v>
      </c>
      <c r="R11" s="253">
        <f>HLOOKUP($Q$2,'Rangatira Utiku Block Actual'!$J$55:$U$78,24,0)</f>
        <v>0</v>
      </c>
      <c r="S11" s="253">
        <f>HLOOKUP($Q$2,'Rangatira Utiku Block Budget'!$J$55:$U$78,24,0)</f>
        <v>0</v>
      </c>
      <c r="T11">
        <v>10</v>
      </c>
      <c r="U11" t="s">
        <v>189</v>
      </c>
      <c r="V11" s="249">
        <v>45931</v>
      </c>
    </row>
    <row r="12" spans="1:22" x14ac:dyDescent="0.25">
      <c r="E12" s="220"/>
      <c r="F12" s="373"/>
      <c r="H12" s="234"/>
      <c r="I12" s="183"/>
      <c r="J12" s="185"/>
      <c r="L12" s="444" t="s">
        <v>174</v>
      </c>
      <c r="M12" s="189">
        <f>$S$5*'Rangatira Utiku Block Budget'!C27</f>
        <v>0</v>
      </c>
      <c r="P12" s="252"/>
      <c r="Q12" s="252"/>
      <c r="R12" s="252"/>
      <c r="S12" s="252"/>
      <c r="T12">
        <v>11</v>
      </c>
      <c r="U12" t="s">
        <v>190</v>
      </c>
      <c r="V12" s="249">
        <v>45962</v>
      </c>
    </row>
    <row r="13" spans="1:22" x14ac:dyDescent="0.25">
      <c r="B13" s="157" t="s">
        <v>52</v>
      </c>
      <c r="C13" s="157" t="s">
        <v>53</v>
      </c>
      <c r="E13" s="220" t="e">
        <f>HLOOKUP($E$2,'Rangatira Utiku Block Actual'!$J$81:$U$105,2,0)/$E$5</f>
        <v>#DIV/0!</v>
      </c>
      <c r="F13" s="221" t="e">
        <f>HLOOKUP($E$2,'Rangatira Utiku Block Budget'!$J$81:$U$105,2,0)/$F$5</f>
        <v>#DIV/0!</v>
      </c>
      <c r="G13" s="188" t="e">
        <f t="shared" ref="G13:G20" si="0">F13-E13</f>
        <v>#DIV/0!</v>
      </c>
      <c r="H13" s="234" t="e">
        <f>SUMIFS('Rangatira Utiku Block Actual'!$J$82:$U$82,'Rangatira Utiku Block Actual'!$J$81:$U$81,"&lt;="&amp;Summary_7!$E$2)/H5</f>
        <v>#DIV/0!</v>
      </c>
      <c r="I13" s="183" t="e">
        <f>SUMIFS('Rangatira Utiku Block Budget'!$J$82:$U$82,'Rangatira Utiku Block Budget'!$J$81:$U$81,"&lt;="&amp;Summary_7!$E$2)/I5</f>
        <v>#DIV/0!</v>
      </c>
      <c r="J13" s="189" t="e">
        <f t="shared" ref="J13:J20" si="1">I13-H13</f>
        <v>#DIV/0!</v>
      </c>
      <c r="L13" s="444" t="s">
        <v>202</v>
      </c>
      <c r="M13" s="189">
        <f>$S$5*'Rangatira Utiku Block Budget'!C28</f>
        <v>0</v>
      </c>
      <c r="P13" s="252">
        <f>IFERROR(HLOOKUP($Q$2,'Rangatira Utiku Block Actual'!$J$81:$U$105,2,0)/$P$5,0)</f>
        <v>0</v>
      </c>
      <c r="Q13" s="252">
        <f>IFERROR(HLOOKUP($Q$2,'Rangatira Utiku Block Budget'!$J$81:$U$105,2,0)/$Q$5,0)</f>
        <v>0</v>
      </c>
      <c r="R13" s="252">
        <f>HLOOKUP($Q$2,'Rangatira Utiku Block Actual'!$J$81:$U$105,2,0)</f>
        <v>0</v>
      </c>
      <c r="S13" s="252">
        <f>HLOOKUP($Q$2,'Rangatira Utiku Block Budget'!$J$81:$U$105,2,0)</f>
        <v>0</v>
      </c>
      <c r="T13">
        <v>12</v>
      </c>
      <c r="U13" t="s">
        <v>191</v>
      </c>
      <c r="V13" s="249">
        <v>45992</v>
      </c>
    </row>
    <row r="14" spans="1:22" x14ac:dyDescent="0.25">
      <c r="B14" s="157" t="s">
        <v>227</v>
      </c>
      <c r="C14" s="157" t="s">
        <v>53</v>
      </c>
      <c r="E14" s="220" t="e">
        <f>HLOOKUP($E$2,'Rangatira Utiku Block Actual'!$J$81:$U$105,3,0)/$E$5</f>
        <v>#DIV/0!</v>
      </c>
      <c r="F14" s="221" t="e">
        <f>HLOOKUP($E$2,'Rangatira Utiku Block Budget'!$J$81:$U$105,3,0)/$F$5</f>
        <v>#DIV/0!</v>
      </c>
      <c r="G14" s="188" t="e">
        <f t="shared" si="0"/>
        <v>#DIV/0!</v>
      </c>
      <c r="H14" s="234" t="e">
        <f>SUMIFS('Rangatira Utiku Block Actual'!$J$83:$U$83,'Rangatira Utiku Block Actual'!$J$81:$U$81,"&lt;="&amp;Summary_7!$E$2)/H5</f>
        <v>#DIV/0!</v>
      </c>
      <c r="I14" s="183" t="e">
        <f>SUMIFS('Rangatira Utiku Block Budget'!$J$83:$U$83,'Rangatira Utiku Block Budget'!$J$81:$U$81,"&lt;="&amp;Summary_7!$E$2)/I5</f>
        <v>#DIV/0!</v>
      </c>
      <c r="J14" s="189" t="e">
        <f t="shared" si="1"/>
        <v>#DIV/0!</v>
      </c>
      <c r="L14" s="444" t="s">
        <v>175</v>
      </c>
      <c r="M14" s="189">
        <f>$S$5*'Rangatira Utiku Block Budget'!C29</f>
        <v>0</v>
      </c>
      <c r="P14" s="252">
        <f>IFERROR(HLOOKUP($Q$2,'Rangatira Utiku Block Actual'!$J$81:$U$105,3,0)/$P$5,0)</f>
        <v>0</v>
      </c>
      <c r="Q14" s="252">
        <f>IFERROR(HLOOKUP($Q$2,'Rangatira Utiku Block Budget'!$J$81:$U$105,3,0)/$Q$5,0)</f>
        <v>0</v>
      </c>
      <c r="R14" s="252">
        <f>HLOOKUP($Q$2,'Rangatira Utiku Block Actual'!$J$81:$U$105,3,0)</f>
        <v>0</v>
      </c>
      <c r="S14" s="252">
        <f>HLOOKUP($Q$2,'Rangatira Utiku Block Budget'!$J$81:$U$105,3,0)</f>
        <v>0</v>
      </c>
    </row>
    <row r="15" spans="1:22" x14ac:dyDescent="0.25">
      <c r="B15" s="157" t="s">
        <v>54</v>
      </c>
      <c r="C15" s="157" t="s">
        <v>53</v>
      </c>
      <c r="E15" s="220" t="e">
        <f>HLOOKUP($E$2,'Rangatira Utiku Block Actual'!$J$81:$U$105,4,0)/$E$5</f>
        <v>#DIV/0!</v>
      </c>
      <c r="F15" s="221" t="e">
        <f>HLOOKUP($E$2,'Rangatira Utiku Block Budget'!$J$81:$U$105,4,0)/$F$5</f>
        <v>#DIV/0!</v>
      </c>
      <c r="G15" s="188" t="e">
        <f t="shared" si="0"/>
        <v>#DIV/0!</v>
      </c>
      <c r="H15" s="234" t="e">
        <f>SUMIFS('Rangatira Utiku Block Actual'!$J$84:$U$84,'Rangatira Utiku Block Actual'!$J$81:$U$81,"&lt;="&amp;Summary_7!$E$2)/H5</f>
        <v>#DIV/0!</v>
      </c>
      <c r="I15" s="183" t="e">
        <f>SUMIFS('Rangatira Utiku Block Budget'!$J$84:$U$84,'Rangatira Utiku Block Budget'!$J$81:$U$81,"&lt;="&amp;Summary_7!$E$2)/I5</f>
        <v>#DIV/0!</v>
      </c>
      <c r="J15" s="189" t="e">
        <f t="shared" si="1"/>
        <v>#DIV/0!</v>
      </c>
      <c r="L15" s="444" t="s">
        <v>176</v>
      </c>
      <c r="M15" s="189">
        <f>$S$5*'Rangatira Utiku Block Budget'!C30</f>
        <v>0</v>
      </c>
      <c r="P15" s="252">
        <f>IFERROR(HLOOKUP($Q$2,'Rangatira Utiku Block Actual'!$J$81:$U$105,4,0)/$P$5,0)</f>
        <v>0</v>
      </c>
      <c r="Q15" s="252">
        <f>IFERROR(HLOOKUP($Q$2,'Rangatira Utiku Block Budget'!$J$81:$U$105,4,0)/$Q$5,0)</f>
        <v>0</v>
      </c>
      <c r="R15" s="252">
        <f>HLOOKUP($Q$2,'Rangatira Utiku Block Actual'!$J$81:$U$105,4,0)</f>
        <v>0</v>
      </c>
      <c r="S15" s="252">
        <f>HLOOKUP($Q$2,'Rangatira Utiku Block Budget'!$J$81:$U$105,4,0)</f>
        <v>0</v>
      </c>
    </row>
    <row r="16" spans="1:22" x14ac:dyDescent="0.25">
      <c r="B16" s="157" t="s">
        <v>55</v>
      </c>
      <c r="C16" s="157" t="s">
        <v>53</v>
      </c>
      <c r="E16" s="220" t="e">
        <f>HLOOKUP($E$2,'Rangatira Utiku Block Actual'!$J$81:$U$105,5,0)/$E$5</f>
        <v>#DIV/0!</v>
      </c>
      <c r="F16" s="221" t="e">
        <f>HLOOKUP($E$2,'Rangatira Utiku Block Budget'!$J$81:$U$105,5,0)/$F$5</f>
        <v>#DIV/0!</v>
      </c>
      <c r="G16" s="188" t="e">
        <f t="shared" si="0"/>
        <v>#DIV/0!</v>
      </c>
      <c r="H16" s="234" t="e">
        <f>SUMIFS('Rangatira Utiku Block Actual'!$J$85:$U$85,'Rangatira Utiku Block Actual'!$J$81:$U$81,"&lt;="&amp;Summary_7!$E$2)/H5</f>
        <v>#DIV/0!</v>
      </c>
      <c r="I16" s="183" t="e">
        <f>SUMIFS('Rangatira Utiku Block Budget'!$J$85:$U$85,'Rangatira Utiku Block Budget'!$J$81:$U$81,"&lt;="&amp;Summary_7!$E$2)/I5</f>
        <v>#DIV/0!</v>
      </c>
      <c r="J16" s="189" t="e">
        <f t="shared" si="1"/>
        <v>#DIV/0!</v>
      </c>
      <c r="L16" s="444" t="s">
        <v>23</v>
      </c>
      <c r="M16" s="189">
        <f>$S$5*'Rangatira Utiku Block Budget'!C31</f>
        <v>0</v>
      </c>
      <c r="P16" s="252">
        <f>IFERROR(HLOOKUP($Q$2,'Rangatira Utiku Block Actual'!$J$81:$U$105,5,0)/$P$5,0)</f>
        <v>0</v>
      </c>
      <c r="Q16" s="252">
        <f>IFERROR(HLOOKUP($Q$2,'Rangatira Utiku Block Budget'!$J$81:$U$105,5,0)/$Q$5,0)</f>
        <v>0</v>
      </c>
      <c r="R16" s="252">
        <f>HLOOKUP($Q$2,'Rangatira Utiku Block Actual'!$J$81:$U$105,5,0)</f>
        <v>0</v>
      </c>
      <c r="S16" s="252">
        <f>HLOOKUP($Q$2,'Rangatira Utiku Block Budget'!$J$81:$U$105,5,0)</f>
        <v>0</v>
      </c>
    </row>
    <row r="17" spans="2:19" x14ac:dyDescent="0.25">
      <c r="B17" s="157" t="s">
        <v>228</v>
      </c>
      <c r="C17" s="157" t="s">
        <v>53</v>
      </c>
      <c r="E17" s="220" t="e">
        <f>HLOOKUP($E$2,'Rangatira Utiku Block Actual'!$J$81:$U$105,6,0)/$E$5</f>
        <v>#DIV/0!</v>
      </c>
      <c r="F17" s="221" t="e">
        <f>HLOOKUP($E$2,'Rangatira Utiku Block Budget'!$J$81:$U$105,6,0)/$F$5</f>
        <v>#DIV/0!</v>
      </c>
      <c r="G17" s="188" t="e">
        <f t="shared" si="0"/>
        <v>#DIV/0!</v>
      </c>
      <c r="H17" s="234" t="e">
        <f>SUMIFS('Rangatira Utiku Block Actual'!$J$86:$U$86,'Rangatira Utiku Block Actual'!$J$81:$U$81,"&lt;="&amp;Summary_7!$E$2)/H5</f>
        <v>#DIV/0!</v>
      </c>
      <c r="I17" s="183" t="e">
        <f>SUMIFS('Rangatira Utiku Block Budget'!$J$86:$U$86,'Rangatira Utiku Block Budget'!$J$81:$U$81,"&lt;="&amp;Summary_7!$E$2)/I5</f>
        <v>#DIV/0!</v>
      </c>
      <c r="J17" s="189" t="e">
        <f t="shared" si="1"/>
        <v>#DIV/0!</v>
      </c>
      <c r="L17" s="444" t="s">
        <v>24</v>
      </c>
      <c r="M17" s="189">
        <f>$S$5*'Rangatira Utiku Block Budget'!C32</f>
        <v>0</v>
      </c>
      <c r="P17" s="252">
        <f>IFERROR(HLOOKUP($Q$2,'Rangatira Utiku Block Actual'!$J$81:$U$105,6,0)/$P$5,0)</f>
        <v>0</v>
      </c>
      <c r="Q17" s="252">
        <f>IFERROR(HLOOKUP($Q$2,'Rangatira Utiku Block Budget'!$J$81:$U$105,6,0)/$Q$5,0)</f>
        <v>0</v>
      </c>
      <c r="R17" s="252">
        <f>HLOOKUP($Q$2,'Rangatira Utiku Block Actual'!$J$81:$U$105,6,0)</f>
        <v>0</v>
      </c>
      <c r="S17" s="252">
        <f>HLOOKUP($Q$2,'Rangatira Utiku Block Budget'!$J$81:$U$105,6,0)</f>
        <v>0</v>
      </c>
    </row>
    <row r="18" spans="2:19" x14ac:dyDescent="0.25">
      <c r="B18" s="157" t="s">
        <v>56</v>
      </c>
      <c r="C18" s="157" t="s">
        <v>53</v>
      </c>
      <c r="E18" s="220" t="e">
        <f>HLOOKUP($E$2,'Rangatira Utiku Block Actual'!$J$81:$U$105,7,0)/$E$5</f>
        <v>#DIV/0!</v>
      </c>
      <c r="F18" s="221" t="e">
        <f>HLOOKUP($E$2,'Rangatira Utiku Block Budget'!$J$81:$U$105,7,0)/$F$5</f>
        <v>#DIV/0!</v>
      </c>
      <c r="G18" s="188" t="e">
        <f t="shared" si="0"/>
        <v>#DIV/0!</v>
      </c>
      <c r="H18" s="234" t="e">
        <f>SUMIFS('Rangatira Utiku Block Actual'!$J$87:$U$87,'Rangatira Utiku Block Actual'!$J$81:$U$81,"&lt;="&amp;Summary_7!$E$2)/H5</f>
        <v>#DIV/0!</v>
      </c>
      <c r="I18" s="183" t="e">
        <f>SUMIFS('Rangatira Utiku Block Budget'!$J$87:$U$87,'Rangatira Utiku Block Budget'!$J$81:$U$81,"&lt;="&amp;Summary_7!$E$2)/I5</f>
        <v>#DIV/0!</v>
      </c>
      <c r="J18" s="189" t="e">
        <f t="shared" si="1"/>
        <v>#DIV/0!</v>
      </c>
      <c r="L18" s="444" t="s">
        <v>26</v>
      </c>
      <c r="M18" s="189">
        <f>$S$5*'Rangatira Utiku Block Budget'!C33</f>
        <v>0</v>
      </c>
      <c r="P18" s="252">
        <f>IFERROR(HLOOKUP($Q$2,'Rangatira Utiku Block Actual'!$J$81:$U$105,7,0)/$P$5,0)</f>
        <v>0</v>
      </c>
      <c r="Q18" s="252">
        <f>IFERROR(HLOOKUP($Q$2,'Rangatira Utiku Block Budget'!$J$81:$U$105,7,0)/$Q$5,0)</f>
        <v>0</v>
      </c>
      <c r="R18" s="252">
        <f>HLOOKUP($Q$2,'Rangatira Utiku Block Actual'!$J$81:$U$105,7,0)</f>
        <v>0</v>
      </c>
      <c r="S18" s="252">
        <f>HLOOKUP($Q$2,'Rangatira Utiku Block Budget'!$J$81:$U$105,7,0)</f>
        <v>0</v>
      </c>
    </row>
    <row r="19" spans="2:19" x14ac:dyDescent="0.25">
      <c r="B19" s="157" t="s">
        <v>57</v>
      </c>
      <c r="C19" s="157" t="s">
        <v>53</v>
      </c>
      <c r="E19" s="220" t="e">
        <f>HLOOKUP($E$2,'Rangatira Utiku Block Actual'!$J$81:$U$105,8,0)/$E$5</f>
        <v>#DIV/0!</v>
      </c>
      <c r="F19" s="221" t="e">
        <f>HLOOKUP($E$2,'Rangatira Utiku Block Budget'!$J$81:$U$105,8,0)/$F$5</f>
        <v>#DIV/0!</v>
      </c>
      <c r="G19" s="188" t="e">
        <f t="shared" si="0"/>
        <v>#DIV/0!</v>
      </c>
      <c r="H19" s="234" t="e">
        <f>SUMIFS('Rangatira Utiku Block Actual'!$J$88:$U$88,'Rangatira Utiku Block Actual'!$J$81:$U$81,"&lt;="&amp;Summary_7!$E$2)/H5</f>
        <v>#DIV/0!</v>
      </c>
      <c r="I19" s="183" t="e">
        <f>SUMIFS('Rangatira Utiku Block Budget'!$J$88:$U$88,'Rangatira Utiku Block Budget'!$J$81:$U$81,"&lt;="&amp;Summary_7!$E$2)/I5</f>
        <v>#DIV/0!</v>
      </c>
      <c r="J19" s="189" t="e">
        <f t="shared" si="1"/>
        <v>#DIV/0!</v>
      </c>
      <c r="L19" s="444" t="s">
        <v>27</v>
      </c>
      <c r="M19" s="189">
        <f>$S$5*'Rangatira Utiku Block Budget'!C34</f>
        <v>0</v>
      </c>
      <c r="P19" s="252">
        <f>IFERROR(HLOOKUP($Q$2,'Rangatira Utiku Block Actual'!$J$81:$U$105,8,0)/$P$5,0)</f>
        <v>0</v>
      </c>
      <c r="Q19" s="252">
        <f>IFERROR(HLOOKUP($Q$2,'Rangatira Utiku Block Budget'!$J$81:$U$105,8,0)/$Q$5,0)</f>
        <v>0</v>
      </c>
      <c r="R19" s="252">
        <f>HLOOKUP($Q$2,'Rangatira Utiku Block Actual'!$J$81:$U$105,8,0)</f>
        <v>0</v>
      </c>
      <c r="S19" s="252">
        <f>HLOOKUP($Q$2,'Rangatira Utiku Block Budget'!$J$81:$U$105,8,0)</f>
        <v>0</v>
      </c>
    </row>
    <row r="20" spans="2:19" x14ac:dyDescent="0.25">
      <c r="B20" s="172" t="s">
        <v>229</v>
      </c>
      <c r="C20" s="172" t="s">
        <v>53</v>
      </c>
      <c r="D20" s="171"/>
      <c r="E20" s="219" t="e">
        <f>HLOOKUP($E$2,'Rangatira Utiku Block Actual'!$J$81:$U$105,9,0)/$E$5</f>
        <v>#DIV/0!</v>
      </c>
      <c r="F20" s="218" t="e">
        <f>HLOOKUP($E$2,'Rangatira Utiku Block Budget'!$J$81:$U$105,9,0)/$F$5</f>
        <v>#DIV/0!</v>
      </c>
      <c r="G20" s="176" t="e">
        <f t="shared" si="0"/>
        <v>#DIV/0!</v>
      </c>
      <c r="H20" s="235" t="e">
        <f>SUMIFS('Rangatira Utiku Block Actual'!$J$89:$U$89,'Rangatira Utiku Block Actual'!$J$81:$U$81,"&lt;="&amp;Summary_7!$E$2)/H5</f>
        <v>#DIV/0!</v>
      </c>
      <c r="I20" s="179" t="e">
        <f>SUMIFS('Rangatira Utiku Block Budget'!$J$89:$U$89,'Rangatira Utiku Block Budget'!$J$81:$U$81,"&lt;="&amp;Summary_7!$E$2)/I5</f>
        <v>#DIV/0!</v>
      </c>
      <c r="J20" s="187" t="e">
        <f t="shared" si="1"/>
        <v>#DIV/0!</v>
      </c>
      <c r="L20" s="444" t="s">
        <v>29</v>
      </c>
      <c r="M20" s="189">
        <f>$S$5*'Rangatira Utiku Block Budget'!C35</f>
        <v>0</v>
      </c>
      <c r="P20" s="253">
        <f>IFERROR(HLOOKUP($Q$2,'Rangatira Utiku Block Actual'!$J$81:$U$105,9,0)/$P$5,0)</f>
        <v>0</v>
      </c>
      <c r="Q20" s="253">
        <f>IFERROR(HLOOKUP($Q$2,'Rangatira Utiku Block Budget'!$J$81:$U$105,9,0)/$Q$5,0)</f>
        <v>0</v>
      </c>
      <c r="R20" s="253">
        <f>HLOOKUP($Q$2,'Rangatira Utiku Block Actual'!$J$81:$U$105,9,0)</f>
        <v>0</v>
      </c>
      <c r="S20" s="253">
        <f>HLOOKUP($Q$2,'Rangatira Utiku Block Budget'!$J$81:$U$105,9,0)</f>
        <v>0</v>
      </c>
    </row>
    <row r="21" spans="2:19" x14ac:dyDescent="0.25">
      <c r="B21" s="169" t="s">
        <v>141</v>
      </c>
      <c r="C21" s="169" t="s">
        <v>53</v>
      </c>
      <c r="D21" s="158" t="s">
        <v>142</v>
      </c>
      <c r="E21" s="220" t="e">
        <f t="shared" ref="E21:J21" si="2">SUM(E13:E20)</f>
        <v>#DIV/0!</v>
      </c>
      <c r="F21" s="221" t="e">
        <f t="shared" si="2"/>
        <v>#DIV/0!</v>
      </c>
      <c r="G21" s="188" t="e">
        <f t="shared" si="2"/>
        <v>#DIV/0!</v>
      </c>
      <c r="H21" s="234" t="e">
        <f t="shared" si="2"/>
        <v>#DIV/0!</v>
      </c>
      <c r="I21" s="183" t="e">
        <f t="shared" si="2"/>
        <v>#DIV/0!</v>
      </c>
      <c r="J21" s="189" t="e">
        <f t="shared" si="2"/>
        <v>#DIV/0!</v>
      </c>
      <c r="L21" s="444" t="s">
        <v>28</v>
      </c>
      <c r="M21" s="189">
        <f>$S$5*'Rangatira Utiku Block Budget'!C36</f>
        <v>0</v>
      </c>
      <c r="P21" s="252">
        <f>SUM(P13:P20)</f>
        <v>0</v>
      </c>
      <c r="Q21" s="252">
        <f>SUM(Q13:Q20)</f>
        <v>0</v>
      </c>
      <c r="R21" s="252">
        <f>SUM(R13:R20)</f>
        <v>0</v>
      </c>
      <c r="S21" s="252">
        <f>SUM(S13:S20)</f>
        <v>0</v>
      </c>
    </row>
    <row r="22" spans="2:19" x14ac:dyDescent="0.25">
      <c r="E22" s="220"/>
      <c r="F22" s="373"/>
      <c r="H22" s="234"/>
      <c r="I22" s="183"/>
      <c r="J22" s="185"/>
      <c r="L22" s="444" t="s">
        <v>31</v>
      </c>
      <c r="M22" s="189">
        <f>$S$5*'Rangatira Utiku Block Budget'!C37</f>
        <v>0</v>
      </c>
      <c r="P22" s="252"/>
      <c r="Q22" s="252"/>
      <c r="R22" s="252"/>
      <c r="S22" s="252"/>
    </row>
    <row r="23" spans="2:19" x14ac:dyDescent="0.25">
      <c r="B23" s="329" t="s">
        <v>238</v>
      </c>
      <c r="C23" s="157" t="s">
        <v>59</v>
      </c>
      <c r="E23" s="220" t="e">
        <f>HLOOKUP($E$2,'Rangatira Utiku Block Actual'!$J$81:$U$105,10,0)/$E$5</f>
        <v>#DIV/0!</v>
      </c>
      <c r="F23" s="221" t="e">
        <f>HLOOKUP($E$2,'Rangatira Utiku Block Budget'!$J$81:$U$105,10,0)/$F$5</f>
        <v>#DIV/0!</v>
      </c>
      <c r="G23" s="188" t="e">
        <f t="shared" ref="G23:G28" si="3">F23-E23</f>
        <v>#DIV/0!</v>
      </c>
      <c r="H23" s="234" t="e">
        <f>SUMIFS('Rangatira Utiku Block Actual'!$J$90:$U$90,'Rangatira Utiku Block Actual'!$J$81:$U$81,"&lt;="&amp;Summary_7!$E$2)/H5</f>
        <v>#DIV/0!</v>
      </c>
      <c r="I23" s="183" t="e">
        <f>SUMIFS('Rangatira Utiku Block Budget'!$J$90:$U$90,'Rangatira Utiku Block Budget'!$J$81:$U$81,"&lt;="&amp;Summary_7!$E$2)/I5</f>
        <v>#DIV/0!</v>
      </c>
      <c r="J23" s="189" t="e">
        <f t="shared" ref="J23:J28" si="4">I23-H23</f>
        <v>#DIV/0!</v>
      </c>
      <c r="L23" s="444" t="s">
        <v>32</v>
      </c>
      <c r="M23" s="189">
        <f>$S$5*'Rangatira Utiku Block Budget'!C38</f>
        <v>0</v>
      </c>
      <c r="P23" s="252">
        <f>IFERROR(HLOOKUP($Q$2,'Rangatira Utiku Block Actual'!$J$81:$U$105,10,0)/$P$5,0)</f>
        <v>0</v>
      </c>
      <c r="Q23" s="252">
        <f>IFERROR(HLOOKUP($Q$2,'Rangatira Utiku Block Budget'!$J$81:$U$105,10,0)/$Q$5,0)</f>
        <v>0</v>
      </c>
      <c r="R23" s="252">
        <f>HLOOKUP($Q$2,'Rangatira Utiku Block Actual'!$J$81:$U$105,10,0)</f>
        <v>0</v>
      </c>
      <c r="S23" s="252">
        <f>HLOOKUP($Q$2,'Rangatira Utiku Block Budget'!$J$81:$U$105,10,0)</f>
        <v>0</v>
      </c>
    </row>
    <row r="24" spans="2:19" x14ac:dyDescent="0.25">
      <c r="B24" s="329" t="s">
        <v>225</v>
      </c>
      <c r="C24" s="157" t="s">
        <v>59</v>
      </c>
      <c r="E24" s="220" t="e">
        <f>HLOOKUP($E$2,'Rangatira Utiku Block Actual'!$J$81:$U$105,11,0)/$E$5</f>
        <v>#DIV/0!</v>
      </c>
      <c r="F24" s="221" t="e">
        <f>HLOOKUP($E$2,'Rangatira Utiku Block Budget'!$J$81:$U$105,11,0)/$F$5</f>
        <v>#DIV/0!</v>
      </c>
      <c r="G24" s="188" t="e">
        <f t="shared" si="3"/>
        <v>#DIV/0!</v>
      </c>
      <c r="H24" s="234" t="e">
        <f>SUMIFS('Rangatira Utiku Block Actual'!$J$91:$U$91,'Rangatira Utiku Block Actual'!$J$81:$U$81,"&lt;="&amp;Summary_7!$E$2)/H5</f>
        <v>#DIV/0!</v>
      </c>
      <c r="I24" s="183" t="e">
        <f>SUMIFS('Rangatira Utiku Block Budget'!$J$91:$U$91,'Rangatira Utiku Block Budget'!$J$81:$U$81,"&lt;="&amp;Summary_7!$E$2)/I5</f>
        <v>#DIV/0!</v>
      </c>
      <c r="J24" s="189" t="e">
        <f t="shared" si="4"/>
        <v>#DIV/0!</v>
      </c>
      <c r="L24" s="444" t="s">
        <v>33</v>
      </c>
      <c r="M24" s="189">
        <f>$S$5*'Rangatira Utiku Block Budget'!C39</f>
        <v>0</v>
      </c>
      <c r="P24" s="252">
        <f>IFERROR(HLOOKUP($Q$2,'Rangatira Utiku Block Actual'!$J$81:$U$105,11,0)/$P$5,0)</f>
        <v>0</v>
      </c>
      <c r="Q24" s="252">
        <f>IFERROR(HLOOKUP($Q$2,'Rangatira Utiku Block Budget'!$J$81:$U$105,11,0)/$Q$5,0)</f>
        <v>0</v>
      </c>
      <c r="R24" s="252">
        <f>HLOOKUP($Q$2,'Rangatira Utiku Block Actual'!$J$81:$U$105,11,0)</f>
        <v>0</v>
      </c>
      <c r="S24" s="252">
        <f>HLOOKUP($Q$2,'Rangatira Utiku Block Budget'!$J$81:$U$105,11,0)</f>
        <v>0</v>
      </c>
    </row>
    <row r="25" spans="2:19" x14ac:dyDescent="0.25">
      <c r="B25" s="329" t="s">
        <v>226</v>
      </c>
      <c r="C25" s="157" t="s">
        <v>59</v>
      </c>
      <c r="E25" s="220" t="e">
        <f>HLOOKUP($E$2,'Rangatira Utiku Block Actual'!$J$81:$U$105,12,0)/$E$5</f>
        <v>#DIV/0!</v>
      </c>
      <c r="F25" s="221" t="e">
        <f>HLOOKUP($E$2,'Rangatira Utiku Block Budget'!$J$81:$U$105,12,0)/$F$5</f>
        <v>#DIV/0!</v>
      </c>
      <c r="G25" s="188" t="e">
        <f t="shared" si="3"/>
        <v>#DIV/0!</v>
      </c>
      <c r="H25" s="234" t="e">
        <f>SUMIFS('Rangatira Utiku Block Actual'!$J$92:$U$92,'Rangatira Utiku Block Actual'!$J$81:$U$81,"&lt;="&amp;Summary_7!$E$2)/H5</f>
        <v>#DIV/0!</v>
      </c>
      <c r="I25" s="183" t="e">
        <f>SUMIFS('Rangatira Utiku Block Budget'!$J$92:$U$92,'Rangatira Utiku Block Budget'!$J$81:$U$81,"&lt;="&amp;Summary_7!$E$2)/I5</f>
        <v>#DIV/0!</v>
      </c>
      <c r="J25" s="189" t="e">
        <f t="shared" si="4"/>
        <v>#DIV/0!</v>
      </c>
      <c r="L25" s="444" t="s">
        <v>35</v>
      </c>
      <c r="M25" s="189">
        <f>$S$5*'Rangatira Utiku Block Budget'!C40</f>
        <v>0</v>
      </c>
      <c r="P25" s="252">
        <f>IFERROR(HLOOKUP($Q$2,'Rangatira Utiku Block Actual'!$J$81:$U$105,12,0)/$P$5,0)</f>
        <v>0</v>
      </c>
      <c r="Q25" s="252">
        <f>IFERROR(HLOOKUP($Q$2,'Rangatira Utiku Block Budget'!$J$81:$U$105,12,0)/$Q$5,0)</f>
        <v>0</v>
      </c>
      <c r="R25" s="252">
        <f>HLOOKUP($Q$2,'Rangatira Utiku Block Actual'!$J$81:$U$105,12,0)</f>
        <v>0</v>
      </c>
      <c r="S25" s="252">
        <f>HLOOKUP($Q$2,'Rangatira Utiku Block Budget'!$J$81:$U$105,12,0)</f>
        <v>0</v>
      </c>
    </row>
    <row r="26" spans="2:19" ht="15.75" thickBot="1" x14ac:dyDescent="0.3">
      <c r="B26" s="329" t="s">
        <v>205</v>
      </c>
      <c r="C26" s="157" t="s">
        <v>59</v>
      </c>
      <c r="E26" s="220" t="e">
        <f>HLOOKUP($E$2,'Rangatira Utiku Block Actual'!$J$81:$U$105,13,0)/$E$5</f>
        <v>#DIV/0!</v>
      </c>
      <c r="F26" s="221" t="e">
        <f>HLOOKUP($E$2,'Rangatira Utiku Block Budget'!$J$81:$U$105,13,0)/$F$5</f>
        <v>#DIV/0!</v>
      </c>
      <c r="G26" s="188" t="e">
        <f t="shared" si="3"/>
        <v>#DIV/0!</v>
      </c>
      <c r="H26" s="234" t="e">
        <f>SUMIFS('Rangatira Utiku Block Actual'!$J$93:$U$93,'Rangatira Utiku Block Actual'!$J$81:$U$81,"&lt;="&amp;Summary_7!$E$2)/H5</f>
        <v>#DIV/0!</v>
      </c>
      <c r="I26" s="183" t="e">
        <f>SUMIFS('Rangatira Utiku Block Budget'!$J$93:$U$93,'Rangatira Utiku Block Budget'!$J$81:$U$81,"&lt;="&amp;Summary_7!$E$2)/I5</f>
        <v>#DIV/0!</v>
      </c>
      <c r="J26" s="189" t="e">
        <f t="shared" si="4"/>
        <v>#DIV/0!</v>
      </c>
      <c r="L26" s="445" t="s">
        <v>36</v>
      </c>
      <c r="M26" s="446">
        <f>$S$5*'Rangatira Utiku Block Budget'!C41</f>
        <v>0</v>
      </c>
      <c r="P26" s="252">
        <f>IFERROR(HLOOKUP($Q$2,'Rangatira Utiku Block Actual'!$J$81:$U$105,13,0)/$P$5,0)</f>
        <v>0</v>
      </c>
      <c r="Q26" s="252">
        <f>IFERROR(HLOOKUP($Q$2,'Rangatira Utiku Block Budget'!$J$81:$U$105,13,0)/$Q$5,0)</f>
        <v>0</v>
      </c>
      <c r="R26" s="252">
        <f>HLOOKUP($Q$2,'Rangatira Utiku Block Actual'!$J$81:$U$105,13,0)</f>
        <v>0</v>
      </c>
      <c r="S26" s="252">
        <f>HLOOKUP($Q$2,'Rangatira Utiku Block Budget'!$J$81:$U$105,13,0)</f>
        <v>0</v>
      </c>
    </row>
    <row r="27" spans="2:19" x14ac:dyDescent="0.25">
      <c r="B27" s="329" t="s">
        <v>60</v>
      </c>
      <c r="C27" s="157" t="s">
        <v>59</v>
      </c>
      <c r="E27" s="220" t="e">
        <f>HLOOKUP($E$2,'Rangatira Utiku Block Actual'!$J$81:$U$105,14,0)/$E$5</f>
        <v>#DIV/0!</v>
      </c>
      <c r="F27" s="221" t="e">
        <f>HLOOKUP($E$2,'Rangatira Utiku Block Budget'!$J$81:$U$105,14,0)/$F$5</f>
        <v>#DIV/0!</v>
      </c>
      <c r="G27" s="188" t="e">
        <f t="shared" si="3"/>
        <v>#DIV/0!</v>
      </c>
      <c r="H27" s="234" t="e">
        <f>SUMIFS('Rangatira Utiku Block Actual'!$J$94:$U$94,'Rangatira Utiku Block Actual'!$J$81:$U$81,"&lt;="&amp;Summary_7!$E$2)/H5</f>
        <v>#DIV/0!</v>
      </c>
      <c r="I27" s="183" t="e">
        <f>SUMIFS('Rangatira Utiku Block Budget'!$J$94:$U$94,'Rangatira Utiku Block Budget'!$J$81:$U$81,"&lt;="&amp;Summary_7!$E$2)/I5</f>
        <v>#DIV/0!</v>
      </c>
      <c r="J27" s="189" t="e">
        <f t="shared" si="4"/>
        <v>#DIV/0!</v>
      </c>
      <c r="P27" s="252">
        <f>IFERROR(HLOOKUP($Q$2,'Rangatira Utiku Block Actual'!$J$81:$U$105,14,0)/$P$5,0)</f>
        <v>0</v>
      </c>
      <c r="Q27" s="252">
        <f>IFERROR(HLOOKUP($Q$2,'Rangatira Utiku Block Budget'!$J$81:$U$105,14,0)/$Q$5,0)</f>
        <v>0</v>
      </c>
      <c r="R27" s="252">
        <f>HLOOKUP($Q$2,'Rangatira Utiku Block Actual'!$J$81:$U$105,14,0)</f>
        <v>0</v>
      </c>
      <c r="S27" s="252">
        <f>HLOOKUP($Q$2,'Rangatira Utiku Block Budget'!$J$81:$U$105,14,0)</f>
        <v>0</v>
      </c>
    </row>
    <row r="28" spans="2:19" x14ac:dyDescent="0.25">
      <c r="B28" s="329" t="s">
        <v>80</v>
      </c>
      <c r="C28" s="172" t="s">
        <v>59</v>
      </c>
      <c r="D28" s="171"/>
      <c r="E28" s="219" t="e">
        <f>HLOOKUP($E$2,'Rangatira Utiku Block Actual'!$J$81:$U$105,15,0)/$E$5</f>
        <v>#DIV/0!</v>
      </c>
      <c r="F28" s="218" t="e">
        <f>HLOOKUP($E$2,'Rangatira Utiku Block Budget'!$J$81:$U$105,15,0)/$F$5</f>
        <v>#DIV/0!</v>
      </c>
      <c r="G28" s="176" t="e">
        <f t="shared" si="3"/>
        <v>#DIV/0!</v>
      </c>
      <c r="H28" s="235" t="e">
        <f>SUMIFS('Rangatira Utiku Block Actual'!$J$95:$U$95,'Rangatira Utiku Block Actual'!$J$81:$U$81,"&lt;="&amp;Summary_7!$E$2)/H5</f>
        <v>#DIV/0!</v>
      </c>
      <c r="I28" s="179" t="e">
        <f>SUMIFS('Rangatira Utiku Block Budget'!$J$95:$U$95,'Rangatira Utiku Block Budget'!$J$81:$U$81,"&lt;="&amp;Summary_7!$E$2)/I5</f>
        <v>#DIV/0!</v>
      </c>
      <c r="J28" s="187" t="e">
        <f t="shared" si="4"/>
        <v>#DIV/0!</v>
      </c>
      <c r="P28" s="253">
        <f>IFERROR(HLOOKUP($Q$2,'Rangatira Utiku Block Actual'!$J$81:$U$105,15,0)/$P$5,0)</f>
        <v>0</v>
      </c>
      <c r="Q28" s="253">
        <f>IFERROR(HLOOKUP($Q$2,'Rangatira Utiku Block Budget'!$J$81:$U$105,15,0)/$Q$5,0)</f>
        <v>0</v>
      </c>
      <c r="R28" s="253">
        <f>HLOOKUP($Q$2,'Rangatira Utiku Block Actual'!$J$81:$U$105,15,0)</f>
        <v>0</v>
      </c>
      <c r="S28" s="253">
        <f>HLOOKUP($Q$2,'Rangatira Utiku Block Budget'!$J$81:$U$105,15,0)</f>
        <v>0</v>
      </c>
    </row>
    <row r="29" spans="2:19" x14ac:dyDescent="0.25">
      <c r="B29" s="169" t="s">
        <v>143</v>
      </c>
      <c r="C29" s="169" t="s">
        <v>59</v>
      </c>
      <c r="D29" s="158" t="s">
        <v>144</v>
      </c>
      <c r="E29" s="220" t="e">
        <f t="shared" ref="E29:J29" si="5">SUM(E23:E28)</f>
        <v>#DIV/0!</v>
      </c>
      <c r="F29" s="373" t="e">
        <f t="shared" si="5"/>
        <v>#DIV/0!</v>
      </c>
      <c r="G29" s="188" t="e">
        <f t="shared" si="5"/>
        <v>#DIV/0!</v>
      </c>
      <c r="H29" s="234" t="e">
        <f t="shared" si="5"/>
        <v>#DIV/0!</v>
      </c>
      <c r="I29" s="183" t="e">
        <f t="shared" si="5"/>
        <v>#DIV/0!</v>
      </c>
      <c r="J29" s="189" t="e">
        <f t="shared" si="5"/>
        <v>#DIV/0!</v>
      </c>
      <c r="P29" s="252">
        <f>SUM(P23:P28)</f>
        <v>0</v>
      </c>
      <c r="Q29" s="252">
        <f>SUM(Q23:Q28)</f>
        <v>0</v>
      </c>
      <c r="R29" s="252">
        <f>SUM(R23:R28)</f>
        <v>0</v>
      </c>
      <c r="S29" s="252">
        <f>SUM(S23:S28)</f>
        <v>0</v>
      </c>
    </row>
    <row r="30" spans="2:19" x14ac:dyDescent="0.25">
      <c r="C30" s="169"/>
      <c r="E30" s="220"/>
      <c r="F30" s="221"/>
      <c r="H30" s="234"/>
      <c r="I30" s="183"/>
      <c r="J30" s="185"/>
      <c r="P30" s="252"/>
      <c r="Q30" s="252"/>
      <c r="R30" s="252"/>
      <c r="S30" s="252"/>
    </row>
    <row r="31" spans="2:19" x14ac:dyDescent="0.25">
      <c r="B31" s="157" t="s">
        <v>230</v>
      </c>
      <c r="C31" s="157" t="s">
        <v>61</v>
      </c>
      <c r="E31" s="220" t="e">
        <f>HLOOKUP($E$2,'Rangatira Utiku Block Actual'!$J$81:$U$105,16,0)/$E$5</f>
        <v>#DIV/0!</v>
      </c>
      <c r="F31" s="221" t="e">
        <f>HLOOKUP($E$2,'Rangatira Utiku Block Budget'!$J$81:$U$105,16,0)/$F$5</f>
        <v>#DIV/0!</v>
      </c>
      <c r="G31" s="188" t="e">
        <f>F31-E31</f>
        <v>#DIV/0!</v>
      </c>
      <c r="H31" s="234" t="e">
        <f>SUMIFS('Rangatira Utiku Block Actual'!$J$96:$U$96,'Rangatira Utiku Block Actual'!$J$81:$U$81,"&lt;="&amp;Summary_7!$E$2)/H5</f>
        <v>#DIV/0!</v>
      </c>
      <c r="I31" s="183" t="e">
        <f>SUMIFS('Rangatira Utiku Block Budget'!$J$96:$U$96,'Rangatira Utiku Block Budget'!$J$81:$U$81,"&lt;="&amp;Summary_7!$E$2)/I5</f>
        <v>#DIV/0!</v>
      </c>
      <c r="J31" s="189" t="e">
        <f>I31-H31</f>
        <v>#DIV/0!</v>
      </c>
      <c r="P31" s="252">
        <f>IFERROR(HLOOKUP($Q$2,'Rangatira Utiku Block Actual'!$J$81:$U$105,16,0)/$P$5,0)</f>
        <v>0</v>
      </c>
      <c r="Q31" s="252">
        <f>IFERROR(HLOOKUP($Q$2,'Rangatira Utiku Block Budget'!$J$81:$U$105,16,0)/$Q$5,0)</f>
        <v>0</v>
      </c>
      <c r="R31" s="252">
        <f>HLOOKUP($Q$2,'Rangatira Utiku Block Actual'!$J$81:$U$105,16,0)</f>
        <v>0</v>
      </c>
      <c r="S31" s="252">
        <f>HLOOKUP($Q$2,'Rangatira Utiku Block Budget'!$J$81:$U$105,16,0)</f>
        <v>0</v>
      </c>
    </row>
    <row r="32" spans="2:19" x14ac:dyDescent="0.25">
      <c r="B32" s="172" t="s">
        <v>231</v>
      </c>
      <c r="C32" s="172" t="s">
        <v>61</v>
      </c>
      <c r="D32" s="171"/>
      <c r="E32" s="219" t="e">
        <f>HLOOKUP($E$2,'Rangatira Utiku Block Actual'!$J$81:$U$105,17,0)/$E$5</f>
        <v>#DIV/0!</v>
      </c>
      <c r="F32" s="218" t="e">
        <f>HLOOKUP($E$2,'Rangatira Utiku Block Budget'!$J$81:$U$105,17,0)/$F$5</f>
        <v>#DIV/0!</v>
      </c>
      <c r="G32" s="176" t="e">
        <f>F32-E32</f>
        <v>#DIV/0!</v>
      </c>
      <c r="H32" s="235" t="e">
        <f>SUMIFS('Rangatira Utiku Block Actual'!$J$97:$U$97,'Rangatira Utiku Block Actual'!$J$81:$U$81,"&lt;="&amp;Summary_7!$E$2)/H5</f>
        <v>#DIV/0!</v>
      </c>
      <c r="I32" s="179" t="e">
        <f>SUMIFS('Rangatira Utiku Block Budget'!$J$97:$U$97,'Rangatira Utiku Block Budget'!$J$81:$U$81,"&lt;="&amp;Summary_7!$E$2)/I5</f>
        <v>#DIV/0!</v>
      </c>
      <c r="J32" s="187" t="e">
        <f>I32-H32</f>
        <v>#DIV/0!</v>
      </c>
      <c r="P32" s="253">
        <f>IFERROR(HLOOKUP($Q$2,'Rangatira Utiku Block Actual'!$J$81:$U$105,17,0)/$P$5,0)</f>
        <v>0</v>
      </c>
      <c r="Q32" s="253">
        <f>IFERROR(HLOOKUP($Q$2,'Rangatira Utiku Block Budget'!$J$81:$U$105,17,0)/$Q$5,0)</f>
        <v>0</v>
      </c>
      <c r="R32" s="253">
        <f>HLOOKUP($Q$2,'Rangatira Utiku Block Actual'!$J$81:$U$105,17,0)</f>
        <v>0</v>
      </c>
      <c r="S32" s="253">
        <f>HLOOKUP($Q$2,'Rangatira Utiku Block Budget'!$J$81:$U$105,17,0)</f>
        <v>0</v>
      </c>
    </row>
    <row r="33" spans="2:19" x14ac:dyDescent="0.25">
      <c r="B33" s="169" t="s">
        <v>145</v>
      </c>
      <c r="C33" s="169" t="s">
        <v>61</v>
      </c>
      <c r="D33" s="158" t="s">
        <v>146</v>
      </c>
      <c r="E33" s="220" t="e">
        <f t="shared" ref="E33:J33" si="6">SUM(E31:E32)</f>
        <v>#DIV/0!</v>
      </c>
      <c r="F33" s="373" t="e">
        <f t="shared" si="6"/>
        <v>#DIV/0!</v>
      </c>
      <c r="G33" s="188" t="e">
        <f t="shared" si="6"/>
        <v>#DIV/0!</v>
      </c>
      <c r="H33" s="234" t="e">
        <f t="shared" si="6"/>
        <v>#DIV/0!</v>
      </c>
      <c r="I33" s="183" t="e">
        <f t="shared" si="6"/>
        <v>#DIV/0!</v>
      </c>
      <c r="J33" s="189" t="e">
        <f t="shared" si="6"/>
        <v>#DIV/0!</v>
      </c>
      <c r="P33" s="252">
        <f>SUM(P31:P32)</f>
        <v>0</v>
      </c>
      <c r="Q33" s="252">
        <f>SUM(Q31:Q32)</f>
        <v>0</v>
      </c>
      <c r="R33" s="252">
        <f>SUM(R31:R32)</f>
        <v>0</v>
      </c>
      <c r="S33" s="252">
        <f>SUM(S31:S32)</f>
        <v>0</v>
      </c>
    </row>
    <row r="34" spans="2:19" x14ac:dyDescent="0.25">
      <c r="E34" s="220"/>
      <c r="F34" s="373"/>
      <c r="H34" s="234"/>
      <c r="I34" s="183"/>
      <c r="J34" s="185"/>
      <c r="P34" s="252"/>
      <c r="Q34" s="252"/>
      <c r="R34" s="252"/>
      <c r="S34" s="252"/>
    </row>
    <row r="35" spans="2:19" x14ac:dyDescent="0.25">
      <c r="B35" s="157" t="s">
        <v>232</v>
      </c>
      <c r="C35" s="157" t="s">
        <v>62</v>
      </c>
      <c r="E35" s="220" t="e">
        <f>HLOOKUP($E$2,'Rangatira Utiku Block Actual'!$J$81:$U$105,18,0)/$E$5</f>
        <v>#DIV/0!</v>
      </c>
      <c r="F35" s="221" t="e">
        <f>HLOOKUP($E$2,'Rangatira Utiku Block Budget'!$J$81:$U$105,18,0)/$F$5</f>
        <v>#DIV/0!</v>
      </c>
      <c r="G35" s="188" t="e">
        <f>F35-E35</f>
        <v>#DIV/0!</v>
      </c>
      <c r="H35" s="234" t="e">
        <f>SUMIFS('Rangatira Utiku Block Actual'!$J$98:$U$98,'Rangatira Utiku Block Actual'!$J$81:$U$81,"&lt;="&amp;Summary_7!$E$2)/H5</f>
        <v>#DIV/0!</v>
      </c>
      <c r="I35" s="183" t="e">
        <f>SUMIFS('Rangatira Utiku Block Budget'!$J$98:$U$98,'Rangatira Utiku Block Budget'!$J$81:$U$81,"&lt;="&amp;Summary_7!$E$2)/I5</f>
        <v>#DIV/0!</v>
      </c>
      <c r="J35" s="189" t="e">
        <f>I35-H35</f>
        <v>#DIV/0!</v>
      </c>
      <c r="P35" s="252">
        <f>IFERROR(HLOOKUP($Q$2,'Rangatira Utiku Block Actual'!$J$81:$U$105,18,0)/$P$5,0)</f>
        <v>0</v>
      </c>
      <c r="Q35" s="252">
        <f>IFERROR(HLOOKUP($Q$2,'Rangatira Utiku Block Budget'!$J$81:$U$105,18,0)/$Q$5,0)</f>
        <v>0</v>
      </c>
      <c r="R35" s="252">
        <f>HLOOKUP($Q$2,'Rangatira Utiku Block Actual'!$J$81:$U$105,18,0)</f>
        <v>0</v>
      </c>
      <c r="S35" s="252">
        <f>HLOOKUP($Q$2,'Rangatira Utiku Block Budget'!$J$81:$U$105,18,0)</f>
        <v>0</v>
      </c>
    </row>
    <row r="36" spans="2:19" x14ac:dyDescent="0.25">
      <c r="B36" s="172" t="s">
        <v>233</v>
      </c>
      <c r="C36" s="172" t="s">
        <v>62</v>
      </c>
      <c r="D36" s="171"/>
      <c r="E36" s="219" t="e">
        <f>HLOOKUP($E$2,'Rangatira Utiku Block Actual'!$J$81:$U$105,19,0)/$E$5</f>
        <v>#DIV/0!</v>
      </c>
      <c r="F36" s="218" t="e">
        <f>HLOOKUP($E$2,'Rangatira Utiku Block Budget'!$J$81:$U$105,19,0)/$F$5</f>
        <v>#DIV/0!</v>
      </c>
      <c r="G36" s="176" t="e">
        <f>F36-E36</f>
        <v>#DIV/0!</v>
      </c>
      <c r="H36" s="235" t="e">
        <f>SUMIFS('Rangatira Utiku Block Actual'!$J$99:$U$99,'Rangatira Utiku Block Actual'!$J$81:$U$81,"&lt;="&amp;Summary_7!$E$2)/H5</f>
        <v>#DIV/0!</v>
      </c>
      <c r="I36" s="179" t="e">
        <f>SUMIFS('Rangatira Utiku Block Budget'!$J$99:$U$99,'Rangatira Utiku Block Budget'!$J$81:$U$81,"&lt;="&amp;Summary_7!$E$2)/I5</f>
        <v>#DIV/0!</v>
      </c>
      <c r="J36" s="187" t="e">
        <f>I36-H36</f>
        <v>#DIV/0!</v>
      </c>
      <c r="P36" s="253">
        <f>IFERROR(HLOOKUP($Q$2,'Rangatira Utiku Block Actual'!$J$81:$U$105,19,0)/$P$5,0)</f>
        <v>0</v>
      </c>
      <c r="Q36" s="253">
        <f>IFERROR(HLOOKUP($Q$2,'Rangatira Utiku Block Budget'!$J$81:$U$105,19,0)/$Q$5,0)</f>
        <v>0</v>
      </c>
      <c r="R36" s="253">
        <f>HLOOKUP($Q$2,'Rangatira Utiku Block Actual'!$J$81:$U$105,19,0)</f>
        <v>0</v>
      </c>
      <c r="S36" s="253">
        <f>HLOOKUP($Q$2,'Rangatira Utiku Block Budget'!$J$81:$U$105,19,0)</f>
        <v>0</v>
      </c>
    </row>
    <row r="37" spans="2:19" x14ac:dyDescent="0.25">
      <c r="B37" s="169" t="s">
        <v>147</v>
      </c>
      <c r="C37" s="169" t="s">
        <v>62</v>
      </c>
      <c r="D37" s="158" t="s">
        <v>148</v>
      </c>
      <c r="E37" s="220" t="e">
        <f>SUM(E35:E36)</f>
        <v>#DIV/0!</v>
      </c>
      <c r="F37" s="373" t="e">
        <f>SUM(F35:F36)</f>
        <v>#DIV/0!</v>
      </c>
      <c r="H37" s="234" t="e">
        <f>SUM(H35:H36)</f>
        <v>#DIV/0!</v>
      </c>
      <c r="I37" s="183" t="e">
        <f>SUM(I35:I36)</f>
        <v>#DIV/0!</v>
      </c>
      <c r="J37" s="185"/>
      <c r="P37" s="252">
        <f>SUM(P35:P36)</f>
        <v>0</v>
      </c>
      <c r="Q37" s="252">
        <f>SUM(Q35:Q36)</f>
        <v>0</v>
      </c>
      <c r="R37" s="252">
        <f>SUM(R35:R36)</f>
        <v>0</v>
      </c>
      <c r="S37" s="252">
        <f>SUM(S35:S36)</f>
        <v>0</v>
      </c>
    </row>
    <row r="38" spans="2:19" x14ac:dyDescent="0.25">
      <c r="E38" s="220"/>
      <c r="F38" s="373"/>
      <c r="H38" s="234"/>
      <c r="I38" s="183"/>
      <c r="J38" s="185"/>
      <c r="P38" s="252"/>
      <c r="Q38" s="252"/>
      <c r="R38" s="252"/>
      <c r="S38" s="252"/>
    </row>
    <row r="39" spans="2:19" x14ac:dyDescent="0.25">
      <c r="E39" s="220"/>
      <c r="F39" s="221"/>
      <c r="G39" s="188"/>
      <c r="H39" s="234"/>
      <c r="I39" s="183"/>
      <c r="J39" s="189"/>
      <c r="P39" s="252"/>
      <c r="Q39" s="252"/>
      <c r="R39" s="252"/>
      <c r="S39" s="252"/>
    </row>
    <row r="40" spans="2:19" x14ac:dyDescent="0.25">
      <c r="B40" s="157" t="s">
        <v>235</v>
      </c>
      <c r="C40" s="157" t="s">
        <v>63</v>
      </c>
      <c r="E40" s="220" t="e">
        <f>HLOOKUP($E$2,'Rangatira Utiku Block Actual'!$J$81:$U$105,20,0)/$E$5</f>
        <v>#DIV/0!</v>
      </c>
      <c r="F40" s="221" t="e">
        <f>HLOOKUP($E$2,'Rangatira Utiku Block Budget'!$J$81:$U$105,20,0)/$F$5</f>
        <v>#DIV/0!</v>
      </c>
      <c r="G40" s="190" t="e">
        <f>F40-E40</f>
        <v>#DIV/0!</v>
      </c>
      <c r="H40" s="234" t="e">
        <f>SUMIFS('Rangatira Utiku Block Actual'!$J$100:$U$100,'Rangatira Utiku Block Actual'!$J$81:$U$81,"&lt;="&amp;Summary_7!$E$2)/H5</f>
        <v>#DIV/0!</v>
      </c>
      <c r="I40" s="183" t="e">
        <f>SUMIFS('Rangatira Utiku Block Budget'!$J$100:$U$100,'Rangatira Utiku Block Budget'!$J$81:$U$81,"&lt;="&amp;Summary_7!$E$2)/I5</f>
        <v>#DIV/0!</v>
      </c>
      <c r="J40" s="191" t="e">
        <f>I40-H40</f>
        <v>#DIV/0!</v>
      </c>
      <c r="P40" s="252">
        <f>IFERROR(HLOOKUP($Q$2,'Rangatira Utiku Block Actual'!$J$81:$U$105,20,0)/$P$5,0)</f>
        <v>0</v>
      </c>
      <c r="Q40" s="252">
        <f>IFERROR(HLOOKUP($Q$2,'Rangatira Utiku Block Budget'!$J$81:$U$105,20,0)/$Q$5,0)</f>
        <v>0</v>
      </c>
      <c r="R40" s="252">
        <f>HLOOKUP($Q$2,'Rangatira Utiku Block Actual'!$J$81:$U$105,20,0)</f>
        <v>0</v>
      </c>
      <c r="S40" s="252">
        <f>HLOOKUP($Q$2,'Rangatira Utiku Block Budget'!$J$81:$U$105,20,0)</f>
        <v>0</v>
      </c>
    </row>
    <row r="41" spans="2:19" x14ac:dyDescent="0.25">
      <c r="B41" s="157" t="s">
        <v>64</v>
      </c>
      <c r="C41" s="157" t="s">
        <v>63</v>
      </c>
      <c r="E41" s="220" t="e">
        <f>HLOOKUP($E$2,'Rangatira Utiku Block Actual'!$J$81:$U$105,21,0)/$E$5</f>
        <v>#DIV/0!</v>
      </c>
      <c r="F41" s="221" t="e">
        <f>HLOOKUP($E$2,'Rangatira Utiku Block Budget'!$J$81:$U$105,21,0)/$F$5</f>
        <v>#DIV/0!</v>
      </c>
      <c r="G41" s="188" t="e">
        <f>F41-E41</f>
        <v>#DIV/0!</v>
      </c>
      <c r="H41" s="234" t="e">
        <f>SUMIFS('Rangatira Utiku Block Actual'!$J$101:$U$101,'Rangatira Utiku Block Actual'!$J$81:$U$81,"&lt;="&amp;Summary_7!$E$2)/H5</f>
        <v>#DIV/0!</v>
      </c>
      <c r="I41" s="183" t="e">
        <f>SUMIFS('Rangatira Utiku Block Budget'!$J$101:$U$101,'Rangatira Utiku Block Budget'!$J$81:$U$81,"&lt;="&amp;Summary_7!$E$2)/I5</f>
        <v>#DIV/0!</v>
      </c>
      <c r="J41" s="189" t="e">
        <f>I41-H41</f>
        <v>#DIV/0!</v>
      </c>
      <c r="P41" s="252">
        <f>IFERROR(HLOOKUP($Q$2,'Rangatira Utiku Block Actual'!$J$81:$U$105,21,0)/$P$5,0)</f>
        <v>0</v>
      </c>
      <c r="Q41" s="252">
        <f>IFERROR(HLOOKUP($Q$2,'Rangatira Utiku Block Budget'!$J$81:$U$105,21,0)/$Q$5,0)</f>
        <v>0</v>
      </c>
      <c r="R41" s="252">
        <f>HLOOKUP($Q$2,'Rangatira Utiku Block Actual'!$J$81:$U$105,21,0)</f>
        <v>0</v>
      </c>
      <c r="S41" s="252">
        <f>HLOOKUP($Q$2,'Rangatira Utiku Block Budget'!$J$81:$U$105,21,0)</f>
        <v>0</v>
      </c>
    </row>
    <row r="42" spans="2:19" x14ac:dyDescent="0.25">
      <c r="B42" s="172" t="s">
        <v>65</v>
      </c>
      <c r="C42" s="172" t="s">
        <v>63</v>
      </c>
      <c r="D42" s="171"/>
      <c r="E42" s="219" t="e">
        <f>HLOOKUP($E$2,'Rangatira Utiku Block Actual'!$J$81:$U$105,22,0)/$E$5</f>
        <v>#DIV/0!</v>
      </c>
      <c r="F42" s="218" t="e">
        <f>HLOOKUP($E$2,'Rangatira Utiku Block Budget'!$J$81:$U$105,22,0)/$F$5</f>
        <v>#DIV/0!</v>
      </c>
      <c r="G42" s="176" t="e">
        <f>F42-E42</f>
        <v>#DIV/0!</v>
      </c>
      <c r="H42" s="235" t="e">
        <f>SUMIFS('Rangatira Utiku Block Budget'!$J$102:$U$102,'Rangatira Utiku Block Budget'!$J$81:$U$81,"&lt;="&amp;Summary_7!$E$2)/H5</f>
        <v>#DIV/0!</v>
      </c>
      <c r="I42" s="179" t="e">
        <f>SUMIFS('Rangatira Utiku Block Budget'!$J$102:$U$102,'Rangatira Utiku Block Budget'!$J$81:$U$81,"&lt;="&amp;Summary_7!$E$2)/I5</f>
        <v>#DIV/0!</v>
      </c>
      <c r="J42" s="187" t="e">
        <f>I42-H42</f>
        <v>#DIV/0!</v>
      </c>
      <c r="P42" s="253">
        <f>IFERROR(HLOOKUP($Q$2,'Rangatira Utiku Block Actual'!$J$81:$U$105,22,0)/$P$5,0)</f>
        <v>0</v>
      </c>
      <c r="Q42" s="253">
        <f>IFERROR(HLOOKUP($Q$2,'Rangatira Utiku Block Budget'!$J$81:$U$105,22,0)/$Q$5,0)</f>
        <v>0</v>
      </c>
      <c r="R42" s="253">
        <f>HLOOKUP($Q$2,'Rangatira Utiku Block Actual'!$J$81:$U$105,22,0)</f>
        <v>0</v>
      </c>
      <c r="S42" s="253">
        <f>HLOOKUP($Q$2,'Rangatira Utiku Block Budget'!$J$81:$U$105,22,0)</f>
        <v>0</v>
      </c>
    </row>
    <row r="43" spans="2:19" x14ac:dyDescent="0.25">
      <c r="B43" s="169" t="s">
        <v>149</v>
      </c>
      <c r="C43" s="169" t="s">
        <v>63</v>
      </c>
      <c r="D43" s="158" t="s">
        <v>150</v>
      </c>
      <c r="E43" s="220" t="e">
        <f t="shared" ref="E43:J43" si="7">SUM(E39:E42)</f>
        <v>#DIV/0!</v>
      </c>
      <c r="F43" s="221" t="e">
        <f t="shared" si="7"/>
        <v>#DIV/0!</v>
      </c>
      <c r="G43" s="188" t="e">
        <f t="shared" si="7"/>
        <v>#DIV/0!</v>
      </c>
      <c r="H43" s="234" t="e">
        <f t="shared" si="7"/>
        <v>#DIV/0!</v>
      </c>
      <c r="I43" s="183" t="e">
        <f t="shared" si="7"/>
        <v>#DIV/0!</v>
      </c>
      <c r="J43" s="189" t="e">
        <f t="shared" si="7"/>
        <v>#DIV/0!</v>
      </c>
      <c r="P43" s="252">
        <f>SUM(P39:P42)</f>
        <v>0</v>
      </c>
      <c r="Q43" s="252">
        <f>SUM(Q39:Q42)</f>
        <v>0</v>
      </c>
      <c r="R43" s="252">
        <f>SUM(R39:R42)</f>
        <v>0</v>
      </c>
      <c r="S43" s="252">
        <f>SUM(S39:S42)</f>
        <v>0</v>
      </c>
    </row>
    <row r="44" spans="2:19" x14ac:dyDescent="0.25">
      <c r="E44" s="220"/>
      <c r="F44" s="373"/>
      <c r="H44" s="234"/>
      <c r="I44" s="183"/>
      <c r="J44" s="185"/>
      <c r="P44" s="252"/>
      <c r="Q44" s="252"/>
      <c r="R44" s="252"/>
      <c r="S44" s="252"/>
    </row>
    <row r="45" spans="2:19" x14ac:dyDescent="0.25">
      <c r="B45" s="157" t="s">
        <v>66</v>
      </c>
      <c r="C45" s="157" t="s">
        <v>67</v>
      </c>
      <c r="E45" s="220" t="e">
        <f>HLOOKUP($E$2,'Rangatira Utiku Block Actual'!$J$81:$U$105,23,0)/$E$5</f>
        <v>#DIV/0!</v>
      </c>
      <c r="F45" s="221" t="e">
        <f>HLOOKUP($E$2,'Rangatira Utiku Block Budget'!$J$81:$U$105,23,0)/$F$5</f>
        <v>#DIV/0!</v>
      </c>
      <c r="G45" s="190" t="e">
        <f>F45-E45</f>
        <v>#DIV/0!</v>
      </c>
      <c r="H45" s="234" t="e">
        <f>SUMIFS('Rangatira Utiku Block Actual'!$J$103:$U$103,'Rangatira Utiku Block Actual'!$J$81:$U$81,"&lt;="&amp;Summary_7!$E$2)/H5</f>
        <v>#DIV/0!</v>
      </c>
      <c r="I45" s="183" t="e">
        <f>SUMIFS('Rangatira Utiku Block Budget'!$J$103:$U$103,'Rangatira Utiku Block Budget'!$J$81:$U$81,"&lt;="&amp;Summary_7!$E$2)/I5</f>
        <v>#DIV/0!</v>
      </c>
      <c r="J45" s="191" t="e">
        <f>I45-H45</f>
        <v>#DIV/0!</v>
      </c>
      <c r="P45" s="252">
        <f>IFERROR(HLOOKUP($Q$2,'Rangatira Utiku Block Actual'!$J$81:$U$105,23,0)/$P$5,0)</f>
        <v>0</v>
      </c>
      <c r="Q45" s="252">
        <f>IFERROR(HLOOKUP($Q$2,'Rangatira Utiku Block Budget'!$J$81:$U$105,23,0)/$Q$5,0)</f>
        <v>0</v>
      </c>
      <c r="R45" s="252">
        <f>HLOOKUP($Q$2,'Rangatira Utiku Block Actual'!$J$81:$U$105,23,0)</f>
        <v>0</v>
      </c>
      <c r="S45" s="252">
        <f>HLOOKUP($Q$2,'Rangatira Utiku Block Budget'!$J$81:$U$105,23,0)</f>
        <v>0</v>
      </c>
    </row>
    <row r="46" spans="2:19" x14ac:dyDescent="0.25">
      <c r="B46" s="157" t="s">
        <v>234</v>
      </c>
      <c r="C46" s="157" t="s">
        <v>67</v>
      </c>
      <c r="E46" s="382" t="e">
        <f>HLOOKUP($E$2,'Rangatira Utiku Block Actual'!$J$81:$U$105,24,0)/$E$5</f>
        <v>#DIV/0!</v>
      </c>
      <c r="F46" s="374" t="e">
        <f>HLOOKUP($E$2,'Rangatira Utiku Block Budget'!$J$81:$U$105,24,0)/$F$5</f>
        <v>#DIV/0!</v>
      </c>
      <c r="G46" s="383" t="e">
        <f>F46-E46</f>
        <v>#DIV/0!</v>
      </c>
      <c r="H46" s="384" t="e">
        <f>SUMIFS('Rangatira Utiku Block Actual'!$J$104:$U$104,'Rangatira Utiku Block Actual'!$J$81:$U$81,"&lt;="&amp;Summary_7!$E$2)/H5</f>
        <v>#DIV/0!</v>
      </c>
      <c r="I46" s="385" t="e">
        <f>SUMIFS('Rangatira Utiku Block Budget'!$J$104:$U$104,'Rangatira Utiku Block Budget'!$J$81:$U$81,"&lt;="&amp;Summary_7!$E$2)/I5</f>
        <v>#DIV/0!</v>
      </c>
      <c r="J46" s="386" t="e">
        <f>I46-H46</f>
        <v>#DIV/0!</v>
      </c>
      <c r="P46" s="387">
        <f>IFERROR(HLOOKUP($Q$2,'Rangatira Utiku Block Actual'!$J$81:$U$105,24,0)/$P$5,0)</f>
        <v>0</v>
      </c>
      <c r="Q46" s="387">
        <f>IFERROR(HLOOKUP($Q$2,'Rangatira Utiku Block Budget'!$J$81:$U$105,24,0)/$Q$5,0)</f>
        <v>0</v>
      </c>
      <c r="R46" s="252">
        <f>HLOOKUP($Q$2,'Rangatira Utiku Block Actual'!$J$81:$U$105,24,0)</f>
        <v>0</v>
      </c>
      <c r="S46" s="252">
        <f>HLOOKUP($Q$2,'Rangatira Utiku Block Budget'!$J$81:$U$105,24,0)</f>
        <v>0</v>
      </c>
    </row>
    <row r="47" spans="2:19" x14ac:dyDescent="0.25">
      <c r="B47" s="172" t="s">
        <v>68</v>
      </c>
      <c r="C47" s="172" t="s">
        <v>67</v>
      </c>
      <c r="D47" s="171"/>
      <c r="E47" s="219" t="e">
        <f>HLOOKUP($E$2,'Rangatira Utiku Block Actual'!$J$81:$U$105,25,0)/$E$5</f>
        <v>#DIV/0!</v>
      </c>
      <c r="F47" s="218" t="e">
        <f>HLOOKUP($E$2,'Rangatira Utiku Block Budget'!$J$81:$U$105,25,0)/$F$5</f>
        <v>#DIV/0!</v>
      </c>
      <c r="G47" s="176" t="e">
        <f>F47-E47</f>
        <v>#DIV/0!</v>
      </c>
      <c r="H47" s="235" t="e">
        <f>SUMIFS('Rangatira Utiku Block Actual'!$J$105:$U$105,'Rangatira Utiku Block Actual'!$J$81:$U$81,"&lt;="&amp;Summary_7!$E$2)/H5</f>
        <v>#DIV/0!</v>
      </c>
      <c r="I47" s="179" t="e">
        <f>SUMIFS('Rangatira Utiku Block Budget'!$J$105:$U$105,'Rangatira Utiku Block Budget'!$J$81:$U$81,"&lt;="&amp;Summary_7!$E$2)/I5</f>
        <v>#DIV/0!</v>
      </c>
      <c r="J47" s="187" t="e">
        <f>I47-H47</f>
        <v>#DIV/0!</v>
      </c>
      <c r="P47" s="253">
        <f>IFERROR(HLOOKUP($Q$2,'Rangatira Utiku Block Actual'!$J$81:$U$105,25,0)/$P$5,0)</f>
        <v>0</v>
      </c>
      <c r="Q47" s="253">
        <f>IFERROR(HLOOKUP($Q$2,'Rangatira Utiku Block Budget'!$J$81:$U$105,25,0)/$Q$5,0)</f>
        <v>0</v>
      </c>
      <c r="R47" s="253">
        <f>HLOOKUP($Q$2,'Rangatira Utiku Block Actual'!$J$81:$U$105,25,0)</f>
        <v>0</v>
      </c>
      <c r="S47" s="253">
        <f>HLOOKUP($Q$2,'Rangatira Utiku Block Budget'!$J$81:$U$105,25,0)</f>
        <v>0</v>
      </c>
    </row>
    <row r="48" spans="2:19" x14ac:dyDescent="0.25">
      <c r="B48" s="169" t="s">
        <v>151</v>
      </c>
      <c r="C48" s="169" t="s">
        <v>67</v>
      </c>
      <c r="D48" s="158" t="s">
        <v>152</v>
      </c>
      <c r="E48" s="220" t="e">
        <f t="shared" ref="E48:J48" si="8">SUM(E45:E47)</f>
        <v>#DIV/0!</v>
      </c>
      <c r="F48" s="221" t="e">
        <f t="shared" si="8"/>
        <v>#DIV/0!</v>
      </c>
      <c r="G48" s="190" t="e">
        <f t="shared" si="8"/>
        <v>#DIV/0!</v>
      </c>
      <c r="H48" s="234" t="e">
        <f t="shared" si="8"/>
        <v>#DIV/0!</v>
      </c>
      <c r="I48" s="183" t="e">
        <f t="shared" si="8"/>
        <v>#DIV/0!</v>
      </c>
      <c r="J48" s="191" t="e">
        <f t="shared" si="8"/>
        <v>#DIV/0!</v>
      </c>
      <c r="P48" s="252">
        <f>SUM(P45:P47)</f>
        <v>0</v>
      </c>
      <c r="Q48" s="252">
        <f>SUM(Q45:Q47)</f>
        <v>0</v>
      </c>
      <c r="R48" s="252">
        <f>SUM(R45:R47)</f>
        <v>0</v>
      </c>
      <c r="S48" s="252">
        <f>SUM(S45:S47)</f>
        <v>0</v>
      </c>
    </row>
    <row r="49" spans="2:19" x14ac:dyDescent="0.25">
      <c r="B49" s="169"/>
      <c r="C49" s="169"/>
      <c r="E49" s="226"/>
      <c r="H49" s="234"/>
      <c r="I49" s="183"/>
      <c r="J49" s="185"/>
      <c r="P49" s="252"/>
      <c r="Q49" s="252"/>
      <c r="R49" s="252"/>
      <c r="S49" s="252"/>
    </row>
    <row r="50" spans="2:19" x14ac:dyDescent="0.25">
      <c r="B50" s="170" t="s">
        <v>153</v>
      </c>
      <c r="C50" s="172"/>
      <c r="D50" s="171" t="s">
        <v>154</v>
      </c>
      <c r="E50" s="227" t="e">
        <f>E21+E29+E33+E37+E43+E48</f>
        <v>#DIV/0!</v>
      </c>
      <c r="F50" s="176" t="e">
        <f>F21+F29+F33+F37+F43+F48</f>
        <v>#DIV/0!</v>
      </c>
      <c r="G50" s="176" t="e">
        <f>F50-E50</f>
        <v>#DIV/0!</v>
      </c>
      <c r="H50" s="235" t="e">
        <f>H21+H29+H33+H37+H43+H48</f>
        <v>#DIV/0!</v>
      </c>
      <c r="I50" s="179" t="e">
        <f>I21+I29+I33+I37+I43+I48</f>
        <v>#DIV/0!</v>
      </c>
      <c r="J50" s="187" t="e">
        <f>I50-H50</f>
        <v>#DIV/0!</v>
      </c>
      <c r="P50" s="253">
        <f>P21+P29+P33+P37+P43+P48</f>
        <v>0</v>
      </c>
      <c r="Q50" s="253">
        <f>Q21+Q29+Q33+Q37+Q43+Q48</f>
        <v>0</v>
      </c>
      <c r="R50" s="253">
        <f>R21+R29+R33+R37+R43+R48</f>
        <v>0</v>
      </c>
      <c r="S50" s="253">
        <f>S21+S29+S33+S37+S43+S48</f>
        <v>0</v>
      </c>
    </row>
    <row r="51" spans="2:19" x14ac:dyDescent="0.25">
      <c r="E51" s="226"/>
      <c r="H51" s="234"/>
      <c r="I51" s="183"/>
      <c r="J51" s="185"/>
      <c r="P51" s="252"/>
      <c r="Q51" s="252"/>
      <c r="R51" s="252"/>
      <c r="S51" s="252"/>
    </row>
    <row r="52" spans="2:19" x14ac:dyDescent="0.25">
      <c r="B52" s="170" t="s">
        <v>155</v>
      </c>
      <c r="C52" s="170"/>
      <c r="D52" s="171" t="s">
        <v>156</v>
      </c>
      <c r="E52" s="227" t="e">
        <f>E9+E11+E50</f>
        <v>#DIV/0!</v>
      </c>
      <c r="F52" s="176" t="e">
        <f>F9+F11+F50</f>
        <v>#DIV/0!</v>
      </c>
      <c r="G52" s="176" t="e">
        <f>F52-E52</f>
        <v>#DIV/0!</v>
      </c>
      <c r="H52" s="235" t="e">
        <f>H9+H11+H50</f>
        <v>#DIV/0!</v>
      </c>
      <c r="I52" s="179" t="e">
        <f>I9+I11+I50</f>
        <v>#DIV/0!</v>
      </c>
      <c r="J52" s="187" t="e">
        <f>I52-H52</f>
        <v>#DIV/0!</v>
      </c>
      <c r="P52" s="253">
        <f>P9+P11+P50</f>
        <v>0</v>
      </c>
      <c r="Q52" s="253">
        <f>Q9+Q11+Q50</f>
        <v>0</v>
      </c>
      <c r="R52" s="253">
        <f>R9+R11+R50</f>
        <v>0</v>
      </c>
      <c r="S52" s="253">
        <f>S9+S11+S50</f>
        <v>0</v>
      </c>
    </row>
    <row r="53" spans="2:19" x14ac:dyDescent="0.25">
      <c r="E53" s="226"/>
      <c r="H53" s="234"/>
      <c r="I53" s="183"/>
      <c r="J53" s="185"/>
      <c r="P53" s="252"/>
      <c r="Q53" s="252"/>
      <c r="R53" s="252"/>
      <c r="S53" s="252"/>
    </row>
    <row r="54" spans="2:19" x14ac:dyDescent="0.25">
      <c r="B54" s="173" t="s">
        <v>157</v>
      </c>
      <c r="C54" s="173"/>
      <c r="D54" s="174" t="s">
        <v>158</v>
      </c>
      <c r="E54" s="228" t="e">
        <f>E7-E52</f>
        <v>#DIV/0!</v>
      </c>
      <c r="F54" s="192" t="e">
        <f>F7-F52</f>
        <v>#DIV/0!</v>
      </c>
      <c r="G54" s="192" t="e">
        <f>F54-E54</f>
        <v>#DIV/0!</v>
      </c>
      <c r="H54" s="236" t="e">
        <f>H7-H52</f>
        <v>#DIV/0!</v>
      </c>
      <c r="I54" s="193" t="e">
        <f>I7-I52</f>
        <v>#DIV/0!</v>
      </c>
      <c r="J54" s="194" t="e">
        <f>I54-H54</f>
        <v>#DIV/0!</v>
      </c>
      <c r="P54" s="252">
        <f>P7-P52</f>
        <v>0</v>
      </c>
      <c r="Q54" s="252">
        <f>Q7-Q52</f>
        <v>0</v>
      </c>
      <c r="R54" s="252">
        <f>R7-R52</f>
        <v>0</v>
      </c>
      <c r="S54" s="252">
        <f>S7-S52</f>
        <v>0</v>
      </c>
    </row>
    <row r="55" spans="2:19" ht="15.75" thickBot="1" x14ac:dyDescent="0.3">
      <c r="B55" s="169" t="s">
        <v>159</v>
      </c>
      <c r="D55" s="158" t="s">
        <v>160</v>
      </c>
      <c r="E55" s="226" t="e">
        <f t="shared" ref="E55:J55" si="9">E54*E5</f>
        <v>#DIV/0!</v>
      </c>
      <c r="F55" s="188" t="e">
        <f t="shared" si="9"/>
        <v>#DIV/0!</v>
      </c>
      <c r="G55" s="188" t="e">
        <f t="shared" si="9"/>
        <v>#DIV/0!</v>
      </c>
      <c r="H55" s="234" t="e">
        <f t="shared" si="9"/>
        <v>#DIV/0!</v>
      </c>
      <c r="I55" s="183" t="e">
        <f t="shared" si="9"/>
        <v>#DIV/0!</v>
      </c>
      <c r="J55" s="189" t="e">
        <f t="shared" si="9"/>
        <v>#DIV/0!</v>
      </c>
      <c r="P55" s="254">
        <f>P54*P5</f>
        <v>0</v>
      </c>
      <c r="Q55" s="254">
        <f>Q54*Q5</f>
        <v>0</v>
      </c>
      <c r="R55" s="254">
        <f>R54</f>
        <v>0</v>
      </c>
      <c r="S55" s="254">
        <f>S54</f>
        <v>0</v>
      </c>
    </row>
    <row r="56" spans="2:19" x14ac:dyDescent="0.25">
      <c r="E56" s="226"/>
      <c r="F56" s="188"/>
      <c r="H56" s="234"/>
      <c r="J56" s="185"/>
    </row>
    <row r="57" spans="2:19" x14ac:dyDescent="0.25">
      <c r="E57" s="226"/>
      <c r="H57" s="234"/>
      <c r="J57" s="185"/>
    </row>
    <row r="58" spans="2:19" x14ac:dyDescent="0.25">
      <c r="B58" s="173" t="s">
        <v>161</v>
      </c>
      <c r="C58" s="173"/>
      <c r="D58" s="174" t="s">
        <v>162</v>
      </c>
      <c r="E58" s="228"/>
      <c r="F58" s="152"/>
      <c r="G58" s="152"/>
      <c r="H58" s="236"/>
      <c r="I58" s="195"/>
      <c r="J58" s="196"/>
    </row>
    <row r="59" spans="2:19" x14ac:dyDescent="0.25">
      <c r="E59" s="226"/>
      <c r="H59" s="234"/>
      <c r="J59" s="185"/>
    </row>
    <row r="60" spans="2:19" ht="15.75" thickBot="1" x14ac:dyDescent="0.3">
      <c r="B60" s="169" t="s">
        <v>163</v>
      </c>
      <c r="C60" s="169"/>
      <c r="D60" s="158" t="s">
        <v>164</v>
      </c>
      <c r="E60" s="229"/>
      <c r="F60" s="197"/>
      <c r="G60" s="197"/>
      <c r="H60" s="237"/>
      <c r="I60" s="198"/>
      <c r="J60" s="199"/>
    </row>
  </sheetData>
  <conditionalFormatting sqref="H1:J2 H4:J4">
    <cfRule type="cellIs" dxfId="0" priority="1" operator="lessThan">
      <formula>0</formula>
    </cfRule>
  </conditionalFormatting>
  <dataValidations count="1">
    <dataValidation type="list" allowBlank="1" showInputMessage="1" showErrorMessage="1" sqref="E2" xr:uid="{567C84F3-9B57-43D6-8FD0-1107CDBCC471}">
      <formula1>"1/01/2025,1/02/2025,1/03/2025,1/04/2025,1/05/2025,1/06/2025,1/07/2025,1/08/2025,1/09/2025,1/10/2025,1/11/2025,1/12/2025"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D40E5-D5C7-4C1D-B857-A0469FD52D3C}">
  <sheetPr codeName="Sheet4">
    <tabColor theme="0" tint="-0.14999847407452621"/>
  </sheetPr>
  <dimension ref="A1:BC32"/>
  <sheetViews>
    <sheetView workbookViewId="0">
      <pane xSplit="3" ySplit="3" topLeftCell="D4" activePane="bottomRight" state="frozen"/>
      <selection activeCell="B49" sqref="B49"/>
      <selection pane="topRight" activeCell="B49" sqref="B49"/>
      <selection pane="bottomLeft" activeCell="B49" sqref="B49"/>
      <selection pane="bottomRight" activeCell="B49" sqref="B49"/>
    </sheetView>
  </sheetViews>
  <sheetFormatPr defaultColWidth="9.140625" defaultRowHeight="15" x14ac:dyDescent="0.25"/>
  <cols>
    <col min="2" max="2" width="10.7109375" bestFit="1" customWidth="1"/>
    <col min="3" max="3" width="13.85546875" bestFit="1" customWidth="1"/>
    <col min="4" max="5" width="9.7109375" bestFit="1" customWidth="1"/>
    <col min="6" max="6" width="10.5703125" bestFit="1" customWidth="1"/>
    <col min="7" max="7" width="11.85546875" customWidth="1"/>
    <col min="8" max="8" width="9.85546875" customWidth="1"/>
    <col min="9" max="9" width="9.5703125" customWidth="1"/>
    <col min="11" max="11" width="13.28515625" style="294" customWidth="1"/>
    <col min="12" max="12" width="9.28515625" bestFit="1" customWidth="1"/>
    <col min="13" max="13" width="9.42578125" customWidth="1"/>
    <col min="14" max="14" width="9.28515625" bestFit="1" customWidth="1"/>
    <col min="15" max="15" width="11.7109375" style="291" customWidth="1"/>
    <col min="16" max="18" width="10.7109375" customWidth="1"/>
    <col min="19" max="19" width="12.140625" customWidth="1"/>
    <col min="52" max="52" width="11.140625" customWidth="1"/>
    <col min="53" max="53" width="10.28515625" bestFit="1" customWidth="1"/>
    <col min="55" max="55" width="16.140625" customWidth="1"/>
  </cols>
  <sheetData>
    <row r="1" spans="1:55" ht="15.75" thickBot="1" x14ac:dyDescent="0.3">
      <c r="A1" s="150" t="str">
        <f>Summary_1!B1</f>
        <v>Eastfork</v>
      </c>
    </row>
    <row r="2" spans="1:55" s="150" customFormat="1" x14ac:dyDescent="0.25">
      <c r="B2" s="255"/>
      <c r="C2" s="256"/>
      <c r="D2" s="257">
        <v>45658</v>
      </c>
      <c r="E2" s="256"/>
      <c r="F2" s="256"/>
      <c r="G2" s="258"/>
      <c r="H2" s="257">
        <v>45689</v>
      </c>
      <c r="I2" s="259"/>
      <c r="J2" s="259"/>
      <c r="K2" s="295"/>
      <c r="L2" s="257">
        <v>45717</v>
      </c>
      <c r="M2" s="256"/>
      <c r="N2" s="256"/>
      <c r="O2" s="292"/>
      <c r="P2" s="257">
        <v>45748</v>
      </c>
      <c r="Q2" s="256"/>
      <c r="R2" s="256"/>
      <c r="S2" s="258"/>
      <c r="T2" s="257">
        <v>45778</v>
      </c>
      <c r="U2" s="256"/>
      <c r="V2" s="256"/>
      <c r="W2" s="258"/>
      <c r="X2" s="257">
        <v>45809</v>
      </c>
      <c r="Y2" s="256"/>
      <c r="Z2" s="256"/>
      <c r="AA2" s="258"/>
      <c r="AB2" s="257">
        <v>45839</v>
      </c>
      <c r="AC2" s="256"/>
      <c r="AD2" s="256"/>
      <c r="AE2" s="258"/>
      <c r="AF2" s="257">
        <v>45870</v>
      </c>
      <c r="AG2" s="256"/>
      <c r="AH2" s="256"/>
      <c r="AI2" s="258"/>
      <c r="AJ2" s="257">
        <v>45901</v>
      </c>
      <c r="AK2" s="256"/>
      <c r="AL2" s="256"/>
      <c r="AM2" s="258"/>
      <c r="AN2" s="257">
        <v>45931</v>
      </c>
      <c r="AO2" s="256"/>
      <c r="AP2" s="256"/>
      <c r="AQ2" s="258"/>
      <c r="AR2" s="257">
        <v>45962</v>
      </c>
      <c r="AS2" s="256"/>
      <c r="AT2" s="256"/>
      <c r="AU2" s="258"/>
      <c r="AV2" s="257">
        <v>45992</v>
      </c>
      <c r="AW2" s="256"/>
      <c r="AX2" s="256"/>
      <c r="AY2" s="258"/>
      <c r="AZ2" s="256" t="s">
        <v>123</v>
      </c>
      <c r="BA2" s="256"/>
      <c r="BB2" s="256"/>
      <c r="BC2" s="260"/>
    </row>
    <row r="3" spans="1:55" s="269" customFormat="1" ht="30.75" thickBot="1" x14ac:dyDescent="0.3">
      <c r="B3" s="261" t="s">
        <v>165</v>
      </c>
      <c r="C3" s="262" t="s">
        <v>13</v>
      </c>
      <c r="D3" s="263" t="s">
        <v>166</v>
      </c>
      <c r="E3" s="264" t="s">
        <v>167</v>
      </c>
      <c r="F3" s="264" t="s">
        <v>168</v>
      </c>
      <c r="G3" s="265" t="s">
        <v>169</v>
      </c>
      <c r="H3" s="266" t="s">
        <v>166</v>
      </c>
      <c r="I3" s="267" t="s">
        <v>167</v>
      </c>
      <c r="J3" s="267" t="s">
        <v>168</v>
      </c>
      <c r="K3" s="296" t="s">
        <v>169</v>
      </c>
      <c r="L3" s="263" t="s">
        <v>166</v>
      </c>
      <c r="M3" s="264" t="s">
        <v>167</v>
      </c>
      <c r="N3" s="264" t="s">
        <v>168</v>
      </c>
      <c r="O3" s="293" t="s">
        <v>169</v>
      </c>
      <c r="P3" s="263" t="s">
        <v>166</v>
      </c>
      <c r="Q3" s="264" t="s">
        <v>167</v>
      </c>
      <c r="R3" s="264" t="s">
        <v>168</v>
      </c>
      <c r="S3" s="265" t="s">
        <v>169</v>
      </c>
      <c r="T3" s="263" t="s">
        <v>166</v>
      </c>
      <c r="U3" s="264" t="s">
        <v>167</v>
      </c>
      <c r="V3" s="264" t="s">
        <v>168</v>
      </c>
      <c r="W3" s="265" t="s">
        <v>169</v>
      </c>
      <c r="X3" s="263" t="s">
        <v>166</v>
      </c>
      <c r="Y3" s="264" t="s">
        <v>167</v>
      </c>
      <c r="Z3" s="264" t="s">
        <v>168</v>
      </c>
      <c r="AA3" s="265" t="s">
        <v>169</v>
      </c>
      <c r="AB3" s="263" t="s">
        <v>166</v>
      </c>
      <c r="AC3" s="264" t="s">
        <v>167</v>
      </c>
      <c r="AD3" s="264" t="s">
        <v>168</v>
      </c>
      <c r="AE3" s="265" t="s">
        <v>169</v>
      </c>
      <c r="AF3" s="263" t="s">
        <v>166</v>
      </c>
      <c r="AG3" s="264" t="s">
        <v>167</v>
      </c>
      <c r="AH3" s="264" t="s">
        <v>168</v>
      </c>
      <c r="AI3" s="265" t="s">
        <v>169</v>
      </c>
      <c r="AJ3" s="263" t="s">
        <v>166</v>
      </c>
      <c r="AK3" s="264" t="s">
        <v>167</v>
      </c>
      <c r="AL3" s="264" t="s">
        <v>168</v>
      </c>
      <c r="AM3" s="265" t="s">
        <v>169</v>
      </c>
      <c r="AN3" s="263" t="s">
        <v>166</v>
      </c>
      <c r="AO3" s="264" t="s">
        <v>167</v>
      </c>
      <c r="AP3" s="264" t="s">
        <v>168</v>
      </c>
      <c r="AQ3" s="265" t="s">
        <v>169</v>
      </c>
      <c r="AR3" s="263" t="s">
        <v>166</v>
      </c>
      <c r="AS3" s="264" t="s">
        <v>167</v>
      </c>
      <c r="AT3" s="264" t="s">
        <v>168</v>
      </c>
      <c r="AU3" s="265" t="s">
        <v>169</v>
      </c>
      <c r="AV3" s="263" t="s">
        <v>166</v>
      </c>
      <c r="AW3" s="264" t="s">
        <v>167</v>
      </c>
      <c r="AX3" s="264" t="s">
        <v>168</v>
      </c>
      <c r="AY3" s="265" t="s">
        <v>169</v>
      </c>
      <c r="AZ3" s="264" t="s">
        <v>166</v>
      </c>
      <c r="BA3" s="264" t="s">
        <v>167</v>
      </c>
      <c r="BB3" s="264" t="s">
        <v>168</v>
      </c>
      <c r="BC3" s="268" t="s">
        <v>169</v>
      </c>
    </row>
    <row r="4" spans="1:55" x14ac:dyDescent="0.25">
      <c r="B4" s="270" t="s">
        <v>172</v>
      </c>
      <c r="C4" s="68" t="s">
        <v>20</v>
      </c>
      <c r="D4" s="271"/>
      <c r="E4" s="272"/>
      <c r="F4" s="272"/>
      <c r="G4" s="273">
        <f>D4*F4</f>
        <v>0</v>
      </c>
      <c r="H4" s="274"/>
      <c r="I4" s="275"/>
      <c r="J4" s="275"/>
      <c r="K4" s="297">
        <f>H4*J4</f>
        <v>0</v>
      </c>
      <c r="L4" s="274"/>
      <c r="M4" s="275"/>
      <c r="N4" s="275"/>
      <c r="O4" s="299">
        <f>L4*N4</f>
        <v>0</v>
      </c>
      <c r="P4" s="277"/>
      <c r="S4" s="278"/>
      <c r="T4" s="277"/>
      <c r="W4" s="278"/>
      <c r="X4" s="277"/>
      <c r="AA4" s="278"/>
      <c r="AB4" s="277"/>
      <c r="AE4" s="278"/>
      <c r="AF4" s="277"/>
      <c r="AI4" s="278"/>
      <c r="AJ4" s="277"/>
      <c r="AM4" s="278"/>
      <c r="AN4" s="277"/>
      <c r="AQ4" s="278"/>
      <c r="AR4" s="277"/>
      <c r="AU4" s="278"/>
      <c r="AV4" s="277"/>
      <c r="AZ4" s="271">
        <f t="shared" ref="AZ4" si="0">SUM(D4,H4,L4,P4,T4,X4,AB4,AF4,AJ4,AN4,AR4,AV4)</f>
        <v>0</v>
      </c>
      <c r="BA4" s="272">
        <f t="shared" ref="BA4" si="1">SUM(E4,I4,M4,Q4,U4,Y4,AC4,AG4,AK4,AO4,AS4,AW4)</f>
        <v>0</v>
      </c>
      <c r="BC4" s="279">
        <f t="shared" ref="BC4" si="2">SUM(G4,K4,O4,S4,W4,AA4,AE4,AI4,AM4,AQ4,AU4,AY4)</f>
        <v>0</v>
      </c>
    </row>
    <row r="5" spans="1:55" x14ac:dyDescent="0.25">
      <c r="B5" s="270" t="s">
        <v>172</v>
      </c>
      <c r="C5" s="68" t="s">
        <v>22</v>
      </c>
      <c r="D5" s="271"/>
      <c r="E5" s="272"/>
      <c r="F5" s="272"/>
      <c r="G5" s="273">
        <f t="shared" ref="G5:G12" si="3">D5*F5</f>
        <v>0</v>
      </c>
      <c r="H5" s="274"/>
      <c r="I5" s="275"/>
      <c r="J5" s="275"/>
      <c r="K5" s="297">
        <f>H5*J5</f>
        <v>0</v>
      </c>
      <c r="L5" s="274"/>
      <c r="M5" s="275"/>
      <c r="N5" s="275"/>
      <c r="O5" s="299">
        <f t="shared" ref="O5:O12" si="4">L5*N5</f>
        <v>0</v>
      </c>
      <c r="P5" s="277"/>
      <c r="S5" s="278"/>
      <c r="T5" s="277"/>
      <c r="W5" s="278"/>
      <c r="X5" s="277"/>
      <c r="AA5" s="278"/>
      <c r="AB5" s="277"/>
      <c r="AE5" s="278"/>
      <c r="AF5" s="277"/>
      <c r="AI5" s="278"/>
      <c r="AJ5" s="277"/>
      <c r="AM5" s="278"/>
      <c r="AN5" s="277"/>
      <c r="AQ5" s="278"/>
      <c r="AR5" s="277"/>
      <c r="AU5" s="278"/>
      <c r="AV5" s="277"/>
      <c r="AZ5" s="271">
        <f t="shared" ref="AZ5:AZ26" si="5">SUM(D5,H5,L5,P5,T5,X5,AB5,AF5,AJ5,AN5,AR5,AV5)</f>
        <v>0</v>
      </c>
      <c r="BA5" s="272">
        <f t="shared" ref="BA5:BA26" si="6">SUM(E5,I5,M5,Q5,U5,Y5,AC5,AG5,AK5,AO5,AS5,AW5)</f>
        <v>0</v>
      </c>
      <c r="BC5" s="279">
        <f t="shared" ref="BC5:BC26" si="7">SUM(G5,K5,O5,S5,W5,AA5,AE5,AI5,AM5,AQ5,AU5,AY5)</f>
        <v>0</v>
      </c>
    </row>
    <row r="6" spans="1:55" x14ac:dyDescent="0.25">
      <c r="B6" s="270" t="s">
        <v>172</v>
      </c>
      <c r="C6" s="68" t="s">
        <v>25</v>
      </c>
      <c r="D6" s="271"/>
      <c r="E6" s="272"/>
      <c r="F6" s="272"/>
      <c r="G6" s="273">
        <f t="shared" si="3"/>
        <v>0</v>
      </c>
      <c r="H6" s="274"/>
      <c r="I6" s="275"/>
      <c r="J6" s="275"/>
      <c r="K6" s="297">
        <f t="shared" ref="K6:K12" si="8">H6*J6</f>
        <v>0</v>
      </c>
      <c r="L6" s="274"/>
      <c r="M6" s="275"/>
      <c r="N6" s="275"/>
      <c r="O6" s="299">
        <f t="shared" si="4"/>
        <v>0</v>
      </c>
      <c r="P6" s="277"/>
      <c r="S6" s="278"/>
      <c r="T6" s="277"/>
      <c r="W6" s="278"/>
      <c r="X6" s="277"/>
      <c r="AA6" s="278"/>
      <c r="AB6" s="277"/>
      <c r="AE6" s="278"/>
      <c r="AF6" s="277"/>
      <c r="AI6" s="278"/>
      <c r="AJ6" s="277"/>
      <c r="AM6" s="278"/>
      <c r="AN6" s="277"/>
      <c r="AQ6" s="278"/>
      <c r="AR6" s="277"/>
      <c r="AU6" s="278"/>
      <c r="AV6" s="277"/>
      <c r="AZ6" s="271">
        <f t="shared" si="5"/>
        <v>0</v>
      </c>
      <c r="BA6" s="272">
        <f t="shared" si="6"/>
        <v>0</v>
      </c>
      <c r="BC6" s="279">
        <f t="shared" si="7"/>
        <v>0</v>
      </c>
    </row>
    <row r="7" spans="1:55" x14ac:dyDescent="0.25">
      <c r="B7" s="270" t="s">
        <v>172</v>
      </c>
      <c r="C7" s="68" t="s">
        <v>30</v>
      </c>
      <c r="D7" s="271"/>
      <c r="E7" s="272"/>
      <c r="F7" s="272"/>
      <c r="G7" s="273">
        <f>D7*F7</f>
        <v>0</v>
      </c>
      <c r="H7" s="274"/>
      <c r="I7" s="275"/>
      <c r="J7" s="275"/>
      <c r="K7" s="297">
        <f t="shared" si="8"/>
        <v>0</v>
      </c>
      <c r="L7" s="274"/>
      <c r="M7" s="275"/>
      <c r="N7" s="275"/>
      <c r="O7" s="299">
        <f>L7*N7</f>
        <v>0</v>
      </c>
      <c r="P7" s="277"/>
      <c r="S7" s="278"/>
      <c r="T7" s="277"/>
      <c r="W7" s="278"/>
      <c r="X7" s="277"/>
      <c r="AA7" s="278"/>
      <c r="AB7" s="277"/>
      <c r="AE7" s="278"/>
      <c r="AF7" s="277"/>
      <c r="AI7" s="278"/>
      <c r="AJ7" s="277"/>
      <c r="AM7" s="278"/>
      <c r="AN7" s="277"/>
      <c r="AQ7" s="278"/>
      <c r="AR7" s="277"/>
      <c r="AU7" s="278"/>
      <c r="AV7" s="277"/>
      <c r="AZ7" s="271">
        <f t="shared" si="5"/>
        <v>0</v>
      </c>
      <c r="BA7" s="272">
        <f t="shared" si="6"/>
        <v>0</v>
      </c>
      <c r="BC7" s="279">
        <f t="shared" si="7"/>
        <v>0</v>
      </c>
    </row>
    <row r="8" spans="1:55" x14ac:dyDescent="0.25">
      <c r="B8" s="270" t="s">
        <v>172</v>
      </c>
      <c r="C8" s="68" t="s">
        <v>222</v>
      </c>
      <c r="D8" s="271"/>
      <c r="E8" s="272"/>
      <c r="F8" s="272"/>
      <c r="G8" s="273">
        <f t="shared" si="3"/>
        <v>0</v>
      </c>
      <c r="H8" s="274"/>
      <c r="I8" s="275"/>
      <c r="J8" s="275"/>
      <c r="K8" s="297">
        <f t="shared" si="8"/>
        <v>0</v>
      </c>
      <c r="L8" s="274"/>
      <c r="M8" s="275"/>
      <c r="N8" s="275"/>
      <c r="O8" s="299">
        <f t="shared" si="4"/>
        <v>0</v>
      </c>
      <c r="P8" s="277"/>
      <c r="S8" s="278"/>
      <c r="T8" s="277"/>
      <c r="W8" s="278"/>
      <c r="X8" s="277"/>
      <c r="AA8" s="278"/>
      <c r="AB8" s="277"/>
      <c r="AE8" s="278"/>
      <c r="AF8" s="277"/>
      <c r="AI8" s="278"/>
      <c r="AJ8" s="277"/>
      <c r="AM8" s="278"/>
      <c r="AN8" s="277"/>
      <c r="AQ8" s="278"/>
      <c r="AR8" s="277"/>
      <c r="AU8" s="278"/>
      <c r="AV8" s="277"/>
      <c r="AZ8" s="271">
        <f t="shared" si="5"/>
        <v>0</v>
      </c>
      <c r="BA8" s="272">
        <f t="shared" si="6"/>
        <v>0</v>
      </c>
      <c r="BC8" s="279">
        <f t="shared" si="7"/>
        <v>0</v>
      </c>
    </row>
    <row r="9" spans="1:55" x14ac:dyDescent="0.25">
      <c r="B9" s="270" t="s">
        <v>172</v>
      </c>
      <c r="C9" s="68" t="s">
        <v>34</v>
      </c>
      <c r="D9" s="271"/>
      <c r="E9" s="272"/>
      <c r="F9" s="272"/>
      <c r="G9" s="273">
        <f t="shared" si="3"/>
        <v>0</v>
      </c>
      <c r="H9" s="274"/>
      <c r="I9" s="275"/>
      <c r="J9" s="275"/>
      <c r="K9" s="297">
        <f t="shared" si="8"/>
        <v>0</v>
      </c>
      <c r="L9" s="274"/>
      <c r="M9" s="275"/>
      <c r="N9" s="275"/>
      <c r="O9" s="299">
        <f t="shared" si="4"/>
        <v>0</v>
      </c>
      <c r="P9" s="277"/>
      <c r="S9" s="278"/>
      <c r="T9" s="277"/>
      <c r="W9" s="278"/>
      <c r="X9" s="277"/>
      <c r="AA9" s="278"/>
      <c r="AB9" s="277"/>
      <c r="AE9" s="278"/>
      <c r="AF9" s="277"/>
      <c r="AI9" s="278"/>
      <c r="AJ9" s="277"/>
      <c r="AM9" s="278"/>
      <c r="AN9" s="277"/>
      <c r="AQ9" s="278"/>
      <c r="AR9" s="277"/>
      <c r="AU9" s="278"/>
      <c r="AV9" s="277"/>
      <c r="AZ9" s="271">
        <f t="shared" si="5"/>
        <v>0</v>
      </c>
      <c r="BA9" s="272">
        <f t="shared" si="6"/>
        <v>0</v>
      </c>
      <c r="BC9" s="279">
        <f t="shared" si="7"/>
        <v>0</v>
      </c>
    </row>
    <row r="10" spans="1:55" x14ac:dyDescent="0.25">
      <c r="B10" s="270" t="s">
        <v>172</v>
      </c>
      <c r="C10" s="68" t="s">
        <v>37</v>
      </c>
      <c r="D10" s="271"/>
      <c r="E10" s="272"/>
      <c r="F10" s="272"/>
      <c r="G10" s="273">
        <f t="shared" si="3"/>
        <v>0</v>
      </c>
      <c r="H10" s="274"/>
      <c r="I10" s="275"/>
      <c r="J10" s="275"/>
      <c r="K10" s="297">
        <f t="shared" si="8"/>
        <v>0</v>
      </c>
      <c r="L10" s="274"/>
      <c r="M10" s="275"/>
      <c r="N10" s="275"/>
      <c r="O10" s="299">
        <f t="shared" si="4"/>
        <v>0</v>
      </c>
      <c r="P10" s="277"/>
      <c r="S10" s="278"/>
      <c r="T10" s="277"/>
      <c r="W10" s="278"/>
      <c r="X10" s="277"/>
      <c r="AA10" s="278"/>
      <c r="AB10" s="277"/>
      <c r="AE10" s="278"/>
      <c r="AF10" s="277"/>
      <c r="AI10" s="278"/>
      <c r="AJ10" s="277"/>
      <c r="AM10" s="278"/>
      <c r="AN10" s="277"/>
      <c r="AQ10" s="278"/>
      <c r="AR10" s="277"/>
      <c r="AU10" s="278"/>
      <c r="AV10" s="277"/>
      <c r="AY10" s="278"/>
      <c r="AZ10" s="271">
        <f t="shared" si="5"/>
        <v>0</v>
      </c>
      <c r="BA10" s="272">
        <f t="shared" si="6"/>
        <v>0</v>
      </c>
      <c r="BC10" s="279">
        <f t="shared" si="7"/>
        <v>0</v>
      </c>
    </row>
    <row r="11" spans="1:55" x14ac:dyDescent="0.25">
      <c r="B11" s="270" t="s">
        <v>172</v>
      </c>
      <c r="C11" s="68" t="s">
        <v>174</v>
      </c>
      <c r="D11" s="271"/>
      <c r="E11" s="272"/>
      <c r="F11" s="272"/>
      <c r="G11" s="273">
        <f t="shared" si="3"/>
        <v>0</v>
      </c>
      <c r="H11" s="274"/>
      <c r="I11" s="275"/>
      <c r="J11" s="275"/>
      <c r="K11" s="297">
        <f t="shared" si="8"/>
        <v>0</v>
      </c>
      <c r="L11" s="274"/>
      <c r="M11" s="275"/>
      <c r="N11" s="275"/>
      <c r="O11" s="299">
        <f t="shared" si="4"/>
        <v>0</v>
      </c>
      <c r="P11" s="277"/>
      <c r="S11" s="278"/>
      <c r="T11" s="277"/>
      <c r="W11" s="278"/>
      <c r="X11" s="277"/>
      <c r="AA11" s="278"/>
      <c r="AB11" s="277"/>
      <c r="AE11" s="278"/>
      <c r="AF11" s="277"/>
      <c r="AI11" s="278"/>
      <c r="AJ11" s="277"/>
      <c r="AM11" s="278"/>
      <c r="AN11" s="277"/>
      <c r="AQ11" s="278"/>
      <c r="AR11" s="277"/>
      <c r="AU11" s="278"/>
      <c r="AV11" s="277"/>
      <c r="AY11" s="278"/>
      <c r="AZ11" s="271">
        <f t="shared" si="5"/>
        <v>0</v>
      </c>
      <c r="BA11" s="272">
        <f t="shared" si="6"/>
        <v>0</v>
      </c>
      <c r="BC11" s="279">
        <f t="shared" si="7"/>
        <v>0</v>
      </c>
    </row>
    <row r="12" spans="1:55" x14ac:dyDescent="0.25">
      <c r="B12" s="270" t="s">
        <v>172</v>
      </c>
      <c r="C12" s="68" t="s">
        <v>38</v>
      </c>
      <c r="D12" s="271"/>
      <c r="E12" s="272"/>
      <c r="F12" s="272"/>
      <c r="G12" s="273">
        <f t="shared" si="3"/>
        <v>0</v>
      </c>
      <c r="H12" s="274"/>
      <c r="I12" s="275"/>
      <c r="J12" s="275"/>
      <c r="K12" s="297">
        <f t="shared" si="8"/>
        <v>0</v>
      </c>
      <c r="L12" s="274"/>
      <c r="M12" s="275"/>
      <c r="N12" s="275"/>
      <c r="O12" s="299">
        <f t="shared" si="4"/>
        <v>0</v>
      </c>
      <c r="P12" s="277"/>
      <c r="S12" s="278"/>
      <c r="T12" s="277"/>
      <c r="W12" s="278"/>
      <c r="X12" s="277"/>
      <c r="AA12" s="278"/>
      <c r="AB12" s="277"/>
      <c r="AE12" s="278"/>
      <c r="AF12" s="277"/>
      <c r="AI12" s="278"/>
      <c r="AJ12" s="277"/>
      <c r="AM12" s="278"/>
      <c r="AN12" s="277"/>
      <c r="AQ12" s="278"/>
      <c r="AR12" s="277"/>
      <c r="AU12" s="278"/>
      <c r="AV12" s="277"/>
      <c r="AY12" s="278"/>
      <c r="AZ12" s="271">
        <f t="shared" si="5"/>
        <v>0</v>
      </c>
      <c r="BA12" s="272">
        <f t="shared" si="6"/>
        <v>0</v>
      </c>
      <c r="BC12" s="279">
        <f t="shared" si="7"/>
        <v>0</v>
      </c>
    </row>
    <row r="13" spans="1:55" x14ac:dyDescent="0.25">
      <c r="B13" s="24" t="s">
        <v>170</v>
      </c>
      <c r="C13" s="68" t="s">
        <v>171</v>
      </c>
      <c r="D13" s="271"/>
      <c r="E13" s="272"/>
      <c r="F13" s="272"/>
      <c r="G13" s="273">
        <f>E13*F13</f>
        <v>0</v>
      </c>
      <c r="H13" s="274"/>
      <c r="I13" s="275"/>
      <c r="J13" s="275"/>
      <c r="K13" s="298">
        <f>I13*J13</f>
        <v>0</v>
      </c>
      <c r="L13" s="274"/>
      <c r="M13" s="275"/>
      <c r="N13" s="275"/>
      <c r="O13" s="276">
        <f>M13*N13</f>
        <v>0</v>
      </c>
      <c r="P13" s="277"/>
      <c r="S13" s="278"/>
      <c r="T13" s="277"/>
      <c r="W13" s="278"/>
      <c r="X13" s="277"/>
      <c r="AA13" s="278"/>
      <c r="AB13" s="277"/>
      <c r="AE13" s="278"/>
      <c r="AF13" s="277"/>
      <c r="AI13" s="278"/>
      <c r="AJ13" s="277"/>
      <c r="AM13" s="278"/>
      <c r="AN13" s="277"/>
      <c r="AQ13" s="278"/>
      <c r="AR13" s="277"/>
      <c r="AU13" s="278"/>
      <c r="AV13" s="277"/>
      <c r="AY13" s="278"/>
      <c r="AZ13" s="271">
        <f t="shared" si="5"/>
        <v>0</v>
      </c>
      <c r="BA13" s="272">
        <f t="shared" si="6"/>
        <v>0</v>
      </c>
      <c r="BC13" s="279">
        <f t="shared" si="7"/>
        <v>0</v>
      </c>
    </row>
    <row r="14" spans="1:55" x14ac:dyDescent="0.25">
      <c r="B14" s="24" t="s">
        <v>170</v>
      </c>
      <c r="C14" s="68" t="s">
        <v>173</v>
      </c>
      <c r="D14" s="271"/>
      <c r="E14" s="272"/>
      <c r="F14" s="272"/>
      <c r="G14" s="273">
        <f t="shared" ref="G14:G25" si="9">E14*F14</f>
        <v>0</v>
      </c>
      <c r="H14" s="274"/>
      <c r="I14" s="275"/>
      <c r="J14" s="275"/>
      <c r="K14" s="298">
        <f t="shared" ref="K14:K25" si="10">I14*J14</f>
        <v>0</v>
      </c>
      <c r="L14" s="274"/>
      <c r="M14" s="275"/>
      <c r="N14" s="275"/>
      <c r="O14" s="276">
        <f t="shared" ref="O14:O25" si="11">M14*N14</f>
        <v>0</v>
      </c>
      <c r="P14" s="277"/>
      <c r="S14" s="278"/>
      <c r="T14" s="277"/>
      <c r="W14" s="278"/>
      <c r="X14" s="277"/>
      <c r="AA14" s="278"/>
      <c r="AB14" s="277"/>
      <c r="AE14" s="278"/>
      <c r="AF14" s="277"/>
      <c r="AI14" s="278"/>
      <c r="AJ14" s="277"/>
      <c r="AM14" s="278"/>
      <c r="AN14" s="277"/>
      <c r="AQ14" s="278"/>
      <c r="AR14" s="277"/>
      <c r="AU14" s="278"/>
      <c r="AV14" s="277"/>
      <c r="AY14" s="278"/>
      <c r="AZ14" s="271">
        <f t="shared" si="5"/>
        <v>0</v>
      </c>
      <c r="BA14" s="272">
        <f t="shared" si="6"/>
        <v>0</v>
      </c>
      <c r="BC14" s="279">
        <f t="shared" si="7"/>
        <v>0</v>
      </c>
    </row>
    <row r="15" spans="1:55" x14ac:dyDescent="0.25">
      <c r="B15" s="24" t="s">
        <v>170</v>
      </c>
      <c r="C15" s="68" t="s">
        <v>23</v>
      </c>
      <c r="D15" s="271"/>
      <c r="E15" s="272"/>
      <c r="F15" s="272"/>
      <c r="G15" s="273">
        <f t="shared" si="9"/>
        <v>0</v>
      </c>
      <c r="H15" s="274"/>
      <c r="I15" s="275"/>
      <c r="J15" s="275"/>
      <c r="K15" s="297">
        <f t="shared" si="10"/>
        <v>0</v>
      </c>
      <c r="L15" s="274"/>
      <c r="M15" s="275"/>
      <c r="N15" s="275"/>
      <c r="O15" s="299">
        <f t="shared" ref="O15" si="12">L15*N15</f>
        <v>0</v>
      </c>
      <c r="P15" s="277"/>
      <c r="S15" s="278"/>
      <c r="T15" s="277"/>
      <c r="W15" s="278"/>
      <c r="X15" s="277"/>
      <c r="AA15" s="278"/>
      <c r="AB15" s="277"/>
      <c r="AE15" s="278"/>
      <c r="AF15" s="277"/>
      <c r="AI15" s="278"/>
      <c r="AJ15" s="277"/>
      <c r="AM15" s="278"/>
      <c r="AN15" s="277"/>
      <c r="AQ15" s="278"/>
      <c r="AR15" s="277"/>
      <c r="AU15" s="278"/>
      <c r="AV15" s="277"/>
      <c r="AY15" s="278"/>
      <c r="AZ15" s="271">
        <f t="shared" si="5"/>
        <v>0</v>
      </c>
      <c r="BA15" s="272">
        <f t="shared" si="6"/>
        <v>0</v>
      </c>
      <c r="BC15" s="279">
        <f t="shared" si="7"/>
        <v>0</v>
      </c>
    </row>
    <row r="16" spans="1:55" x14ac:dyDescent="0.25">
      <c r="B16" s="24" t="s">
        <v>170</v>
      </c>
      <c r="C16" s="68" t="s">
        <v>24</v>
      </c>
      <c r="D16" s="271"/>
      <c r="E16" s="272"/>
      <c r="F16" s="272"/>
      <c r="G16" s="273">
        <f t="shared" si="9"/>
        <v>0</v>
      </c>
      <c r="H16" s="274"/>
      <c r="I16" s="275"/>
      <c r="J16" s="280"/>
      <c r="K16" s="298">
        <f t="shared" si="10"/>
        <v>0</v>
      </c>
      <c r="L16" s="274"/>
      <c r="M16" s="275"/>
      <c r="N16" s="275"/>
      <c r="O16" s="276">
        <f t="shared" si="11"/>
        <v>0</v>
      </c>
      <c r="P16" s="277"/>
      <c r="S16" s="278"/>
      <c r="T16" s="277"/>
      <c r="W16" s="278"/>
      <c r="X16" s="277"/>
      <c r="AA16" s="278"/>
      <c r="AB16" s="277"/>
      <c r="AE16" s="278"/>
      <c r="AF16" s="277"/>
      <c r="AI16" s="278"/>
      <c r="AJ16" s="277"/>
      <c r="AM16" s="278"/>
      <c r="AN16" s="277"/>
      <c r="AQ16" s="278"/>
      <c r="AR16" s="277"/>
      <c r="AU16" s="278"/>
      <c r="AV16" s="277"/>
      <c r="AY16" s="278"/>
      <c r="AZ16" s="271">
        <f t="shared" si="5"/>
        <v>0</v>
      </c>
      <c r="BA16" s="272">
        <f t="shared" si="6"/>
        <v>0</v>
      </c>
      <c r="BC16" s="279">
        <f t="shared" si="7"/>
        <v>0</v>
      </c>
    </row>
    <row r="17" spans="1:55" x14ac:dyDescent="0.25">
      <c r="B17" s="24" t="s">
        <v>170</v>
      </c>
      <c r="C17" s="68" t="s">
        <v>26</v>
      </c>
      <c r="D17" s="271"/>
      <c r="E17" s="272"/>
      <c r="F17" s="272"/>
      <c r="G17" s="273">
        <f t="shared" si="9"/>
        <v>0</v>
      </c>
      <c r="H17" s="274"/>
      <c r="I17" s="275"/>
      <c r="J17" s="280"/>
      <c r="K17" s="298">
        <f t="shared" si="10"/>
        <v>0</v>
      </c>
      <c r="L17" s="274"/>
      <c r="M17" s="275"/>
      <c r="N17" s="275"/>
      <c r="O17" s="276">
        <f t="shared" si="11"/>
        <v>0</v>
      </c>
      <c r="P17" s="277"/>
      <c r="S17" s="278"/>
      <c r="T17" s="277"/>
      <c r="W17" s="278"/>
      <c r="X17" s="277"/>
      <c r="AA17" s="278"/>
      <c r="AB17" s="277"/>
      <c r="AE17" s="278"/>
      <c r="AF17" s="277"/>
      <c r="AI17" s="278"/>
      <c r="AJ17" s="277"/>
      <c r="AM17" s="278"/>
      <c r="AN17" s="277"/>
      <c r="AQ17" s="278"/>
      <c r="AR17" s="277"/>
      <c r="AU17" s="278"/>
      <c r="AV17" s="277"/>
      <c r="AY17" s="278"/>
      <c r="AZ17" s="271">
        <f t="shared" si="5"/>
        <v>0</v>
      </c>
      <c r="BA17" s="272">
        <f t="shared" si="6"/>
        <v>0</v>
      </c>
      <c r="BC17" s="279">
        <f t="shared" si="7"/>
        <v>0</v>
      </c>
    </row>
    <row r="18" spans="1:55" x14ac:dyDescent="0.25">
      <c r="B18" s="24" t="s">
        <v>170</v>
      </c>
      <c r="C18" s="68" t="s">
        <v>27</v>
      </c>
      <c r="D18" s="271"/>
      <c r="E18" s="272"/>
      <c r="F18" s="272"/>
      <c r="G18" s="273">
        <f t="shared" si="9"/>
        <v>0</v>
      </c>
      <c r="H18" s="274"/>
      <c r="I18" s="275"/>
      <c r="J18" s="275"/>
      <c r="K18" s="298">
        <f t="shared" si="10"/>
        <v>0</v>
      </c>
      <c r="L18" s="274"/>
      <c r="M18" s="275"/>
      <c r="N18" s="275"/>
      <c r="O18" s="276">
        <f t="shared" si="11"/>
        <v>0</v>
      </c>
      <c r="P18" s="277"/>
      <c r="S18" s="278"/>
      <c r="T18" s="277"/>
      <c r="W18" s="278"/>
      <c r="X18" s="277"/>
      <c r="AA18" s="278"/>
      <c r="AB18" s="277"/>
      <c r="AE18" s="278"/>
      <c r="AF18" s="277"/>
      <c r="AI18" s="278"/>
      <c r="AJ18" s="277"/>
      <c r="AM18" s="278"/>
      <c r="AN18" s="277"/>
      <c r="AQ18" s="278"/>
      <c r="AR18" s="277"/>
      <c r="AU18" s="278"/>
      <c r="AV18" s="277"/>
      <c r="AY18" s="278"/>
      <c r="AZ18" s="271">
        <f t="shared" si="5"/>
        <v>0</v>
      </c>
      <c r="BA18" s="272">
        <f t="shared" si="6"/>
        <v>0</v>
      </c>
      <c r="BC18" s="279">
        <f t="shared" si="7"/>
        <v>0</v>
      </c>
    </row>
    <row r="19" spans="1:55" x14ac:dyDescent="0.25">
      <c r="B19" s="24" t="s">
        <v>170</v>
      </c>
      <c r="C19" s="68" t="s">
        <v>29</v>
      </c>
      <c r="D19" s="271"/>
      <c r="E19" s="272"/>
      <c r="F19" s="272"/>
      <c r="G19" s="273">
        <f t="shared" si="9"/>
        <v>0</v>
      </c>
      <c r="H19" s="274"/>
      <c r="I19" s="275"/>
      <c r="J19" s="275"/>
      <c r="K19" s="297">
        <f t="shared" si="10"/>
        <v>0</v>
      </c>
      <c r="L19" s="274"/>
      <c r="M19" s="275"/>
      <c r="N19" s="275"/>
      <c r="O19" s="299">
        <f t="shared" si="11"/>
        <v>0</v>
      </c>
      <c r="P19" s="277"/>
      <c r="S19" s="278"/>
      <c r="T19" s="277"/>
      <c r="W19" s="278"/>
      <c r="X19" s="277"/>
      <c r="AA19" s="278"/>
      <c r="AB19" s="277"/>
      <c r="AE19" s="278"/>
      <c r="AF19" s="277"/>
      <c r="AI19" s="278"/>
      <c r="AJ19" s="277"/>
      <c r="AM19" s="278"/>
      <c r="AN19" s="277"/>
      <c r="AQ19" s="278"/>
      <c r="AR19" s="277"/>
      <c r="AU19" s="278"/>
      <c r="AV19" s="277"/>
      <c r="AY19" s="278"/>
      <c r="AZ19" s="271">
        <f t="shared" si="5"/>
        <v>0</v>
      </c>
      <c r="BA19" s="272">
        <f t="shared" si="6"/>
        <v>0</v>
      </c>
      <c r="BC19" s="279">
        <f t="shared" si="7"/>
        <v>0</v>
      </c>
    </row>
    <row r="20" spans="1:55" x14ac:dyDescent="0.25">
      <c r="B20" s="24" t="s">
        <v>170</v>
      </c>
      <c r="C20" s="68" t="s">
        <v>28</v>
      </c>
      <c r="D20" s="271"/>
      <c r="E20" s="272"/>
      <c r="F20" s="272"/>
      <c r="G20" s="273">
        <f t="shared" si="9"/>
        <v>0</v>
      </c>
      <c r="H20" s="274"/>
      <c r="I20" s="275"/>
      <c r="J20" s="275"/>
      <c r="K20" s="298">
        <f>I20*J20</f>
        <v>0</v>
      </c>
      <c r="L20" s="274"/>
      <c r="M20" s="275"/>
      <c r="N20" s="275"/>
      <c r="O20" s="276">
        <f t="shared" si="11"/>
        <v>0</v>
      </c>
      <c r="P20" s="277"/>
      <c r="S20" s="278"/>
      <c r="T20" s="277"/>
      <c r="W20" s="278"/>
      <c r="X20" s="277"/>
      <c r="AA20" s="278"/>
      <c r="AB20" s="277"/>
      <c r="AE20" s="278"/>
      <c r="AF20" s="277"/>
      <c r="AI20" s="278"/>
      <c r="AJ20" s="277"/>
      <c r="AM20" s="278"/>
      <c r="AN20" s="277"/>
      <c r="AQ20" s="278"/>
      <c r="AR20" s="277"/>
      <c r="AU20" s="278"/>
      <c r="AV20" s="277"/>
      <c r="AY20" s="278"/>
      <c r="AZ20" s="271">
        <f t="shared" si="5"/>
        <v>0</v>
      </c>
      <c r="BA20" s="272">
        <f t="shared" si="6"/>
        <v>0</v>
      </c>
      <c r="BC20" s="279">
        <f t="shared" si="7"/>
        <v>0</v>
      </c>
    </row>
    <row r="21" spans="1:55" x14ac:dyDescent="0.25">
      <c r="B21" s="24" t="s">
        <v>170</v>
      </c>
      <c r="C21" s="68" t="s">
        <v>31</v>
      </c>
      <c r="D21" s="271"/>
      <c r="E21" s="272"/>
      <c r="F21" s="272"/>
      <c r="G21" s="273">
        <f t="shared" si="9"/>
        <v>0</v>
      </c>
      <c r="H21" s="274"/>
      <c r="I21" s="275"/>
      <c r="J21" s="275"/>
      <c r="K21" s="297">
        <f t="shared" si="10"/>
        <v>0</v>
      </c>
      <c r="L21" s="274"/>
      <c r="M21" s="275"/>
      <c r="N21" s="275"/>
      <c r="O21" s="299">
        <f t="shared" si="11"/>
        <v>0</v>
      </c>
      <c r="P21" s="277"/>
      <c r="S21" s="278"/>
      <c r="T21" s="277"/>
      <c r="W21" s="278"/>
      <c r="X21" s="277"/>
      <c r="AA21" s="278"/>
      <c r="AB21" s="277"/>
      <c r="AE21" s="278"/>
      <c r="AF21" s="277"/>
      <c r="AI21" s="278"/>
      <c r="AJ21" s="277"/>
      <c r="AM21" s="278"/>
      <c r="AN21" s="277"/>
      <c r="AQ21" s="278"/>
      <c r="AR21" s="277"/>
      <c r="AU21" s="278"/>
      <c r="AV21" s="277"/>
      <c r="AY21" s="278"/>
      <c r="AZ21" s="271">
        <f t="shared" si="5"/>
        <v>0</v>
      </c>
      <c r="BA21" s="272">
        <f t="shared" si="6"/>
        <v>0</v>
      </c>
      <c r="BC21" s="279">
        <f t="shared" si="7"/>
        <v>0</v>
      </c>
    </row>
    <row r="22" spans="1:55" x14ac:dyDescent="0.25">
      <c r="B22" s="24" t="s">
        <v>170</v>
      </c>
      <c r="C22" s="68" t="s">
        <v>32</v>
      </c>
      <c r="D22" s="271"/>
      <c r="E22" s="272"/>
      <c r="F22" s="272"/>
      <c r="G22" s="273">
        <f t="shared" si="9"/>
        <v>0</v>
      </c>
      <c r="H22" s="274"/>
      <c r="I22" s="275"/>
      <c r="J22" s="275"/>
      <c r="K22" s="297">
        <f t="shared" si="10"/>
        <v>0</v>
      </c>
      <c r="L22" s="274"/>
      <c r="M22" s="275"/>
      <c r="N22" s="275"/>
      <c r="O22" s="299">
        <f t="shared" si="11"/>
        <v>0</v>
      </c>
      <c r="P22" s="277"/>
      <c r="S22" s="278"/>
      <c r="T22" s="277"/>
      <c r="W22" s="278"/>
      <c r="X22" s="277"/>
      <c r="AA22" s="278"/>
      <c r="AB22" s="277"/>
      <c r="AE22" s="278"/>
      <c r="AF22" s="277"/>
      <c r="AI22" s="278"/>
      <c r="AJ22" s="277"/>
      <c r="AM22" s="278"/>
      <c r="AN22" s="277"/>
      <c r="AQ22" s="278"/>
      <c r="AR22" s="277"/>
      <c r="AU22" s="278"/>
      <c r="AV22" s="277"/>
      <c r="AY22" s="278"/>
      <c r="AZ22" s="271">
        <f t="shared" si="5"/>
        <v>0</v>
      </c>
      <c r="BA22" s="272">
        <f t="shared" si="6"/>
        <v>0</v>
      </c>
      <c r="BC22" s="279">
        <f t="shared" si="7"/>
        <v>0</v>
      </c>
    </row>
    <row r="23" spans="1:55" x14ac:dyDescent="0.25">
      <c r="B23" s="24" t="s">
        <v>170</v>
      </c>
      <c r="C23" s="68" t="s">
        <v>33</v>
      </c>
      <c r="D23" s="271"/>
      <c r="E23" s="272"/>
      <c r="F23" s="272"/>
      <c r="G23" s="273">
        <f t="shared" si="9"/>
        <v>0</v>
      </c>
      <c r="H23" s="274"/>
      <c r="I23" s="275"/>
      <c r="J23" s="275"/>
      <c r="K23" s="297">
        <f t="shared" si="10"/>
        <v>0</v>
      </c>
      <c r="L23" s="274"/>
      <c r="M23" s="275"/>
      <c r="N23" s="275"/>
      <c r="O23" s="299">
        <f t="shared" si="11"/>
        <v>0</v>
      </c>
      <c r="P23" s="277"/>
      <c r="S23" s="278"/>
      <c r="T23" s="277"/>
      <c r="W23" s="278"/>
      <c r="X23" s="277"/>
      <c r="AA23" s="278"/>
      <c r="AB23" s="277"/>
      <c r="AE23" s="278"/>
      <c r="AF23" s="277"/>
      <c r="AI23" s="278"/>
      <c r="AJ23" s="277"/>
      <c r="AM23" s="278"/>
      <c r="AN23" s="277"/>
      <c r="AQ23" s="278"/>
      <c r="AR23" s="277"/>
      <c r="AU23" s="278"/>
      <c r="AV23" s="277"/>
      <c r="AY23" s="278"/>
      <c r="AZ23" s="271">
        <f t="shared" si="5"/>
        <v>0</v>
      </c>
      <c r="BA23" s="272">
        <f t="shared" si="6"/>
        <v>0</v>
      </c>
      <c r="BC23" s="279">
        <f t="shared" si="7"/>
        <v>0</v>
      </c>
    </row>
    <row r="24" spans="1:55" x14ac:dyDescent="0.25">
      <c r="B24" s="24" t="s">
        <v>170</v>
      </c>
      <c r="C24" s="68" t="s">
        <v>35</v>
      </c>
      <c r="D24" s="271"/>
      <c r="E24" s="272"/>
      <c r="F24" s="272"/>
      <c r="G24" s="273">
        <f t="shared" si="9"/>
        <v>0</v>
      </c>
      <c r="H24" s="274"/>
      <c r="I24" s="275"/>
      <c r="J24" s="275"/>
      <c r="K24" s="297">
        <f t="shared" si="10"/>
        <v>0</v>
      </c>
      <c r="L24" s="274"/>
      <c r="M24" s="275"/>
      <c r="N24" s="275"/>
      <c r="O24" s="299">
        <f t="shared" si="11"/>
        <v>0</v>
      </c>
      <c r="P24" s="277"/>
      <c r="S24" s="278"/>
      <c r="T24" s="277"/>
      <c r="W24" s="278"/>
      <c r="X24" s="277"/>
      <c r="AA24" s="278"/>
      <c r="AB24" s="277"/>
      <c r="AE24" s="278"/>
      <c r="AF24" s="277"/>
      <c r="AI24" s="278"/>
      <c r="AJ24" s="277"/>
      <c r="AM24" s="278"/>
      <c r="AN24" s="277"/>
      <c r="AQ24" s="278"/>
      <c r="AR24" s="277"/>
      <c r="AU24" s="278"/>
      <c r="AV24" s="277"/>
      <c r="AY24" s="278"/>
      <c r="AZ24" s="271">
        <f t="shared" si="5"/>
        <v>0</v>
      </c>
      <c r="BA24" s="272">
        <f t="shared" si="6"/>
        <v>0</v>
      </c>
      <c r="BC24" s="279">
        <f t="shared" si="7"/>
        <v>0</v>
      </c>
    </row>
    <row r="25" spans="1:55" x14ac:dyDescent="0.25">
      <c r="B25" s="24" t="s">
        <v>170</v>
      </c>
      <c r="C25" s="68" t="s">
        <v>36</v>
      </c>
      <c r="D25" s="271"/>
      <c r="E25" s="272"/>
      <c r="F25" s="272"/>
      <c r="G25" s="273">
        <f t="shared" si="9"/>
        <v>0</v>
      </c>
      <c r="H25" s="274"/>
      <c r="I25" s="275"/>
      <c r="J25" s="275"/>
      <c r="K25" s="297">
        <f t="shared" si="10"/>
        <v>0</v>
      </c>
      <c r="L25" s="274"/>
      <c r="M25" s="275"/>
      <c r="N25" s="275"/>
      <c r="O25" s="299">
        <f t="shared" si="11"/>
        <v>0</v>
      </c>
      <c r="P25" s="277"/>
      <c r="S25" s="278"/>
      <c r="T25" s="277"/>
      <c r="W25" s="278"/>
      <c r="X25" s="277"/>
      <c r="AA25" s="278"/>
      <c r="AB25" s="277"/>
      <c r="AE25" s="278"/>
      <c r="AF25" s="277"/>
      <c r="AI25" s="278"/>
      <c r="AJ25" s="277"/>
      <c r="AM25" s="278"/>
      <c r="AN25" s="277"/>
      <c r="AQ25" s="278"/>
      <c r="AR25" s="277"/>
      <c r="AU25" s="278"/>
      <c r="AV25" s="277"/>
      <c r="AY25" s="278"/>
      <c r="AZ25" s="271">
        <f t="shared" si="5"/>
        <v>0</v>
      </c>
      <c r="BA25" s="272">
        <f t="shared" si="6"/>
        <v>0</v>
      </c>
      <c r="BC25" s="279">
        <f t="shared" si="7"/>
        <v>0</v>
      </c>
    </row>
    <row r="26" spans="1:55" x14ac:dyDescent="0.25">
      <c r="B26" s="24" t="s">
        <v>170</v>
      </c>
      <c r="C26" s="68" t="s">
        <v>58</v>
      </c>
      <c r="D26" s="300"/>
      <c r="E26" s="272"/>
      <c r="F26" s="272"/>
      <c r="G26" s="273"/>
      <c r="H26" s="274"/>
      <c r="I26" s="275"/>
      <c r="J26" s="275"/>
      <c r="K26" s="297"/>
      <c r="L26" s="274"/>
      <c r="M26" s="275"/>
      <c r="N26" s="275"/>
      <c r="O26" s="276"/>
      <c r="P26" s="277"/>
      <c r="S26" s="278"/>
      <c r="T26" s="277"/>
      <c r="W26" s="278"/>
      <c r="X26" s="277"/>
      <c r="AA26" s="278"/>
      <c r="AB26" s="277"/>
      <c r="AE26" s="278"/>
      <c r="AF26" s="277"/>
      <c r="AI26" s="278"/>
      <c r="AJ26" s="277"/>
      <c r="AM26" s="278"/>
      <c r="AN26" s="277"/>
      <c r="AQ26" s="278"/>
      <c r="AR26" s="277"/>
      <c r="AU26" s="278"/>
      <c r="AV26" s="277"/>
      <c r="AY26" s="278"/>
      <c r="AZ26" s="271">
        <f t="shared" si="5"/>
        <v>0</v>
      </c>
      <c r="BA26" s="272">
        <f t="shared" si="6"/>
        <v>0</v>
      </c>
      <c r="BC26" s="279">
        <f t="shared" si="7"/>
        <v>0</v>
      </c>
    </row>
    <row r="27" spans="1:55" ht="15.75" thickBot="1" x14ac:dyDescent="0.3">
      <c r="B27" s="281" t="s">
        <v>2</v>
      </c>
      <c r="C27" s="282"/>
      <c r="D27" s="283">
        <f>SUM(D4:D26)</f>
        <v>0</v>
      </c>
      <c r="E27" s="284">
        <f>SUM(E4:E26)</f>
        <v>0</v>
      </c>
      <c r="F27" s="284"/>
      <c r="G27" s="285">
        <f>SUM(G4:G25)</f>
        <v>0</v>
      </c>
      <c r="H27" s="283">
        <f>SUM(H4:H26)</f>
        <v>0</v>
      </c>
      <c r="I27" s="284">
        <f>SUM(I4:I26)</f>
        <v>0</v>
      </c>
      <c r="J27" s="284"/>
      <c r="K27" s="285">
        <f>SUM(K4:K25)</f>
        <v>0</v>
      </c>
      <c r="L27" s="283">
        <f>SUM(L4:L26)</f>
        <v>0</v>
      </c>
      <c r="M27" s="284">
        <f>SUM(M4:M26)</f>
        <v>0</v>
      </c>
      <c r="N27" s="284"/>
      <c r="O27" s="285">
        <f>SUM(O4:O25)</f>
        <v>0</v>
      </c>
      <c r="P27" s="283">
        <f>SUM(P4:P26)</f>
        <v>0</v>
      </c>
      <c r="Q27" s="284">
        <f>SUM(Q4:Q26)</f>
        <v>0</v>
      </c>
      <c r="R27" s="284"/>
      <c r="S27" s="285">
        <f>SUM(S4:S25)</f>
        <v>0</v>
      </c>
      <c r="T27" s="283">
        <f>SUM(T4:T26)</f>
        <v>0</v>
      </c>
      <c r="U27" s="284">
        <f>SUM(U4:U26)</f>
        <v>0</v>
      </c>
      <c r="V27" s="284"/>
      <c r="W27" s="285">
        <f>SUM(W4:W25)</f>
        <v>0</v>
      </c>
      <c r="X27" s="283">
        <f>SUM(X4:X26)</f>
        <v>0</v>
      </c>
      <c r="Y27" s="284">
        <f>SUM(Y4:Y26)</f>
        <v>0</v>
      </c>
      <c r="Z27" s="284"/>
      <c r="AA27" s="285">
        <f>SUM(AA4:AA25)</f>
        <v>0</v>
      </c>
      <c r="AB27" s="283">
        <f>SUM(AB4:AB26)</f>
        <v>0</v>
      </c>
      <c r="AC27" s="284">
        <f>SUM(AC4:AC26)</f>
        <v>0</v>
      </c>
      <c r="AD27" s="284"/>
      <c r="AE27" s="285">
        <f>SUM(AE4:AE25)</f>
        <v>0</v>
      </c>
      <c r="AF27" s="283">
        <f>SUM(AF4:AF26)</f>
        <v>0</v>
      </c>
      <c r="AG27" s="284">
        <f>SUM(AG4:AG26)</f>
        <v>0</v>
      </c>
      <c r="AH27" s="284"/>
      <c r="AI27" s="285">
        <f>SUM(AI4:AI25)</f>
        <v>0</v>
      </c>
      <c r="AJ27" s="283">
        <f>SUM(AJ4:AJ26)</f>
        <v>0</v>
      </c>
      <c r="AK27" s="284">
        <f>SUM(AK4:AK26)</f>
        <v>0</v>
      </c>
      <c r="AL27" s="284"/>
      <c r="AM27" s="285">
        <f>SUM(AM4:AM25)</f>
        <v>0</v>
      </c>
      <c r="AN27" s="283">
        <f>SUM(AN4:AN26)</f>
        <v>0</v>
      </c>
      <c r="AO27" s="284">
        <f>SUM(AO4:AO26)</f>
        <v>0</v>
      </c>
      <c r="AP27" s="284"/>
      <c r="AQ27" s="285">
        <f>SUM(AQ4:AQ25)</f>
        <v>0</v>
      </c>
      <c r="AR27" s="283">
        <f>SUM(AR4:AR26)</f>
        <v>0</v>
      </c>
      <c r="AS27" s="284">
        <f>SUM(AS4:AS26)</f>
        <v>0</v>
      </c>
      <c r="AT27" s="284"/>
      <c r="AU27" s="285">
        <f>SUM(AU4:AU25)</f>
        <v>0</v>
      </c>
      <c r="AV27" s="283">
        <f>SUM(AV4:AV26)</f>
        <v>0</v>
      </c>
      <c r="AW27" s="284">
        <f>SUM(AW4:AW26)</f>
        <v>0</v>
      </c>
      <c r="AX27" s="284"/>
      <c r="AY27" s="285">
        <f>SUM(AY4:AY25)</f>
        <v>0</v>
      </c>
      <c r="AZ27" s="286">
        <f>SUM(AZ4:AZ26)</f>
        <v>0</v>
      </c>
      <c r="BA27" s="286">
        <f>SUM(BA4:BA26)</f>
        <v>0</v>
      </c>
      <c r="BB27" s="282"/>
      <c r="BC27" s="287">
        <f>SUM(BC4:BC26)</f>
        <v>0</v>
      </c>
    </row>
    <row r="28" spans="1:55" x14ac:dyDescent="0.25">
      <c r="D28" s="272"/>
      <c r="E28" s="272"/>
      <c r="F28" s="272"/>
      <c r="G28" s="272"/>
      <c r="H28" s="272"/>
      <c r="I28" s="272"/>
      <c r="J28" s="272"/>
      <c r="K28" s="272"/>
      <c r="L28" s="272"/>
      <c r="M28" s="272"/>
      <c r="N28" s="272"/>
      <c r="O28" s="272"/>
      <c r="P28" s="272"/>
      <c r="Q28" s="272"/>
      <c r="R28" s="272"/>
      <c r="S28" s="272"/>
      <c r="T28" s="272"/>
      <c r="U28" s="272"/>
      <c r="V28" s="272"/>
      <c r="W28" s="272"/>
      <c r="X28" s="272"/>
      <c r="Y28" s="272"/>
      <c r="Z28" s="272"/>
      <c r="AA28" s="272"/>
      <c r="AB28" s="272"/>
      <c r="AC28" s="272"/>
      <c r="AD28" s="272"/>
      <c r="AE28" s="272"/>
      <c r="AF28" s="272"/>
      <c r="AG28" s="272"/>
      <c r="AH28" s="272"/>
      <c r="AI28" s="272"/>
      <c r="AJ28" s="272"/>
      <c r="AK28" s="272"/>
      <c r="AL28" s="272"/>
      <c r="AM28" s="272"/>
      <c r="AN28" s="272"/>
      <c r="AO28" s="272"/>
      <c r="AP28" s="272"/>
      <c r="AQ28" s="272"/>
      <c r="AR28" s="272"/>
      <c r="AS28" s="272"/>
      <c r="AT28" s="272"/>
      <c r="AU28" s="272"/>
      <c r="AV28" s="272"/>
      <c r="AW28" s="272"/>
      <c r="AX28" s="272"/>
      <c r="AY28" s="272"/>
      <c r="AZ28" s="288">
        <f>D27+H27+L27+P27+T27+X27+AB27+AF27+AJ27+AN27+AR27+AV27</f>
        <v>0</v>
      </c>
      <c r="BA28" s="288">
        <f>E27+I27+M27+Q27+U27+Y27+AC27+AG27+AK27+AO27+AS27+AW27</f>
        <v>0</v>
      </c>
      <c r="BC28" s="288">
        <f>G27+K27+O27+S27+W27+AA27+AE27+AI27+AM27+AQ27+AU27+AY27</f>
        <v>0</v>
      </c>
    </row>
    <row r="29" spans="1:55" x14ac:dyDescent="0.25">
      <c r="A29" s="272" t="s">
        <v>2</v>
      </c>
      <c r="B29" s="289" t="s">
        <v>172</v>
      </c>
      <c r="C29" s="272"/>
      <c r="D29" s="272">
        <f>SUMIF($B$4:$B$26,$B$29,D4:D26)</f>
        <v>0</v>
      </c>
      <c r="E29" s="272"/>
      <c r="F29" s="272"/>
      <c r="G29" s="272">
        <f>SUMIF($B$4:$B$25,$B$29,G4:G25)</f>
        <v>0</v>
      </c>
      <c r="H29" s="272">
        <f>SUMIF($B$4:$B$26,$B$29,H4:H26)</f>
        <v>0</v>
      </c>
      <c r="I29" s="272"/>
      <c r="J29" s="272"/>
      <c r="K29" s="272">
        <f>SUMIF($B$4:$B$25,$B$29,K4:K25)</f>
        <v>0</v>
      </c>
      <c r="L29" s="272">
        <f>SUMIF($B$4:$B$26,$B$29,L4:L26)</f>
        <v>0</v>
      </c>
      <c r="M29" s="272"/>
      <c r="N29" s="272"/>
      <c r="O29" s="272">
        <f>SUMIF($B$4:$B$25,$B$29,O4:O25)</f>
        <v>0</v>
      </c>
      <c r="P29" s="272">
        <f>SUMIF($B$4:$B$26,$B$29,P4:P26)</f>
        <v>0</v>
      </c>
      <c r="Q29" s="272"/>
      <c r="R29" s="272"/>
      <c r="S29" s="272">
        <f>SUMIF($B$4:$B$25,$B$29,S4:S25)</f>
        <v>0</v>
      </c>
      <c r="T29" s="272">
        <f>SUMIF($B$4:$B$26,$B$29,T4:T26)</f>
        <v>0</v>
      </c>
      <c r="U29" s="272"/>
      <c r="V29" s="272"/>
      <c r="W29" s="272">
        <f>SUMIF($B$4:$B$25,$B$29,W4:W25)</f>
        <v>0</v>
      </c>
      <c r="X29" s="272">
        <f>SUMIF($B$4:$B$26,$B$29,X4:X26)</f>
        <v>0</v>
      </c>
      <c r="Y29" s="272"/>
      <c r="Z29" s="272"/>
      <c r="AA29" s="272">
        <f>SUMIF($B$4:$B$25,$B$29,AA4:AA25)</f>
        <v>0</v>
      </c>
      <c r="AB29" s="272">
        <f>SUMIF($B$4:$B$26,$B$29,AB4:AB26)</f>
        <v>0</v>
      </c>
      <c r="AC29" s="272"/>
      <c r="AD29" s="272"/>
      <c r="AE29" s="272">
        <f>SUMIF($B$4:$B$25,$B$29,AE4:AE25)</f>
        <v>0</v>
      </c>
      <c r="AF29" s="272">
        <f>SUMIF($B$4:$B$26,$B$29,AF4:AF26)</f>
        <v>0</v>
      </c>
      <c r="AG29" s="272"/>
      <c r="AH29" s="272"/>
      <c r="AI29" s="272">
        <f>SUMIF($B$4:$B$25,$B$29,AI4:AI25)</f>
        <v>0</v>
      </c>
      <c r="AJ29" s="272">
        <f>SUMIF($B$4:$B$26,$B$29,AJ4:AJ26)</f>
        <v>0</v>
      </c>
      <c r="AK29" s="272"/>
      <c r="AL29" s="272"/>
      <c r="AM29" s="272">
        <f>SUMIF($B$4:$B$25,$B$29,AM4:AM25)</f>
        <v>0</v>
      </c>
      <c r="AN29" s="272">
        <f>SUMIF($B$4:$B$26,$B$29,AN4:AN26)</f>
        <v>0</v>
      </c>
      <c r="AO29" s="272"/>
      <c r="AP29" s="272"/>
      <c r="AQ29" s="272">
        <f>SUMIF($B$4:$B$25,$B$29,AQ4:AQ25)</f>
        <v>0</v>
      </c>
      <c r="AR29" s="272">
        <f>SUMIF($B$4:$B$26,$B$29,AR4:AR26)</f>
        <v>0</v>
      </c>
      <c r="AS29" s="272"/>
      <c r="AT29" s="272"/>
      <c r="AU29" s="272">
        <f>SUMIF($B$4:$B$25,$B$29,AU4:AU25)</f>
        <v>0</v>
      </c>
      <c r="AV29" s="272">
        <f>SUMIF($B$4:$B$26,$B$29,AV4:AV26)</f>
        <v>0</v>
      </c>
      <c r="AW29" s="272"/>
      <c r="AX29" s="272"/>
      <c r="AY29" s="272">
        <f>SUMIF($B$4:$B$25,$B$29,AY4:AY25)</f>
        <v>0</v>
      </c>
      <c r="AZ29" s="272">
        <f>SUMIF($B$4:$B$25,$B$29,AZ4:AZ25)</f>
        <v>0</v>
      </c>
      <c r="BA29" s="272"/>
      <c r="BB29" s="272"/>
      <c r="BC29" s="272">
        <f>SUMIF($B$4:$B$25,$B$29,BC4:BC25)</f>
        <v>0</v>
      </c>
    </row>
    <row r="30" spans="1:55" x14ac:dyDescent="0.25">
      <c r="A30" s="272"/>
      <c r="B30" s="272"/>
      <c r="C30" s="272"/>
      <c r="D30" s="272"/>
      <c r="E30" s="272"/>
      <c r="F30" s="272"/>
      <c r="G30" s="272"/>
      <c r="H30" s="272"/>
      <c r="I30" s="272"/>
      <c r="J30" s="272"/>
      <c r="K30" s="272"/>
      <c r="L30" s="272"/>
      <c r="M30" s="272"/>
      <c r="N30" s="272"/>
      <c r="O30" s="272"/>
      <c r="P30" s="272"/>
      <c r="Q30" s="272"/>
      <c r="R30" s="272"/>
      <c r="S30" s="272"/>
      <c r="T30" s="272"/>
      <c r="U30" s="272"/>
      <c r="V30" s="272"/>
      <c r="W30" s="272"/>
      <c r="X30" s="272"/>
      <c r="Y30" s="272"/>
      <c r="Z30" s="272"/>
      <c r="AA30" s="272"/>
      <c r="AB30" s="272"/>
      <c r="AC30" s="272"/>
      <c r="AD30" s="272"/>
      <c r="AE30" s="272"/>
      <c r="AF30" s="272"/>
      <c r="AG30" s="272"/>
      <c r="AH30" s="272"/>
      <c r="AI30" s="272"/>
      <c r="AJ30" s="272"/>
      <c r="AK30" s="272"/>
      <c r="AL30" s="272"/>
      <c r="AM30" s="272"/>
      <c r="AN30" s="272"/>
      <c r="AO30" s="272"/>
      <c r="AP30" s="272"/>
      <c r="AQ30" s="272"/>
      <c r="AR30" s="272"/>
      <c r="AS30" s="272"/>
      <c r="AT30" s="272"/>
      <c r="AU30" s="272"/>
      <c r="AV30" s="272"/>
      <c r="AW30" s="272"/>
      <c r="AX30" s="272"/>
      <c r="AY30" s="272"/>
      <c r="AZ30" s="272"/>
      <c r="BA30" s="272"/>
      <c r="BB30" s="272"/>
      <c r="BC30" s="272"/>
    </row>
    <row r="31" spans="1:55" ht="15.75" thickBot="1" x14ac:dyDescent="0.3">
      <c r="A31" s="272" t="s">
        <v>2</v>
      </c>
      <c r="B31" s="272" t="s">
        <v>170</v>
      </c>
      <c r="C31" s="272"/>
      <c r="D31" s="290">
        <f>SUMIF($B$4:$B$26,$B$31,D4:D26)</f>
        <v>0</v>
      </c>
      <c r="E31" s="290"/>
      <c r="F31" s="290"/>
      <c r="G31" s="290">
        <f>SUMIF($B$4:$B$25,$B$31,G4:G25)</f>
        <v>0</v>
      </c>
      <c r="H31" s="290">
        <f>SUMIF($B$4:$B$26,$B$31,H4:H26)</f>
        <v>0</v>
      </c>
      <c r="I31" s="290"/>
      <c r="J31" s="290"/>
      <c r="K31" s="290">
        <f>SUMIF($B$4:$B$25,$B$31,K4:K25)</f>
        <v>0</v>
      </c>
      <c r="L31" s="290">
        <f>SUMIF($B$4:$B$26,$B$31,L4:L26)</f>
        <v>0</v>
      </c>
      <c r="M31" s="290"/>
      <c r="N31" s="290"/>
      <c r="O31" s="290">
        <f>SUMIF($B$4:$B$25,$B$31,O4:O25)</f>
        <v>0</v>
      </c>
      <c r="P31" s="290">
        <f>SUMIF($B$4:$B$26,$B$31,P4:P26)</f>
        <v>0</v>
      </c>
      <c r="Q31" s="290"/>
      <c r="R31" s="290"/>
      <c r="S31" s="290">
        <f>SUMIF($B$4:$B$25,$B$31,S4:S25)</f>
        <v>0</v>
      </c>
      <c r="T31" s="290">
        <f>SUMIF($B$4:$B$26,$B$31,T4:T26)</f>
        <v>0</v>
      </c>
      <c r="U31" s="290"/>
      <c r="V31" s="290"/>
      <c r="W31" s="290">
        <f>SUMIF($B$4:$B$25,$B$31,W4:W25)</f>
        <v>0</v>
      </c>
      <c r="X31" s="290">
        <f>SUMIF($B$4:$B$26,$B$31,X4:X26)</f>
        <v>0</v>
      </c>
      <c r="Y31" s="290"/>
      <c r="Z31" s="290"/>
      <c r="AA31" s="290">
        <f>SUMIF($B$4:$B$25,$B$31,AA4:AA25)</f>
        <v>0</v>
      </c>
      <c r="AB31" s="290">
        <f>SUMIF($B$4:$B$26,$B$31,AB4:AB26)</f>
        <v>0</v>
      </c>
      <c r="AC31" s="290"/>
      <c r="AD31" s="290"/>
      <c r="AE31" s="290">
        <f>SUMIF($B$4:$B$25,$B$31,AE4:AE25)</f>
        <v>0</v>
      </c>
      <c r="AF31" s="290">
        <f>SUMIF($B$4:$B$26,$B$31,AF4:AF26)</f>
        <v>0</v>
      </c>
      <c r="AG31" s="290"/>
      <c r="AH31" s="290"/>
      <c r="AI31" s="290">
        <f>SUMIF($B$4:$B$25,$B$31,AI4:AI25)</f>
        <v>0</v>
      </c>
      <c r="AJ31" s="290">
        <f>SUMIF($B$4:$B$26,$B$31,AJ4:AJ26)</f>
        <v>0</v>
      </c>
      <c r="AK31" s="290"/>
      <c r="AL31" s="290"/>
      <c r="AM31" s="290">
        <f>SUMIF($B$4:$B$25,$B$31,AM4:AM25)</f>
        <v>0</v>
      </c>
      <c r="AN31" s="290">
        <f>SUMIF($B$4:$B$26,$B$31,AN4:AN26)</f>
        <v>0</v>
      </c>
      <c r="AO31" s="290"/>
      <c r="AP31" s="290"/>
      <c r="AQ31" s="290">
        <f>SUMIF($B$4:$B$25,$B$31,AQ4:AQ25)</f>
        <v>0</v>
      </c>
      <c r="AR31" s="290">
        <f>SUMIF($B$4:$B$26,$B$31,AR4:AR26)</f>
        <v>0</v>
      </c>
      <c r="AS31" s="290"/>
      <c r="AT31" s="290"/>
      <c r="AU31" s="290">
        <f>SUMIF($B$4:$B$25,$B$31,AU4:AU25)</f>
        <v>0</v>
      </c>
      <c r="AV31" s="290">
        <f>SUMIF($B$4:$B$26,$B$31,AV4:AV26)</f>
        <v>0</v>
      </c>
      <c r="AW31" s="290"/>
      <c r="AX31" s="290"/>
      <c r="AY31" s="290">
        <f>SUMIF($B$4:$B$25,$B$31,AY4:AY25)</f>
        <v>0</v>
      </c>
      <c r="AZ31" s="290">
        <f>SUMIF($B$4:$B$25,$B$31,AZ4:AZ25)</f>
        <v>0</v>
      </c>
      <c r="BA31" s="290"/>
      <c r="BB31" s="290"/>
      <c r="BC31" s="290">
        <f>SUMIF($B$4:$B$25,$B$31,BC4:BC25)</f>
        <v>0</v>
      </c>
    </row>
    <row r="32" spans="1:55" x14ac:dyDescent="0.25">
      <c r="A32" s="272"/>
      <c r="B32" s="272" t="s">
        <v>2</v>
      </c>
      <c r="C32" s="272"/>
      <c r="D32" s="272">
        <f>D29+D31</f>
        <v>0</v>
      </c>
      <c r="E32" s="272"/>
      <c r="F32" s="272"/>
      <c r="G32" s="272">
        <f>G29+G31</f>
        <v>0</v>
      </c>
      <c r="H32" s="272">
        <f>H29+H31</f>
        <v>0</v>
      </c>
      <c r="I32" s="272"/>
      <c r="J32" s="272"/>
      <c r="K32" s="272">
        <f>K29+K31</f>
        <v>0</v>
      </c>
      <c r="L32" s="272">
        <f>L29+L31</f>
        <v>0</v>
      </c>
      <c r="M32" s="272"/>
      <c r="N32" s="272"/>
      <c r="O32" s="272">
        <f>O29+O31</f>
        <v>0</v>
      </c>
      <c r="P32" s="272">
        <f>P29+P31</f>
        <v>0</v>
      </c>
      <c r="Q32" s="272"/>
      <c r="R32" s="272"/>
      <c r="S32" s="272">
        <f>S29+S31</f>
        <v>0</v>
      </c>
      <c r="T32" s="272">
        <f>T29+T31</f>
        <v>0</v>
      </c>
      <c r="U32" s="272"/>
      <c r="V32" s="272"/>
      <c r="W32" s="272">
        <f>W29+W31</f>
        <v>0</v>
      </c>
      <c r="X32" s="272">
        <f>X29+X31</f>
        <v>0</v>
      </c>
      <c r="Y32" s="272"/>
      <c r="Z32" s="272"/>
      <c r="AA32" s="272">
        <f>AA29+AA31</f>
        <v>0</v>
      </c>
      <c r="AB32" s="272">
        <f>AB29+AB31</f>
        <v>0</v>
      </c>
      <c r="AC32" s="272"/>
      <c r="AD32" s="272"/>
      <c r="AE32" s="272">
        <f>AE29+AE31</f>
        <v>0</v>
      </c>
      <c r="AF32" s="272">
        <f>AF29+AF31</f>
        <v>0</v>
      </c>
      <c r="AG32" s="272"/>
      <c r="AH32" s="272"/>
      <c r="AI32" s="272">
        <f>AI29+AI31</f>
        <v>0</v>
      </c>
      <c r="AJ32" s="272">
        <f>AJ29+AJ31</f>
        <v>0</v>
      </c>
      <c r="AK32" s="272"/>
      <c r="AL32" s="272"/>
      <c r="AM32" s="272">
        <f>AM29+AM31</f>
        <v>0</v>
      </c>
      <c r="AN32" s="272">
        <f>AN29+AN31</f>
        <v>0</v>
      </c>
      <c r="AO32" s="272"/>
      <c r="AP32" s="272"/>
      <c r="AQ32" s="272">
        <f>AQ29+AQ31</f>
        <v>0</v>
      </c>
      <c r="AR32" s="272">
        <f>AR29+AR31</f>
        <v>0</v>
      </c>
      <c r="AS32" s="272"/>
      <c r="AT32" s="272"/>
      <c r="AU32" s="272">
        <f>AU29+AU31</f>
        <v>0</v>
      </c>
      <c r="AV32" s="272">
        <f>AV29+AV31</f>
        <v>0</v>
      </c>
      <c r="AW32" s="272"/>
      <c r="AX32" s="272"/>
      <c r="AY32" s="272">
        <f>AY29+AY31</f>
        <v>0</v>
      </c>
      <c r="AZ32" s="272">
        <f>AZ29+AZ31</f>
        <v>0</v>
      </c>
      <c r="BA32" s="272"/>
      <c r="BB32" s="272"/>
      <c r="BC32" s="272">
        <f>BC29+BC31</f>
        <v>0</v>
      </c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FE759-DF45-4552-A0C5-80F22B53DB8A}">
  <sheetPr codeName="Sheet24">
    <tabColor theme="0" tint="-0.14999847407452621"/>
  </sheetPr>
  <dimension ref="A1:BC32"/>
  <sheetViews>
    <sheetView workbookViewId="0">
      <pane xSplit="3" ySplit="3" topLeftCell="D4" activePane="bottomRight" state="frozen"/>
      <selection activeCell="B49" sqref="B49"/>
      <selection pane="topRight" activeCell="B49" sqref="B49"/>
      <selection pane="bottomLeft" activeCell="B49" sqref="B49"/>
      <selection pane="bottomRight" activeCell="B49" sqref="B49"/>
    </sheetView>
  </sheetViews>
  <sheetFormatPr defaultColWidth="9.140625" defaultRowHeight="15" x14ac:dyDescent="0.25"/>
  <cols>
    <col min="2" max="2" width="10.7109375" bestFit="1" customWidth="1"/>
    <col min="3" max="3" width="13.85546875" bestFit="1" customWidth="1"/>
    <col min="4" max="5" width="9.7109375" bestFit="1" customWidth="1"/>
    <col min="6" max="6" width="10.5703125" bestFit="1" customWidth="1"/>
    <col min="7" max="7" width="11.85546875" customWidth="1"/>
    <col min="8" max="8" width="9.85546875" customWidth="1"/>
    <col min="9" max="9" width="9.5703125" customWidth="1"/>
    <col min="11" max="11" width="13.28515625" style="294" customWidth="1"/>
    <col min="12" max="12" width="9.28515625" bestFit="1" customWidth="1"/>
    <col min="13" max="13" width="9.42578125" customWidth="1"/>
    <col min="14" max="14" width="9.28515625" bestFit="1" customWidth="1"/>
    <col min="15" max="15" width="11.7109375" style="291" customWidth="1"/>
    <col min="16" max="18" width="10.7109375" customWidth="1"/>
    <col min="19" max="19" width="12.140625" customWidth="1"/>
    <col min="52" max="52" width="11.140625" customWidth="1"/>
    <col min="53" max="53" width="10.28515625" bestFit="1" customWidth="1"/>
    <col min="55" max="55" width="16.140625" customWidth="1"/>
  </cols>
  <sheetData>
    <row r="1" spans="1:55" ht="15.75" thickBot="1" x14ac:dyDescent="0.3">
      <c r="A1" s="150" t="str">
        <f>Summary_2!B1</f>
        <v>Waipuna</v>
      </c>
    </row>
    <row r="2" spans="1:55" s="150" customFormat="1" x14ac:dyDescent="0.25">
      <c r="B2" s="255"/>
      <c r="C2" s="256"/>
      <c r="D2" s="257">
        <v>45658</v>
      </c>
      <c r="E2" s="256"/>
      <c r="F2" s="256"/>
      <c r="G2" s="258"/>
      <c r="H2" s="257">
        <v>45689</v>
      </c>
      <c r="I2" s="259"/>
      <c r="J2" s="259"/>
      <c r="K2" s="295"/>
      <c r="L2" s="257">
        <v>45717</v>
      </c>
      <c r="M2" s="256"/>
      <c r="N2" s="256"/>
      <c r="O2" s="292"/>
      <c r="P2" s="257">
        <v>45748</v>
      </c>
      <c r="Q2" s="256"/>
      <c r="R2" s="256"/>
      <c r="S2" s="258"/>
      <c r="T2" s="257">
        <v>45778</v>
      </c>
      <c r="U2" s="256"/>
      <c r="V2" s="256"/>
      <c r="W2" s="258"/>
      <c r="X2" s="257">
        <v>45809</v>
      </c>
      <c r="Y2" s="256"/>
      <c r="Z2" s="256"/>
      <c r="AA2" s="258"/>
      <c r="AB2" s="257">
        <v>45839</v>
      </c>
      <c r="AC2" s="256"/>
      <c r="AD2" s="256"/>
      <c r="AE2" s="258"/>
      <c r="AF2" s="257">
        <v>45870</v>
      </c>
      <c r="AG2" s="256"/>
      <c r="AH2" s="256"/>
      <c r="AI2" s="258"/>
      <c r="AJ2" s="257">
        <v>45901</v>
      </c>
      <c r="AK2" s="256"/>
      <c r="AL2" s="256"/>
      <c r="AM2" s="258"/>
      <c r="AN2" s="257">
        <v>45931</v>
      </c>
      <c r="AO2" s="256"/>
      <c r="AP2" s="256"/>
      <c r="AQ2" s="258"/>
      <c r="AR2" s="257">
        <v>45962</v>
      </c>
      <c r="AS2" s="256"/>
      <c r="AT2" s="256"/>
      <c r="AU2" s="258"/>
      <c r="AV2" s="257">
        <v>45992</v>
      </c>
      <c r="AW2" s="256"/>
      <c r="AX2" s="256"/>
      <c r="AY2" s="258"/>
      <c r="AZ2" s="256" t="s">
        <v>123</v>
      </c>
      <c r="BA2" s="256"/>
      <c r="BB2" s="256"/>
      <c r="BC2" s="260"/>
    </row>
    <row r="3" spans="1:55" s="269" customFormat="1" ht="30.75" thickBot="1" x14ac:dyDescent="0.3">
      <c r="B3" s="261" t="s">
        <v>165</v>
      </c>
      <c r="C3" s="262" t="s">
        <v>13</v>
      </c>
      <c r="D3" s="263" t="s">
        <v>166</v>
      </c>
      <c r="E3" s="264" t="s">
        <v>167</v>
      </c>
      <c r="F3" s="264" t="s">
        <v>168</v>
      </c>
      <c r="G3" s="265" t="s">
        <v>169</v>
      </c>
      <c r="H3" s="266" t="s">
        <v>166</v>
      </c>
      <c r="I3" s="267" t="s">
        <v>167</v>
      </c>
      <c r="J3" s="267" t="s">
        <v>168</v>
      </c>
      <c r="K3" s="296" t="s">
        <v>169</v>
      </c>
      <c r="L3" s="263" t="s">
        <v>166</v>
      </c>
      <c r="M3" s="264" t="s">
        <v>167</v>
      </c>
      <c r="N3" s="264" t="s">
        <v>168</v>
      </c>
      <c r="O3" s="293" t="s">
        <v>169</v>
      </c>
      <c r="P3" s="263" t="s">
        <v>166</v>
      </c>
      <c r="Q3" s="264" t="s">
        <v>167</v>
      </c>
      <c r="R3" s="264" t="s">
        <v>168</v>
      </c>
      <c r="S3" s="265" t="s">
        <v>169</v>
      </c>
      <c r="T3" s="263" t="s">
        <v>166</v>
      </c>
      <c r="U3" s="264" t="s">
        <v>167</v>
      </c>
      <c r="V3" s="264" t="s">
        <v>168</v>
      </c>
      <c r="W3" s="265" t="s">
        <v>169</v>
      </c>
      <c r="X3" s="263" t="s">
        <v>166</v>
      </c>
      <c r="Y3" s="264" t="s">
        <v>167</v>
      </c>
      <c r="Z3" s="264" t="s">
        <v>168</v>
      </c>
      <c r="AA3" s="265" t="s">
        <v>169</v>
      </c>
      <c r="AB3" s="263" t="s">
        <v>166</v>
      </c>
      <c r="AC3" s="264" t="s">
        <v>167</v>
      </c>
      <c r="AD3" s="264" t="s">
        <v>168</v>
      </c>
      <c r="AE3" s="265" t="s">
        <v>169</v>
      </c>
      <c r="AF3" s="263" t="s">
        <v>166</v>
      </c>
      <c r="AG3" s="264" t="s">
        <v>167</v>
      </c>
      <c r="AH3" s="264" t="s">
        <v>168</v>
      </c>
      <c r="AI3" s="265" t="s">
        <v>169</v>
      </c>
      <c r="AJ3" s="263" t="s">
        <v>166</v>
      </c>
      <c r="AK3" s="264" t="s">
        <v>167</v>
      </c>
      <c r="AL3" s="264" t="s">
        <v>168</v>
      </c>
      <c r="AM3" s="265" t="s">
        <v>169</v>
      </c>
      <c r="AN3" s="263" t="s">
        <v>166</v>
      </c>
      <c r="AO3" s="264" t="s">
        <v>167</v>
      </c>
      <c r="AP3" s="264" t="s">
        <v>168</v>
      </c>
      <c r="AQ3" s="265" t="s">
        <v>169</v>
      </c>
      <c r="AR3" s="263" t="s">
        <v>166</v>
      </c>
      <c r="AS3" s="264" t="s">
        <v>167</v>
      </c>
      <c r="AT3" s="264" t="s">
        <v>168</v>
      </c>
      <c r="AU3" s="265" t="s">
        <v>169</v>
      </c>
      <c r="AV3" s="263" t="s">
        <v>166</v>
      </c>
      <c r="AW3" s="264" t="s">
        <v>167</v>
      </c>
      <c r="AX3" s="264" t="s">
        <v>168</v>
      </c>
      <c r="AY3" s="265" t="s">
        <v>169</v>
      </c>
      <c r="AZ3" s="264" t="s">
        <v>166</v>
      </c>
      <c r="BA3" s="264" t="s">
        <v>167</v>
      </c>
      <c r="BB3" s="264" t="s">
        <v>168</v>
      </c>
      <c r="BC3" s="268" t="s">
        <v>169</v>
      </c>
    </row>
    <row r="4" spans="1:55" x14ac:dyDescent="0.25">
      <c r="B4" s="270" t="s">
        <v>172</v>
      </c>
      <c r="C4" s="68" t="s">
        <v>20</v>
      </c>
      <c r="D4" s="271"/>
      <c r="E4" s="272"/>
      <c r="F4" s="272"/>
      <c r="G4" s="273">
        <f t="shared" ref="G4:G12" si="0">D4*F4</f>
        <v>0</v>
      </c>
      <c r="H4" s="274"/>
      <c r="I4" s="275"/>
      <c r="J4" s="275"/>
      <c r="K4" s="297">
        <f t="shared" ref="K4:K12" si="1">H4*J4</f>
        <v>0</v>
      </c>
      <c r="L4" s="274"/>
      <c r="M4" s="275"/>
      <c r="N4" s="275"/>
      <c r="O4" s="299">
        <f t="shared" ref="O4:O12" si="2">L4*N4</f>
        <v>0</v>
      </c>
      <c r="P4" s="277"/>
      <c r="S4" s="278"/>
      <c r="T4" s="277"/>
      <c r="W4" s="278"/>
      <c r="X4" s="277"/>
      <c r="AA4" s="278"/>
      <c r="AB4" s="277"/>
      <c r="AE4" s="278"/>
      <c r="AF4" s="277"/>
      <c r="AI4" s="278"/>
      <c r="AJ4" s="277"/>
      <c r="AM4" s="278"/>
      <c r="AN4" s="277"/>
      <c r="AQ4" s="278"/>
      <c r="AR4" s="277"/>
      <c r="AU4" s="278"/>
      <c r="AV4" s="277"/>
      <c r="AZ4" s="271">
        <f t="shared" ref="AZ4:AZ26" si="3">SUM(D4,H4,L4,P4,T4,X4,AB4,AF4,AJ4,AN4,AR4,AV4)</f>
        <v>0</v>
      </c>
      <c r="BA4" s="272">
        <f t="shared" ref="BA4:BA26" si="4">SUM(E4,I4,M4,Q4,U4,Y4,AC4,AG4,AK4,AO4,AS4,AW4)</f>
        <v>0</v>
      </c>
      <c r="BC4" s="279">
        <f t="shared" ref="BC4:BC26" si="5">SUM(G4,K4,O4,S4,W4,AA4,AE4,AI4,AM4,AQ4,AU4,AY4)</f>
        <v>0</v>
      </c>
    </row>
    <row r="5" spans="1:55" x14ac:dyDescent="0.25">
      <c r="B5" s="270" t="s">
        <v>172</v>
      </c>
      <c r="C5" s="68" t="s">
        <v>22</v>
      </c>
      <c r="D5" s="271"/>
      <c r="E5" s="272"/>
      <c r="F5" s="272"/>
      <c r="G5" s="273">
        <f t="shared" si="0"/>
        <v>0</v>
      </c>
      <c r="H5" s="274"/>
      <c r="I5" s="275"/>
      <c r="J5" s="275"/>
      <c r="K5" s="297">
        <f t="shared" si="1"/>
        <v>0</v>
      </c>
      <c r="L5" s="274"/>
      <c r="M5" s="275"/>
      <c r="N5" s="275"/>
      <c r="O5" s="299">
        <f t="shared" si="2"/>
        <v>0</v>
      </c>
      <c r="P5" s="277"/>
      <c r="S5" s="278"/>
      <c r="T5" s="277"/>
      <c r="W5" s="278"/>
      <c r="X5" s="277"/>
      <c r="AA5" s="278"/>
      <c r="AB5" s="277"/>
      <c r="AE5" s="278"/>
      <c r="AF5" s="277"/>
      <c r="AI5" s="278"/>
      <c r="AJ5" s="277"/>
      <c r="AM5" s="278"/>
      <c r="AN5" s="277"/>
      <c r="AQ5" s="278"/>
      <c r="AR5" s="277"/>
      <c r="AU5" s="278"/>
      <c r="AV5" s="277"/>
      <c r="AZ5" s="271">
        <f t="shared" si="3"/>
        <v>0</v>
      </c>
      <c r="BA5" s="272">
        <f t="shared" si="4"/>
        <v>0</v>
      </c>
      <c r="BC5" s="279">
        <f t="shared" si="5"/>
        <v>0</v>
      </c>
    </row>
    <row r="6" spans="1:55" x14ac:dyDescent="0.25">
      <c r="B6" s="270" t="s">
        <v>172</v>
      </c>
      <c r="C6" s="68" t="s">
        <v>25</v>
      </c>
      <c r="D6" s="271"/>
      <c r="E6" s="272"/>
      <c r="F6" s="272"/>
      <c r="G6" s="273">
        <f t="shared" si="0"/>
        <v>0</v>
      </c>
      <c r="H6" s="274"/>
      <c r="I6" s="275"/>
      <c r="J6" s="275"/>
      <c r="K6" s="297">
        <f t="shared" si="1"/>
        <v>0</v>
      </c>
      <c r="L6" s="274"/>
      <c r="M6" s="275"/>
      <c r="N6" s="275"/>
      <c r="O6" s="299">
        <f t="shared" si="2"/>
        <v>0</v>
      </c>
      <c r="P6" s="277"/>
      <c r="S6" s="278"/>
      <c r="T6" s="277"/>
      <c r="W6" s="278"/>
      <c r="X6" s="277"/>
      <c r="AA6" s="278"/>
      <c r="AB6" s="277"/>
      <c r="AE6" s="278"/>
      <c r="AF6" s="277"/>
      <c r="AI6" s="278"/>
      <c r="AJ6" s="277"/>
      <c r="AM6" s="278"/>
      <c r="AN6" s="277"/>
      <c r="AQ6" s="278"/>
      <c r="AR6" s="277"/>
      <c r="AU6" s="278"/>
      <c r="AV6" s="277"/>
      <c r="AZ6" s="271">
        <f t="shared" si="3"/>
        <v>0</v>
      </c>
      <c r="BA6" s="272">
        <f t="shared" si="4"/>
        <v>0</v>
      </c>
      <c r="BC6" s="279">
        <f t="shared" si="5"/>
        <v>0</v>
      </c>
    </row>
    <row r="7" spans="1:55" x14ac:dyDescent="0.25">
      <c r="B7" s="270" t="s">
        <v>172</v>
      </c>
      <c r="C7" s="68" t="s">
        <v>30</v>
      </c>
      <c r="D7" s="271"/>
      <c r="E7" s="272"/>
      <c r="F7" s="272"/>
      <c r="G7" s="273">
        <f t="shared" si="0"/>
        <v>0</v>
      </c>
      <c r="H7" s="274"/>
      <c r="I7" s="275"/>
      <c r="J7" s="275"/>
      <c r="K7" s="297">
        <f t="shared" si="1"/>
        <v>0</v>
      </c>
      <c r="L7" s="274"/>
      <c r="M7" s="275"/>
      <c r="N7" s="275"/>
      <c r="O7" s="299">
        <f t="shared" si="2"/>
        <v>0</v>
      </c>
      <c r="P7" s="277"/>
      <c r="S7" s="278"/>
      <c r="T7" s="277"/>
      <c r="W7" s="278"/>
      <c r="X7" s="277"/>
      <c r="AA7" s="278"/>
      <c r="AB7" s="277"/>
      <c r="AE7" s="278"/>
      <c r="AF7" s="277"/>
      <c r="AI7" s="278"/>
      <c r="AJ7" s="277"/>
      <c r="AM7" s="278"/>
      <c r="AN7" s="277"/>
      <c r="AQ7" s="278"/>
      <c r="AR7" s="277"/>
      <c r="AU7" s="278"/>
      <c r="AV7" s="277"/>
      <c r="AZ7" s="271">
        <f t="shared" si="3"/>
        <v>0</v>
      </c>
      <c r="BA7" s="272">
        <f t="shared" si="4"/>
        <v>0</v>
      </c>
      <c r="BC7" s="279">
        <f t="shared" si="5"/>
        <v>0</v>
      </c>
    </row>
    <row r="8" spans="1:55" x14ac:dyDescent="0.25">
      <c r="B8" s="270" t="s">
        <v>172</v>
      </c>
      <c r="C8" s="68" t="s">
        <v>222</v>
      </c>
      <c r="D8" s="271"/>
      <c r="E8" s="272"/>
      <c r="F8" s="272"/>
      <c r="G8" s="273">
        <f t="shared" si="0"/>
        <v>0</v>
      </c>
      <c r="H8" s="274"/>
      <c r="I8" s="275"/>
      <c r="J8" s="275"/>
      <c r="K8" s="297">
        <f t="shared" si="1"/>
        <v>0</v>
      </c>
      <c r="L8" s="274"/>
      <c r="M8" s="275"/>
      <c r="N8" s="275"/>
      <c r="O8" s="299">
        <f t="shared" si="2"/>
        <v>0</v>
      </c>
      <c r="P8" s="277"/>
      <c r="S8" s="278"/>
      <c r="T8" s="277"/>
      <c r="W8" s="278"/>
      <c r="X8" s="277"/>
      <c r="AA8" s="278"/>
      <c r="AB8" s="277"/>
      <c r="AE8" s="278"/>
      <c r="AF8" s="277"/>
      <c r="AI8" s="278"/>
      <c r="AJ8" s="277"/>
      <c r="AM8" s="278"/>
      <c r="AN8" s="277"/>
      <c r="AQ8" s="278"/>
      <c r="AR8" s="277"/>
      <c r="AU8" s="278"/>
      <c r="AV8" s="277"/>
      <c r="AZ8" s="271">
        <f t="shared" si="3"/>
        <v>0</v>
      </c>
      <c r="BA8" s="272">
        <f t="shared" si="4"/>
        <v>0</v>
      </c>
      <c r="BC8" s="279">
        <f t="shared" si="5"/>
        <v>0</v>
      </c>
    </row>
    <row r="9" spans="1:55" x14ac:dyDescent="0.25">
      <c r="B9" s="270" t="s">
        <v>172</v>
      </c>
      <c r="C9" s="68" t="s">
        <v>34</v>
      </c>
      <c r="D9" s="271"/>
      <c r="E9" s="272"/>
      <c r="F9" s="272"/>
      <c r="G9" s="273">
        <f t="shared" si="0"/>
        <v>0</v>
      </c>
      <c r="H9" s="274"/>
      <c r="I9" s="275"/>
      <c r="J9" s="275"/>
      <c r="K9" s="297">
        <f t="shared" si="1"/>
        <v>0</v>
      </c>
      <c r="L9" s="274"/>
      <c r="M9" s="275"/>
      <c r="N9" s="275"/>
      <c r="O9" s="299">
        <f t="shared" si="2"/>
        <v>0</v>
      </c>
      <c r="P9" s="277"/>
      <c r="S9" s="278"/>
      <c r="T9" s="277"/>
      <c r="W9" s="278"/>
      <c r="X9" s="277"/>
      <c r="AA9" s="278"/>
      <c r="AB9" s="277"/>
      <c r="AE9" s="278"/>
      <c r="AF9" s="277"/>
      <c r="AI9" s="278"/>
      <c r="AJ9" s="277"/>
      <c r="AM9" s="278"/>
      <c r="AN9" s="277"/>
      <c r="AQ9" s="278"/>
      <c r="AR9" s="277"/>
      <c r="AU9" s="278"/>
      <c r="AV9" s="277"/>
      <c r="AZ9" s="271">
        <f t="shared" si="3"/>
        <v>0</v>
      </c>
      <c r="BA9" s="272">
        <f t="shared" si="4"/>
        <v>0</v>
      </c>
      <c r="BC9" s="279">
        <f t="shared" si="5"/>
        <v>0</v>
      </c>
    </row>
    <row r="10" spans="1:55" x14ac:dyDescent="0.25">
      <c r="B10" s="270" t="s">
        <v>172</v>
      </c>
      <c r="C10" s="68" t="s">
        <v>37</v>
      </c>
      <c r="D10" s="271"/>
      <c r="E10" s="272"/>
      <c r="F10" s="272"/>
      <c r="G10" s="273">
        <f t="shared" si="0"/>
        <v>0</v>
      </c>
      <c r="H10" s="274"/>
      <c r="I10" s="275"/>
      <c r="J10" s="275"/>
      <c r="K10" s="297">
        <f t="shared" si="1"/>
        <v>0</v>
      </c>
      <c r="L10" s="274"/>
      <c r="M10" s="275"/>
      <c r="N10" s="275"/>
      <c r="O10" s="299">
        <f t="shared" si="2"/>
        <v>0</v>
      </c>
      <c r="P10" s="277"/>
      <c r="S10" s="278"/>
      <c r="T10" s="277"/>
      <c r="W10" s="278"/>
      <c r="X10" s="277"/>
      <c r="AA10" s="278"/>
      <c r="AB10" s="277"/>
      <c r="AE10" s="278"/>
      <c r="AF10" s="277"/>
      <c r="AI10" s="278"/>
      <c r="AJ10" s="277"/>
      <c r="AM10" s="278"/>
      <c r="AN10" s="277"/>
      <c r="AQ10" s="278"/>
      <c r="AR10" s="277"/>
      <c r="AU10" s="278"/>
      <c r="AV10" s="277"/>
      <c r="AY10" s="278"/>
      <c r="AZ10" s="271">
        <f t="shared" si="3"/>
        <v>0</v>
      </c>
      <c r="BA10" s="272">
        <f t="shared" si="4"/>
        <v>0</v>
      </c>
      <c r="BC10" s="279">
        <f t="shared" si="5"/>
        <v>0</v>
      </c>
    </row>
    <row r="11" spans="1:55" x14ac:dyDescent="0.25">
      <c r="B11" s="270" t="s">
        <v>172</v>
      </c>
      <c r="C11" s="68" t="s">
        <v>174</v>
      </c>
      <c r="D11" s="271"/>
      <c r="E11" s="272"/>
      <c r="F11" s="272"/>
      <c r="G11" s="273">
        <f t="shared" si="0"/>
        <v>0</v>
      </c>
      <c r="H11" s="274"/>
      <c r="I11" s="275"/>
      <c r="J11" s="275"/>
      <c r="K11" s="297">
        <f t="shared" si="1"/>
        <v>0</v>
      </c>
      <c r="L11" s="274"/>
      <c r="M11" s="275"/>
      <c r="N11" s="275"/>
      <c r="O11" s="299">
        <f t="shared" si="2"/>
        <v>0</v>
      </c>
      <c r="P11" s="277"/>
      <c r="S11" s="278"/>
      <c r="T11" s="277"/>
      <c r="W11" s="278"/>
      <c r="X11" s="277"/>
      <c r="AA11" s="278"/>
      <c r="AB11" s="277"/>
      <c r="AE11" s="278"/>
      <c r="AF11" s="277"/>
      <c r="AI11" s="278"/>
      <c r="AJ11" s="277"/>
      <c r="AM11" s="278"/>
      <c r="AN11" s="277"/>
      <c r="AQ11" s="278"/>
      <c r="AR11" s="277"/>
      <c r="AU11" s="278"/>
      <c r="AV11" s="277"/>
      <c r="AY11" s="278"/>
      <c r="AZ11" s="271">
        <f t="shared" si="3"/>
        <v>0</v>
      </c>
      <c r="BA11" s="272">
        <f t="shared" si="4"/>
        <v>0</v>
      </c>
      <c r="BC11" s="279">
        <f t="shared" si="5"/>
        <v>0</v>
      </c>
    </row>
    <row r="12" spans="1:55" x14ac:dyDescent="0.25">
      <c r="B12" s="270" t="s">
        <v>172</v>
      </c>
      <c r="C12" s="68" t="s">
        <v>38</v>
      </c>
      <c r="D12" s="271"/>
      <c r="E12" s="272"/>
      <c r="F12" s="272"/>
      <c r="G12" s="273">
        <f t="shared" si="0"/>
        <v>0</v>
      </c>
      <c r="H12" s="274"/>
      <c r="I12" s="275"/>
      <c r="J12" s="275"/>
      <c r="K12" s="297">
        <f t="shared" si="1"/>
        <v>0</v>
      </c>
      <c r="L12" s="274"/>
      <c r="M12" s="275"/>
      <c r="N12" s="275"/>
      <c r="O12" s="299">
        <f t="shared" si="2"/>
        <v>0</v>
      </c>
      <c r="P12" s="277"/>
      <c r="S12" s="278"/>
      <c r="T12" s="277"/>
      <c r="W12" s="278"/>
      <c r="X12" s="277"/>
      <c r="AA12" s="278"/>
      <c r="AB12" s="277"/>
      <c r="AE12" s="278"/>
      <c r="AF12" s="277"/>
      <c r="AI12" s="278"/>
      <c r="AJ12" s="277"/>
      <c r="AM12" s="278"/>
      <c r="AN12" s="277"/>
      <c r="AQ12" s="278"/>
      <c r="AR12" s="277"/>
      <c r="AU12" s="278"/>
      <c r="AV12" s="277"/>
      <c r="AY12" s="278"/>
      <c r="AZ12" s="271">
        <f t="shared" si="3"/>
        <v>0</v>
      </c>
      <c r="BA12" s="272">
        <f t="shared" si="4"/>
        <v>0</v>
      </c>
      <c r="BC12" s="279">
        <f t="shared" si="5"/>
        <v>0</v>
      </c>
    </row>
    <row r="13" spans="1:55" x14ac:dyDescent="0.25">
      <c r="B13" s="24" t="s">
        <v>170</v>
      </c>
      <c r="C13" s="68" t="s">
        <v>171</v>
      </c>
      <c r="D13" s="271"/>
      <c r="E13" s="272"/>
      <c r="F13" s="272"/>
      <c r="G13" s="273">
        <f t="shared" ref="G13:G25" si="6">E13*F13</f>
        <v>0</v>
      </c>
      <c r="H13" s="274"/>
      <c r="I13" s="275"/>
      <c r="J13" s="275"/>
      <c r="K13" s="298">
        <f t="shared" ref="K13:K25" si="7">I13*J13</f>
        <v>0</v>
      </c>
      <c r="L13" s="274"/>
      <c r="M13" s="275"/>
      <c r="N13" s="275"/>
      <c r="O13" s="276">
        <f>M13*N13</f>
        <v>0</v>
      </c>
      <c r="P13" s="277"/>
      <c r="S13" s="278"/>
      <c r="T13" s="277"/>
      <c r="W13" s="278"/>
      <c r="X13" s="277"/>
      <c r="AA13" s="278"/>
      <c r="AB13" s="277"/>
      <c r="AE13" s="278"/>
      <c r="AF13" s="277"/>
      <c r="AI13" s="278"/>
      <c r="AJ13" s="277"/>
      <c r="AM13" s="278"/>
      <c r="AN13" s="277"/>
      <c r="AQ13" s="278"/>
      <c r="AR13" s="277"/>
      <c r="AU13" s="278"/>
      <c r="AV13" s="277"/>
      <c r="AY13" s="278"/>
      <c r="AZ13" s="271">
        <f t="shared" si="3"/>
        <v>0</v>
      </c>
      <c r="BA13" s="272">
        <f t="shared" si="4"/>
        <v>0</v>
      </c>
      <c r="BC13" s="279">
        <f t="shared" si="5"/>
        <v>0</v>
      </c>
    </row>
    <row r="14" spans="1:55" x14ac:dyDescent="0.25">
      <c r="B14" s="24" t="s">
        <v>170</v>
      </c>
      <c r="C14" s="68" t="s">
        <v>173</v>
      </c>
      <c r="D14" s="271"/>
      <c r="E14" s="272"/>
      <c r="F14" s="272"/>
      <c r="G14" s="273">
        <f t="shared" si="6"/>
        <v>0</v>
      </c>
      <c r="H14" s="274"/>
      <c r="I14" s="275"/>
      <c r="J14" s="275"/>
      <c r="K14" s="298">
        <f t="shared" si="7"/>
        <v>0</v>
      </c>
      <c r="L14" s="274"/>
      <c r="M14" s="275"/>
      <c r="N14" s="275"/>
      <c r="O14" s="276">
        <f>M14*N14</f>
        <v>0</v>
      </c>
      <c r="P14" s="277"/>
      <c r="S14" s="278"/>
      <c r="T14" s="277"/>
      <c r="W14" s="278"/>
      <c r="X14" s="277"/>
      <c r="AA14" s="278"/>
      <c r="AB14" s="277"/>
      <c r="AE14" s="278"/>
      <c r="AF14" s="277"/>
      <c r="AI14" s="278"/>
      <c r="AJ14" s="277"/>
      <c r="AM14" s="278"/>
      <c r="AN14" s="277"/>
      <c r="AQ14" s="278"/>
      <c r="AR14" s="277"/>
      <c r="AU14" s="278"/>
      <c r="AV14" s="277"/>
      <c r="AY14" s="278"/>
      <c r="AZ14" s="271">
        <f t="shared" si="3"/>
        <v>0</v>
      </c>
      <c r="BA14" s="272">
        <f t="shared" si="4"/>
        <v>0</v>
      </c>
      <c r="BC14" s="279">
        <f t="shared" si="5"/>
        <v>0</v>
      </c>
    </row>
    <row r="15" spans="1:55" x14ac:dyDescent="0.25">
      <c r="B15" s="24" t="s">
        <v>170</v>
      </c>
      <c r="C15" s="68" t="s">
        <v>23</v>
      </c>
      <c r="D15" s="271"/>
      <c r="E15" s="272"/>
      <c r="F15" s="272"/>
      <c r="G15" s="273">
        <f t="shared" si="6"/>
        <v>0</v>
      </c>
      <c r="H15" s="274"/>
      <c r="I15" s="275"/>
      <c r="J15" s="275"/>
      <c r="K15" s="297">
        <f t="shared" si="7"/>
        <v>0</v>
      </c>
      <c r="L15" s="274"/>
      <c r="M15" s="275"/>
      <c r="N15" s="275"/>
      <c r="O15" s="299">
        <f>L15*N15</f>
        <v>0</v>
      </c>
      <c r="P15" s="277"/>
      <c r="S15" s="278"/>
      <c r="T15" s="277"/>
      <c r="W15" s="278"/>
      <c r="X15" s="277"/>
      <c r="AA15" s="278"/>
      <c r="AB15" s="277"/>
      <c r="AE15" s="278"/>
      <c r="AF15" s="277"/>
      <c r="AI15" s="278"/>
      <c r="AJ15" s="277"/>
      <c r="AM15" s="278"/>
      <c r="AN15" s="277"/>
      <c r="AQ15" s="278"/>
      <c r="AR15" s="277"/>
      <c r="AU15" s="278"/>
      <c r="AV15" s="277"/>
      <c r="AY15" s="278"/>
      <c r="AZ15" s="271">
        <f t="shared" si="3"/>
        <v>0</v>
      </c>
      <c r="BA15" s="272">
        <f t="shared" si="4"/>
        <v>0</v>
      </c>
      <c r="BC15" s="279">
        <f t="shared" si="5"/>
        <v>0</v>
      </c>
    </row>
    <row r="16" spans="1:55" x14ac:dyDescent="0.25">
      <c r="B16" s="24" t="s">
        <v>170</v>
      </c>
      <c r="C16" s="68" t="s">
        <v>24</v>
      </c>
      <c r="D16" s="271"/>
      <c r="E16" s="272"/>
      <c r="F16" s="272"/>
      <c r="G16" s="273">
        <f t="shared" si="6"/>
        <v>0</v>
      </c>
      <c r="H16" s="274"/>
      <c r="I16" s="275"/>
      <c r="J16" s="280"/>
      <c r="K16" s="298">
        <f t="shared" si="7"/>
        <v>0</v>
      </c>
      <c r="L16" s="274"/>
      <c r="M16" s="275"/>
      <c r="N16" s="275"/>
      <c r="O16" s="276">
        <f t="shared" ref="O16:O25" si="8">M16*N16</f>
        <v>0</v>
      </c>
      <c r="P16" s="277"/>
      <c r="S16" s="278"/>
      <c r="T16" s="277"/>
      <c r="W16" s="278"/>
      <c r="X16" s="277"/>
      <c r="AA16" s="278"/>
      <c r="AB16" s="277"/>
      <c r="AE16" s="278"/>
      <c r="AF16" s="277"/>
      <c r="AI16" s="278"/>
      <c r="AJ16" s="277"/>
      <c r="AM16" s="278"/>
      <c r="AN16" s="277"/>
      <c r="AQ16" s="278"/>
      <c r="AR16" s="277"/>
      <c r="AU16" s="278"/>
      <c r="AV16" s="277"/>
      <c r="AY16" s="278"/>
      <c r="AZ16" s="271">
        <f t="shared" si="3"/>
        <v>0</v>
      </c>
      <c r="BA16" s="272">
        <f t="shared" si="4"/>
        <v>0</v>
      </c>
      <c r="BC16" s="279">
        <f t="shared" si="5"/>
        <v>0</v>
      </c>
    </row>
    <row r="17" spans="1:55" x14ac:dyDescent="0.25">
      <c r="B17" s="24" t="s">
        <v>170</v>
      </c>
      <c r="C17" s="68" t="s">
        <v>26</v>
      </c>
      <c r="D17" s="271"/>
      <c r="E17" s="272"/>
      <c r="F17" s="272"/>
      <c r="G17" s="273">
        <f t="shared" si="6"/>
        <v>0</v>
      </c>
      <c r="H17" s="274"/>
      <c r="I17" s="275"/>
      <c r="J17" s="280"/>
      <c r="K17" s="298">
        <f t="shared" si="7"/>
        <v>0</v>
      </c>
      <c r="L17" s="274"/>
      <c r="M17" s="275"/>
      <c r="N17" s="275"/>
      <c r="O17" s="276">
        <f t="shared" si="8"/>
        <v>0</v>
      </c>
      <c r="P17" s="277"/>
      <c r="S17" s="278"/>
      <c r="T17" s="277"/>
      <c r="W17" s="278"/>
      <c r="X17" s="277"/>
      <c r="AA17" s="278"/>
      <c r="AB17" s="277"/>
      <c r="AE17" s="278"/>
      <c r="AF17" s="277"/>
      <c r="AI17" s="278"/>
      <c r="AJ17" s="277"/>
      <c r="AM17" s="278"/>
      <c r="AN17" s="277"/>
      <c r="AQ17" s="278"/>
      <c r="AR17" s="277"/>
      <c r="AU17" s="278"/>
      <c r="AV17" s="277"/>
      <c r="AY17" s="278"/>
      <c r="AZ17" s="271">
        <f t="shared" si="3"/>
        <v>0</v>
      </c>
      <c r="BA17" s="272">
        <f t="shared" si="4"/>
        <v>0</v>
      </c>
      <c r="BC17" s="279">
        <f t="shared" si="5"/>
        <v>0</v>
      </c>
    </row>
    <row r="18" spans="1:55" x14ac:dyDescent="0.25">
      <c r="B18" s="24" t="s">
        <v>170</v>
      </c>
      <c r="C18" s="68" t="s">
        <v>27</v>
      </c>
      <c r="D18" s="271"/>
      <c r="E18" s="272"/>
      <c r="F18" s="272"/>
      <c r="G18" s="273">
        <f t="shared" si="6"/>
        <v>0</v>
      </c>
      <c r="H18" s="274"/>
      <c r="I18" s="275"/>
      <c r="J18" s="275"/>
      <c r="K18" s="298">
        <f t="shared" si="7"/>
        <v>0</v>
      </c>
      <c r="L18" s="274"/>
      <c r="M18" s="275"/>
      <c r="N18" s="275"/>
      <c r="O18" s="276">
        <f t="shared" si="8"/>
        <v>0</v>
      </c>
      <c r="P18" s="277"/>
      <c r="S18" s="278"/>
      <c r="T18" s="277"/>
      <c r="W18" s="278"/>
      <c r="X18" s="277"/>
      <c r="AA18" s="278"/>
      <c r="AB18" s="277"/>
      <c r="AE18" s="278"/>
      <c r="AF18" s="277"/>
      <c r="AI18" s="278"/>
      <c r="AJ18" s="277"/>
      <c r="AM18" s="278"/>
      <c r="AN18" s="277"/>
      <c r="AQ18" s="278"/>
      <c r="AR18" s="277"/>
      <c r="AU18" s="278"/>
      <c r="AV18" s="277"/>
      <c r="AY18" s="278"/>
      <c r="AZ18" s="271">
        <f t="shared" si="3"/>
        <v>0</v>
      </c>
      <c r="BA18" s="272">
        <f t="shared" si="4"/>
        <v>0</v>
      </c>
      <c r="BC18" s="279">
        <f t="shared" si="5"/>
        <v>0</v>
      </c>
    </row>
    <row r="19" spans="1:55" x14ac:dyDescent="0.25">
      <c r="B19" s="24" t="s">
        <v>170</v>
      </c>
      <c r="C19" s="68" t="s">
        <v>29</v>
      </c>
      <c r="D19" s="271"/>
      <c r="E19" s="272"/>
      <c r="F19" s="272"/>
      <c r="G19" s="273">
        <f t="shared" si="6"/>
        <v>0</v>
      </c>
      <c r="H19" s="274"/>
      <c r="I19" s="275"/>
      <c r="J19" s="275"/>
      <c r="K19" s="297">
        <f t="shared" si="7"/>
        <v>0</v>
      </c>
      <c r="L19" s="274"/>
      <c r="M19" s="275"/>
      <c r="N19" s="275"/>
      <c r="O19" s="299">
        <f t="shared" si="8"/>
        <v>0</v>
      </c>
      <c r="P19" s="277"/>
      <c r="S19" s="278"/>
      <c r="T19" s="277"/>
      <c r="W19" s="278"/>
      <c r="X19" s="277"/>
      <c r="AA19" s="278"/>
      <c r="AB19" s="277"/>
      <c r="AE19" s="278"/>
      <c r="AF19" s="277"/>
      <c r="AI19" s="278"/>
      <c r="AJ19" s="277"/>
      <c r="AM19" s="278"/>
      <c r="AN19" s="277"/>
      <c r="AQ19" s="278"/>
      <c r="AR19" s="277"/>
      <c r="AU19" s="278"/>
      <c r="AV19" s="277"/>
      <c r="AY19" s="278"/>
      <c r="AZ19" s="271">
        <f t="shared" si="3"/>
        <v>0</v>
      </c>
      <c r="BA19" s="272">
        <f t="shared" si="4"/>
        <v>0</v>
      </c>
      <c r="BC19" s="279">
        <f t="shared" si="5"/>
        <v>0</v>
      </c>
    </row>
    <row r="20" spans="1:55" x14ac:dyDescent="0.25">
      <c r="B20" s="24" t="s">
        <v>170</v>
      </c>
      <c r="C20" s="68" t="s">
        <v>28</v>
      </c>
      <c r="D20" s="271"/>
      <c r="E20" s="272"/>
      <c r="F20" s="272"/>
      <c r="G20" s="273">
        <f t="shared" si="6"/>
        <v>0</v>
      </c>
      <c r="H20" s="274"/>
      <c r="I20" s="275"/>
      <c r="J20" s="275"/>
      <c r="K20" s="298">
        <f t="shared" si="7"/>
        <v>0</v>
      </c>
      <c r="L20" s="274"/>
      <c r="M20" s="275"/>
      <c r="N20" s="275"/>
      <c r="O20" s="276">
        <f t="shared" si="8"/>
        <v>0</v>
      </c>
      <c r="P20" s="277"/>
      <c r="S20" s="278"/>
      <c r="T20" s="277"/>
      <c r="W20" s="278"/>
      <c r="X20" s="277"/>
      <c r="AA20" s="278"/>
      <c r="AB20" s="277"/>
      <c r="AE20" s="278"/>
      <c r="AF20" s="277"/>
      <c r="AI20" s="278"/>
      <c r="AJ20" s="277"/>
      <c r="AM20" s="278"/>
      <c r="AN20" s="277"/>
      <c r="AQ20" s="278"/>
      <c r="AR20" s="277"/>
      <c r="AU20" s="278"/>
      <c r="AV20" s="277"/>
      <c r="AY20" s="278"/>
      <c r="AZ20" s="271">
        <f t="shared" si="3"/>
        <v>0</v>
      </c>
      <c r="BA20" s="272">
        <f t="shared" si="4"/>
        <v>0</v>
      </c>
      <c r="BC20" s="279">
        <f t="shared" si="5"/>
        <v>0</v>
      </c>
    </row>
    <row r="21" spans="1:55" x14ac:dyDescent="0.25">
      <c r="B21" s="24" t="s">
        <v>170</v>
      </c>
      <c r="C21" s="68" t="s">
        <v>31</v>
      </c>
      <c r="D21" s="271"/>
      <c r="E21" s="272"/>
      <c r="F21" s="272"/>
      <c r="G21" s="273">
        <f t="shared" si="6"/>
        <v>0</v>
      </c>
      <c r="H21" s="274"/>
      <c r="I21" s="275"/>
      <c r="J21" s="275"/>
      <c r="K21" s="297">
        <f t="shared" si="7"/>
        <v>0</v>
      </c>
      <c r="L21" s="274"/>
      <c r="M21" s="275"/>
      <c r="N21" s="275"/>
      <c r="O21" s="299">
        <f t="shared" si="8"/>
        <v>0</v>
      </c>
      <c r="P21" s="277"/>
      <c r="S21" s="278"/>
      <c r="T21" s="277"/>
      <c r="W21" s="278"/>
      <c r="X21" s="277"/>
      <c r="AA21" s="278"/>
      <c r="AB21" s="277"/>
      <c r="AE21" s="278"/>
      <c r="AF21" s="277"/>
      <c r="AI21" s="278"/>
      <c r="AJ21" s="277"/>
      <c r="AM21" s="278"/>
      <c r="AN21" s="277"/>
      <c r="AQ21" s="278"/>
      <c r="AR21" s="277"/>
      <c r="AU21" s="278"/>
      <c r="AV21" s="277"/>
      <c r="AY21" s="278"/>
      <c r="AZ21" s="271">
        <f t="shared" si="3"/>
        <v>0</v>
      </c>
      <c r="BA21" s="272">
        <f t="shared" si="4"/>
        <v>0</v>
      </c>
      <c r="BC21" s="279">
        <f t="shared" si="5"/>
        <v>0</v>
      </c>
    </row>
    <row r="22" spans="1:55" x14ac:dyDescent="0.25">
      <c r="B22" s="24" t="s">
        <v>170</v>
      </c>
      <c r="C22" s="68" t="s">
        <v>32</v>
      </c>
      <c r="D22" s="271"/>
      <c r="E22" s="272"/>
      <c r="F22" s="272"/>
      <c r="G22" s="273">
        <f t="shared" si="6"/>
        <v>0</v>
      </c>
      <c r="H22" s="274"/>
      <c r="I22" s="275"/>
      <c r="J22" s="275"/>
      <c r="K22" s="297">
        <f t="shared" si="7"/>
        <v>0</v>
      </c>
      <c r="L22" s="274"/>
      <c r="M22" s="275"/>
      <c r="N22" s="275"/>
      <c r="O22" s="299">
        <f t="shared" si="8"/>
        <v>0</v>
      </c>
      <c r="P22" s="277"/>
      <c r="S22" s="278"/>
      <c r="T22" s="277"/>
      <c r="W22" s="278"/>
      <c r="X22" s="277"/>
      <c r="AA22" s="278"/>
      <c r="AB22" s="277"/>
      <c r="AE22" s="278"/>
      <c r="AF22" s="277"/>
      <c r="AI22" s="278"/>
      <c r="AJ22" s="277"/>
      <c r="AM22" s="278"/>
      <c r="AN22" s="277"/>
      <c r="AQ22" s="278"/>
      <c r="AR22" s="277"/>
      <c r="AU22" s="278"/>
      <c r="AV22" s="277"/>
      <c r="AY22" s="278"/>
      <c r="AZ22" s="271">
        <f t="shared" si="3"/>
        <v>0</v>
      </c>
      <c r="BA22" s="272">
        <f t="shared" si="4"/>
        <v>0</v>
      </c>
      <c r="BC22" s="279">
        <f t="shared" si="5"/>
        <v>0</v>
      </c>
    </row>
    <row r="23" spans="1:55" x14ac:dyDescent="0.25">
      <c r="B23" s="24" t="s">
        <v>170</v>
      </c>
      <c r="C23" s="68" t="s">
        <v>33</v>
      </c>
      <c r="D23" s="271"/>
      <c r="E23" s="272"/>
      <c r="F23" s="272"/>
      <c r="G23" s="273">
        <f t="shared" si="6"/>
        <v>0</v>
      </c>
      <c r="H23" s="274"/>
      <c r="I23" s="275"/>
      <c r="J23" s="275"/>
      <c r="K23" s="297">
        <f t="shared" si="7"/>
        <v>0</v>
      </c>
      <c r="L23" s="274"/>
      <c r="M23" s="275"/>
      <c r="N23" s="275"/>
      <c r="O23" s="299">
        <f t="shared" si="8"/>
        <v>0</v>
      </c>
      <c r="P23" s="277"/>
      <c r="S23" s="278"/>
      <c r="T23" s="277"/>
      <c r="W23" s="278"/>
      <c r="X23" s="277"/>
      <c r="AA23" s="278"/>
      <c r="AB23" s="277"/>
      <c r="AE23" s="278"/>
      <c r="AF23" s="277"/>
      <c r="AI23" s="278"/>
      <c r="AJ23" s="277"/>
      <c r="AM23" s="278"/>
      <c r="AN23" s="277"/>
      <c r="AQ23" s="278"/>
      <c r="AR23" s="277"/>
      <c r="AU23" s="278"/>
      <c r="AV23" s="277"/>
      <c r="AY23" s="278"/>
      <c r="AZ23" s="271">
        <f t="shared" si="3"/>
        <v>0</v>
      </c>
      <c r="BA23" s="272">
        <f t="shared" si="4"/>
        <v>0</v>
      </c>
      <c r="BC23" s="279">
        <f t="shared" si="5"/>
        <v>0</v>
      </c>
    </row>
    <row r="24" spans="1:55" x14ac:dyDescent="0.25">
      <c r="B24" s="24" t="s">
        <v>170</v>
      </c>
      <c r="C24" s="68" t="s">
        <v>35</v>
      </c>
      <c r="D24" s="271"/>
      <c r="E24" s="272"/>
      <c r="F24" s="272"/>
      <c r="G24" s="273">
        <f t="shared" si="6"/>
        <v>0</v>
      </c>
      <c r="H24" s="274"/>
      <c r="I24" s="275"/>
      <c r="J24" s="275"/>
      <c r="K24" s="297">
        <f t="shared" si="7"/>
        <v>0</v>
      </c>
      <c r="L24" s="274"/>
      <c r="M24" s="275"/>
      <c r="N24" s="275"/>
      <c r="O24" s="299">
        <f t="shared" si="8"/>
        <v>0</v>
      </c>
      <c r="P24" s="277"/>
      <c r="S24" s="278"/>
      <c r="T24" s="277"/>
      <c r="W24" s="278"/>
      <c r="X24" s="277"/>
      <c r="AA24" s="278"/>
      <c r="AB24" s="277"/>
      <c r="AE24" s="278"/>
      <c r="AF24" s="277"/>
      <c r="AI24" s="278"/>
      <c r="AJ24" s="277"/>
      <c r="AM24" s="278"/>
      <c r="AN24" s="277"/>
      <c r="AQ24" s="278"/>
      <c r="AR24" s="277"/>
      <c r="AU24" s="278"/>
      <c r="AV24" s="277"/>
      <c r="AY24" s="278"/>
      <c r="AZ24" s="271">
        <f t="shared" si="3"/>
        <v>0</v>
      </c>
      <c r="BA24" s="272">
        <f t="shared" si="4"/>
        <v>0</v>
      </c>
      <c r="BC24" s="279">
        <f t="shared" si="5"/>
        <v>0</v>
      </c>
    </row>
    <row r="25" spans="1:55" x14ac:dyDescent="0.25">
      <c r="B25" s="24" t="s">
        <v>170</v>
      </c>
      <c r="C25" s="68" t="s">
        <v>36</v>
      </c>
      <c r="D25" s="271"/>
      <c r="E25" s="272"/>
      <c r="F25" s="272"/>
      <c r="G25" s="273">
        <f t="shared" si="6"/>
        <v>0</v>
      </c>
      <c r="H25" s="274"/>
      <c r="I25" s="275"/>
      <c r="J25" s="275"/>
      <c r="K25" s="297">
        <f t="shared" si="7"/>
        <v>0</v>
      </c>
      <c r="L25" s="274"/>
      <c r="M25" s="275"/>
      <c r="N25" s="275"/>
      <c r="O25" s="299">
        <f t="shared" si="8"/>
        <v>0</v>
      </c>
      <c r="P25" s="277"/>
      <c r="S25" s="278"/>
      <c r="T25" s="277"/>
      <c r="W25" s="278"/>
      <c r="X25" s="277"/>
      <c r="AA25" s="278"/>
      <c r="AB25" s="277"/>
      <c r="AE25" s="278"/>
      <c r="AF25" s="277"/>
      <c r="AI25" s="278"/>
      <c r="AJ25" s="277"/>
      <c r="AM25" s="278"/>
      <c r="AN25" s="277"/>
      <c r="AQ25" s="278"/>
      <c r="AR25" s="277"/>
      <c r="AU25" s="278"/>
      <c r="AV25" s="277"/>
      <c r="AY25" s="278"/>
      <c r="AZ25" s="271">
        <f t="shared" si="3"/>
        <v>0</v>
      </c>
      <c r="BA25" s="272">
        <f t="shared" si="4"/>
        <v>0</v>
      </c>
      <c r="BC25" s="279">
        <f t="shared" si="5"/>
        <v>0</v>
      </c>
    </row>
    <row r="26" spans="1:55" x14ac:dyDescent="0.25">
      <c r="B26" s="24" t="s">
        <v>170</v>
      </c>
      <c r="C26" s="68" t="s">
        <v>58</v>
      </c>
      <c r="D26" s="300"/>
      <c r="E26" s="272"/>
      <c r="F26" s="272"/>
      <c r="G26" s="273"/>
      <c r="H26" s="274"/>
      <c r="I26" s="275"/>
      <c r="J26" s="275"/>
      <c r="K26" s="297"/>
      <c r="L26" s="274"/>
      <c r="M26" s="275"/>
      <c r="N26" s="275"/>
      <c r="O26" s="276"/>
      <c r="P26" s="277"/>
      <c r="S26" s="278"/>
      <c r="T26" s="277"/>
      <c r="W26" s="278"/>
      <c r="X26" s="277"/>
      <c r="AA26" s="278"/>
      <c r="AB26" s="277"/>
      <c r="AE26" s="278"/>
      <c r="AF26" s="277"/>
      <c r="AI26" s="278"/>
      <c r="AJ26" s="277"/>
      <c r="AM26" s="278"/>
      <c r="AN26" s="277"/>
      <c r="AQ26" s="278"/>
      <c r="AR26" s="277"/>
      <c r="AU26" s="278"/>
      <c r="AV26" s="277"/>
      <c r="AY26" s="278"/>
      <c r="AZ26" s="271">
        <f t="shared" si="3"/>
        <v>0</v>
      </c>
      <c r="BA26" s="272">
        <f t="shared" si="4"/>
        <v>0</v>
      </c>
      <c r="BC26" s="279">
        <f t="shared" si="5"/>
        <v>0</v>
      </c>
    </row>
    <row r="27" spans="1:55" ht="15.75" thickBot="1" x14ac:dyDescent="0.3">
      <c r="B27" s="281" t="s">
        <v>2</v>
      </c>
      <c r="C27" s="282"/>
      <c r="D27" s="283">
        <f>SUM(D4:D26)</f>
        <v>0</v>
      </c>
      <c r="E27" s="284">
        <f>SUM(E4:E26)</f>
        <v>0</v>
      </c>
      <c r="F27" s="284"/>
      <c r="G27" s="285">
        <f>SUM(G4:G25)</f>
        <v>0</v>
      </c>
      <c r="H27" s="283">
        <f>SUM(H4:H26)</f>
        <v>0</v>
      </c>
      <c r="I27" s="284">
        <f>SUM(I4:I26)</f>
        <v>0</v>
      </c>
      <c r="J27" s="284"/>
      <c r="K27" s="285">
        <f>SUM(K4:K25)</f>
        <v>0</v>
      </c>
      <c r="L27" s="283">
        <f>SUM(L4:L26)</f>
        <v>0</v>
      </c>
      <c r="M27" s="284">
        <f>SUM(M4:M26)</f>
        <v>0</v>
      </c>
      <c r="N27" s="284"/>
      <c r="O27" s="285">
        <f>SUM(O4:O25)</f>
        <v>0</v>
      </c>
      <c r="P27" s="283">
        <f>SUM(P4:P26)</f>
        <v>0</v>
      </c>
      <c r="Q27" s="284">
        <f>SUM(Q4:Q26)</f>
        <v>0</v>
      </c>
      <c r="R27" s="284"/>
      <c r="S27" s="285">
        <f>SUM(S4:S25)</f>
        <v>0</v>
      </c>
      <c r="T27" s="283">
        <f>SUM(T4:T26)</f>
        <v>0</v>
      </c>
      <c r="U27" s="284">
        <f>SUM(U4:U26)</f>
        <v>0</v>
      </c>
      <c r="V27" s="284"/>
      <c r="W27" s="285">
        <f>SUM(W4:W25)</f>
        <v>0</v>
      </c>
      <c r="X27" s="283">
        <f>SUM(X4:X26)</f>
        <v>0</v>
      </c>
      <c r="Y27" s="284">
        <f>SUM(Y4:Y26)</f>
        <v>0</v>
      </c>
      <c r="Z27" s="284"/>
      <c r="AA27" s="285">
        <f>SUM(AA4:AA25)</f>
        <v>0</v>
      </c>
      <c r="AB27" s="283">
        <f>SUM(AB4:AB26)</f>
        <v>0</v>
      </c>
      <c r="AC27" s="284">
        <f>SUM(AC4:AC26)</f>
        <v>0</v>
      </c>
      <c r="AD27" s="284"/>
      <c r="AE27" s="285">
        <f>SUM(AE4:AE25)</f>
        <v>0</v>
      </c>
      <c r="AF27" s="283">
        <f>SUM(AF4:AF26)</f>
        <v>0</v>
      </c>
      <c r="AG27" s="284">
        <f>SUM(AG4:AG26)</f>
        <v>0</v>
      </c>
      <c r="AH27" s="284"/>
      <c r="AI27" s="285">
        <f>SUM(AI4:AI25)</f>
        <v>0</v>
      </c>
      <c r="AJ27" s="283">
        <f>SUM(AJ4:AJ26)</f>
        <v>0</v>
      </c>
      <c r="AK27" s="284">
        <f>SUM(AK4:AK26)</f>
        <v>0</v>
      </c>
      <c r="AL27" s="284"/>
      <c r="AM27" s="285">
        <f>SUM(AM4:AM25)</f>
        <v>0</v>
      </c>
      <c r="AN27" s="283">
        <f>SUM(AN4:AN26)</f>
        <v>0</v>
      </c>
      <c r="AO27" s="284">
        <f>SUM(AO4:AO26)</f>
        <v>0</v>
      </c>
      <c r="AP27" s="284"/>
      <c r="AQ27" s="285">
        <f>SUM(AQ4:AQ25)</f>
        <v>0</v>
      </c>
      <c r="AR27" s="283">
        <f>SUM(AR4:AR26)</f>
        <v>0</v>
      </c>
      <c r="AS27" s="284">
        <f>SUM(AS4:AS26)</f>
        <v>0</v>
      </c>
      <c r="AT27" s="284"/>
      <c r="AU27" s="285">
        <f>SUM(AU4:AU25)</f>
        <v>0</v>
      </c>
      <c r="AV27" s="283">
        <f>SUM(AV4:AV26)</f>
        <v>0</v>
      </c>
      <c r="AW27" s="284">
        <f>SUM(AW4:AW26)</f>
        <v>0</v>
      </c>
      <c r="AX27" s="284"/>
      <c r="AY27" s="285">
        <f>SUM(AY4:AY25)</f>
        <v>0</v>
      </c>
      <c r="AZ27" s="286">
        <f>SUM(AZ4:AZ26)</f>
        <v>0</v>
      </c>
      <c r="BA27" s="286">
        <f>SUM(BA4:BA26)</f>
        <v>0</v>
      </c>
      <c r="BB27" s="282"/>
      <c r="BC27" s="287">
        <f>SUM(BC4:BC26)</f>
        <v>0</v>
      </c>
    </row>
    <row r="28" spans="1:55" x14ac:dyDescent="0.25">
      <c r="D28" s="272"/>
      <c r="E28" s="272"/>
      <c r="F28" s="272"/>
      <c r="G28" s="272"/>
      <c r="H28" s="272"/>
      <c r="I28" s="272"/>
      <c r="J28" s="272"/>
      <c r="K28" s="272"/>
      <c r="L28" s="272"/>
      <c r="M28" s="272"/>
      <c r="N28" s="272"/>
      <c r="O28" s="272"/>
      <c r="P28" s="272"/>
      <c r="Q28" s="272"/>
      <c r="R28" s="272"/>
      <c r="S28" s="272"/>
      <c r="T28" s="272"/>
      <c r="U28" s="272"/>
      <c r="V28" s="272"/>
      <c r="W28" s="272"/>
      <c r="X28" s="272"/>
      <c r="Y28" s="272"/>
      <c r="Z28" s="272"/>
      <c r="AA28" s="272"/>
      <c r="AB28" s="272"/>
      <c r="AC28" s="272"/>
      <c r="AD28" s="272"/>
      <c r="AE28" s="272"/>
      <c r="AF28" s="272"/>
      <c r="AG28" s="272"/>
      <c r="AH28" s="272"/>
      <c r="AI28" s="272"/>
      <c r="AJ28" s="272"/>
      <c r="AK28" s="272"/>
      <c r="AL28" s="272"/>
      <c r="AM28" s="272"/>
      <c r="AN28" s="272"/>
      <c r="AO28" s="272"/>
      <c r="AP28" s="272"/>
      <c r="AQ28" s="272"/>
      <c r="AR28" s="272"/>
      <c r="AS28" s="272"/>
      <c r="AT28" s="272"/>
      <c r="AU28" s="272"/>
      <c r="AV28" s="272"/>
      <c r="AW28" s="272"/>
      <c r="AX28" s="272"/>
      <c r="AY28" s="272"/>
      <c r="AZ28" s="288">
        <f>D27+H27+L27+P27+T27+X27+AB27+AF27+AJ27+AN27+AR27+AV27</f>
        <v>0</v>
      </c>
      <c r="BA28" s="288">
        <f>E27+I27+M27+Q27+U27+Y27+AC27+AG27+AK27+AO27+AS27+AW27</f>
        <v>0</v>
      </c>
      <c r="BC28" s="288">
        <f>G27+K27+O27+S27+W27+AA27+AE27+AI27+AM27+AQ27+AU27+AY27</f>
        <v>0</v>
      </c>
    </row>
    <row r="29" spans="1:55" x14ac:dyDescent="0.25">
      <c r="A29" s="272" t="s">
        <v>2</v>
      </c>
      <c r="B29" s="289" t="s">
        <v>172</v>
      </c>
      <c r="C29" s="272"/>
      <c r="D29" s="272">
        <f>SUMIF($B$4:$B$26,$B$29,D4:D26)</f>
        <v>0</v>
      </c>
      <c r="E29" s="272"/>
      <c r="F29" s="272"/>
      <c r="G29" s="272">
        <f>SUMIF($B$4:$B$25,$B$29,G4:G25)</f>
        <v>0</v>
      </c>
      <c r="H29" s="272">
        <f>SUMIF($B$4:$B$26,$B$29,H4:H26)</f>
        <v>0</v>
      </c>
      <c r="I29" s="272"/>
      <c r="J29" s="272"/>
      <c r="K29" s="272">
        <f>SUMIF($B$4:$B$25,$B$29,K4:K25)</f>
        <v>0</v>
      </c>
      <c r="L29" s="272">
        <f>SUMIF($B$4:$B$26,$B$29,L4:L26)</f>
        <v>0</v>
      </c>
      <c r="M29" s="272"/>
      <c r="N29" s="272"/>
      <c r="O29" s="272">
        <f>SUMIF($B$4:$B$25,$B$29,O4:O25)</f>
        <v>0</v>
      </c>
      <c r="P29" s="272">
        <f>SUMIF($B$4:$B$26,$B$29,P4:P26)</f>
        <v>0</v>
      </c>
      <c r="Q29" s="272"/>
      <c r="R29" s="272"/>
      <c r="S29" s="272">
        <f>SUMIF($B$4:$B$25,$B$29,S4:S25)</f>
        <v>0</v>
      </c>
      <c r="T29" s="272">
        <f>SUMIF($B$4:$B$26,$B$29,T4:T26)</f>
        <v>0</v>
      </c>
      <c r="U29" s="272"/>
      <c r="V29" s="272"/>
      <c r="W29" s="272">
        <f>SUMIF($B$4:$B$25,$B$29,W4:W25)</f>
        <v>0</v>
      </c>
      <c r="X29" s="272">
        <f>SUMIF($B$4:$B$26,$B$29,X4:X26)</f>
        <v>0</v>
      </c>
      <c r="Y29" s="272"/>
      <c r="Z29" s="272"/>
      <c r="AA29" s="272">
        <f>SUMIF($B$4:$B$25,$B$29,AA4:AA25)</f>
        <v>0</v>
      </c>
      <c r="AB29" s="272">
        <f>SUMIF($B$4:$B$26,$B$29,AB4:AB26)</f>
        <v>0</v>
      </c>
      <c r="AC29" s="272"/>
      <c r="AD29" s="272"/>
      <c r="AE29" s="272">
        <f>SUMIF($B$4:$B$25,$B$29,AE4:AE25)</f>
        <v>0</v>
      </c>
      <c r="AF29" s="272">
        <f>SUMIF($B$4:$B$26,$B$29,AF4:AF26)</f>
        <v>0</v>
      </c>
      <c r="AG29" s="272"/>
      <c r="AH29" s="272"/>
      <c r="AI29" s="272">
        <f>SUMIF($B$4:$B$25,$B$29,AI4:AI25)</f>
        <v>0</v>
      </c>
      <c r="AJ29" s="272">
        <f>SUMIF($B$4:$B$26,$B$29,AJ4:AJ26)</f>
        <v>0</v>
      </c>
      <c r="AK29" s="272"/>
      <c r="AL29" s="272"/>
      <c r="AM29" s="272">
        <f>SUMIF($B$4:$B$25,$B$29,AM4:AM25)</f>
        <v>0</v>
      </c>
      <c r="AN29" s="272">
        <f>SUMIF($B$4:$B$26,$B$29,AN4:AN26)</f>
        <v>0</v>
      </c>
      <c r="AO29" s="272"/>
      <c r="AP29" s="272"/>
      <c r="AQ29" s="272">
        <f>SUMIF($B$4:$B$25,$B$29,AQ4:AQ25)</f>
        <v>0</v>
      </c>
      <c r="AR29" s="272">
        <f>SUMIF($B$4:$B$26,$B$29,AR4:AR26)</f>
        <v>0</v>
      </c>
      <c r="AS29" s="272"/>
      <c r="AT29" s="272"/>
      <c r="AU29" s="272">
        <f>SUMIF($B$4:$B$25,$B$29,AU4:AU25)</f>
        <v>0</v>
      </c>
      <c r="AV29" s="272">
        <f>SUMIF($B$4:$B$26,$B$29,AV4:AV26)</f>
        <v>0</v>
      </c>
      <c r="AW29" s="272"/>
      <c r="AX29" s="272"/>
      <c r="AY29" s="272">
        <f>SUMIF($B$4:$B$25,$B$29,AY4:AY25)</f>
        <v>0</v>
      </c>
      <c r="AZ29" s="272">
        <f>SUMIF($B$4:$B$25,$B$29,AZ4:AZ25)</f>
        <v>0</v>
      </c>
      <c r="BA29" s="272"/>
      <c r="BB29" s="272"/>
      <c r="BC29" s="272">
        <f>SUMIF($B$4:$B$25,$B$29,BC4:BC25)</f>
        <v>0</v>
      </c>
    </row>
    <row r="30" spans="1:55" x14ac:dyDescent="0.25">
      <c r="A30" s="272"/>
      <c r="B30" s="272"/>
      <c r="C30" s="272"/>
      <c r="D30" s="272"/>
      <c r="E30" s="272"/>
      <c r="F30" s="272"/>
      <c r="G30" s="272"/>
      <c r="H30" s="272"/>
      <c r="I30" s="272"/>
      <c r="J30" s="272"/>
      <c r="K30" s="272"/>
      <c r="L30" s="272"/>
      <c r="M30" s="272"/>
      <c r="N30" s="272"/>
      <c r="O30" s="272"/>
      <c r="P30" s="272"/>
      <c r="Q30" s="272"/>
      <c r="R30" s="272"/>
      <c r="S30" s="272"/>
      <c r="T30" s="272"/>
      <c r="U30" s="272"/>
      <c r="V30" s="272"/>
      <c r="W30" s="272"/>
      <c r="X30" s="272"/>
      <c r="Y30" s="272"/>
      <c r="Z30" s="272"/>
      <c r="AA30" s="272"/>
      <c r="AB30" s="272"/>
      <c r="AC30" s="272"/>
      <c r="AD30" s="272"/>
      <c r="AE30" s="272"/>
      <c r="AF30" s="272"/>
      <c r="AG30" s="272"/>
      <c r="AH30" s="272"/>
      <c r="AI30" s="272"/>
      <c r="AJ30" s="272"/>
      <c r="AK30" s="272"/>
      <c r="AL30" s="272"/>
      <c r="AM30" s="272"/>
      <c r="AN30" s="272"/>
      <c r="AO30" s="272"/>
      <c r="AP30" s="272"/>
      <c r="AQ30" s="272"/>
      <c r="AR30" s="272"/>
      <c r="AS30" s="272"/>
      <c r="AT30" s="272"/>
      <c r="AU30" s="272"/>
      <c r="AV30" s="272"/>
      <c r="AW30" s="272"/>
      <c r="AX30" s="272"/>
      <c r="AY30" s="272"/>
      <c r="AZ30" s="272"/>
      <c r="BA30" s="272"/>
      <c r="BB30" s="272"/>
      <c r="BC30" s="272"/>
    </row>
    <row r="31" spans="1:55" ht="15.75" thickBot="1" x14ac:dyDescent="0.3">
      <c r="A31" s="272" t="s">
        <v>2</v>
      </c>
      <c r="B31" s="272" t="s">
        <v>170</v>
      </c>
      <c r="C31" s="272"/>
      <c r="D31" s="290">
        <f>SUMIF($B$4:$B$26,$B$31,D4:D26)</f>
        <v>0</v>
      </c>
      <c r="E31" s="290"/>
      <c r="F31" s="290"/>
      <c r="G31" s="290">
        <f>SUMIF($B$4:$B$25,$B$31,G4:G25)</f>
        <v>0</v>
      </c>
      <c r="H31" s="290">
        <f>SUMIF($B$4:$B$26,$B$31,H4:H26)</f>
        <v>0</v>
      </c>
      <c r="I31" s="290"/>
      <c r="J31" s="290"/>
      <c r="K31" s="290">
        <f>SUMIF($B$4:$B$25,$B$31,K4:K25)</f>
        <v>0</v>
      </c>
      <c r="L31" s="290">
        <f>SUMIF($B$4:$B$26,$B$31,L4:L26)</f>
        <v>0</v>
      </c>
      <c r="M31" s="290"/>
      <c r="N31" s="290"/>
      <c r="O31" s="290">
        <f>SUMIF($B$4:$B$25,$B$31,O4:O25)</f>
        <v>0</v>
      </c>
      <c r="P31" s="290">
        <f>SUMIF($B$4:$B$26,$B$31,P4:P26)</f>
        <v>0</v>
      </c>
      <c r="Q31" s="290"/>
      <c r="R31" s="290"/>
      <c r="S31" s="290">
        <f>SUMIF($B$4:$B$25,$B$31,S4:S25)</f>
        <v>0</v>
      </c>
      <c r="T31" s="290">
        <f>SUMIF($B$4:$B$26,$B$31,T4:T26)</f>
        <v>0</v>
      </c>
      <c r="U31" s="290"/>
      <c r="V31" s="290"/>
      <c r="W31" s="290">
        <f>SUMIF($B$4:$B$25,$B$31,W4:W25)</f>
        <v>0</v>
      </c>
      <c r="X31" s="290">
        <f>SUMIF($B$4:$B$26,$B$31,X4:X26)</f>
        <v>0</v>
      </c>
      <c r="Y31" s="290"/>
      <c r="Z31" s="290"/>
      <c r="AA31" s="290">
        <f>SUMIF($B$4:$B$25,$B$31,AA4:AA25)</f>
        <v>0</v>
      </c>
      <c r="AB31" s="290">
        <f>SUMIF($B$4:$B$26,$B$31,AB4:AB26)</f>
        <v>0</v>
      </c>
      <c r="AC31" s="290"/>
      <c r="AD31" s="290"/>
      <c r="AE31" s="290">
        <f>SUMIF($B$4:$B$25,$B$31,AE4:AE25)</f>
        <v>0</v>
      </c>
      <c r="AF31" s="290">
        <f>SUMIF($B$4:$B$26,$B$31,AF4:AF26)</f>
        <v>0</v>
      </c>
      <c r="AG31" s="290"/>
      <c r="AH31" s="290"/>
      <c r="AI31" s="290">
        <f>SUMIF($B$4:$B$25,$B$31,AI4:AI25)</f>
        <v>0</v>
      </c>
      <c r="AJ31" s="290">
        <f>SUMIF($B$4:$B$26,$B$31,AJ4:AJ26)</f>
        <v>0</v>
      </c>
      <c r="AK31" s="290"/>
      <c r="AL31" s="290"/>
      <c r="AM31" s="290">
        <f>SUMIF($B$4:$B$25,$B$31,AM4:AM25)</f>
        <v>0</v>
      </c>
      <c r="AN31" s="290">
        <f>SUMIF($B$4:$B$26,$B$31,AN4:AN26)</f>
        <v>0</v>
      </c>
      <c r="AO31" s="290"/>
      <c r="AP31" s="290"/>
      <c r="AQ31" s="290">
        <f>SUMIF($B$4:$B$25,$B$31,AQ4:AQ25)</f>
        <v>0</v>
      </c>
      <c r="AR31" s="290">
        <f>SUMIF($B$4:$B$26,$B$31,AR4:AR26)</f>
        <v>0</v>
      </c>
      <c r="AS31" s="290"/>
      <c r="AT31" s="290"/>
      <c r="AU31" s="290">
        <f>SUMIF($B$4:$B$25,$B$31,AU4:AU25)</f>
        <v>0</v>
      </c>
      <c r="AV31" s="290">
        <f>SUMIF($B$4:$B$26,$B$31,AV4:AV26)</f>
        <v>0</v>
      </c>
      <c r="AW31" s="290"/>
      <c r="AX31" s="290"/>
      <c r="AY31" s="290">
        <f>SUMIF($B$4:$B$25,$B$31,AY4:AY25)</f>
        <v>0</v>
      </c>
      <c r="AZ31" s="290">
        <f>SUMIF($B$4:$B$25,$B$31,AZ4:AZ25)</f>
        <v>0</v>
      </c>
      <c r="BA31" s="290"/>
      <c r="BB31" s="290"/>
      <c r="BC31" s="290">
        <f>SUMIF($B$4:$B$25,$B$31,BC4:BC25)</f>
        <v>0</v>
      </c>
    </row>
    <row r="32" spans="1:55" x14ac:dyDescent="0.25">
      <c r="A32" s="272"/>
      <c r="B32" s="272" t="s">
        <v>2</v>
      </c>
      <c r="C32" s="272"/>
      <c r="D32" s="272">
        <f>D29+D31</f>
        <v>0</v>
      </c>
      <c r="E32" s="272"/>
      <c r="F32" s="272"/>
      <c r="G32" s="272">
        <f>G29+G31</f>
        <v>0</v>
      </c>
      <c r="H32" s="272">
        <f>H29+H31</f>
        <v>0</v>
      </c>
      <c r="I32" s="272"/>
      <c r="J32" s="272"/>
      <c r="K32" s="272">
        <f>K29+K31</f>
        <v>0</v>
      </c>
      <c r="L32" s="272">
        <f>L29+L31</f>
        <v>0</v>
      </c>
      <c r="M32" s="272"/>
      <c r="N32" s="272"/>
      <c r="O32" s="272">
        <f>O29+O31</f>
        <v>0</v>
      </c>
      <c r="P32" s="272">
        <f>P29+P31</f>
        <v>0</v>
      </c>
      <c r="Q32" s="272"/>
      <c r="R32" s="272"/>
      <c r="S32" s="272">
        <f>S29+S31</f>
        <v>0</v>
      </c>
      <c r="T32" s="272">
        <f>T29+T31</f>
        <v>0</v>
      </c>
      <c r="U32" s="272"/>
      <c r="V32" s="272"/>
      <c r="W32" s="272">
        <f>W29+W31</f>
        <v>0</v>
      </c>
      <c r="X32" s="272">
        <f>X29+X31</f>
        <v>0</v>
      </c>
      <c r="Y32" s="272"/>
      <c r="Z32" s="272"/>
      <c r="AA32" s="272">
        <f>AA29+AA31</f>
        <v>0</v>
      </c>
      <c r="AB32" s="272">
        <f>AB29+AB31</f>
        <v>0</v>
      </c>
      <c r="AC32" s="272"/>
      <c r="AD32" s="272"/>
      <c r="AE32" s="272">
        <f>AE29+AE31</f>
        <v>0</v>
      </c>
      <c r="AF32" s="272">
        <f>AF29+AF31</f>
        <v>0</v>
      </c>
      <c r="AG32" s="272"/>
      <c r="AH32" s="272"/>
      <c r="AI32" s="272">
        <f>AI29+AI31</f>
        <v>0</v>
      </c>
      <c r="AJ32" s="272">
        <f>AJ29+AJ31</f>
        <v>0</v>
      </c>
      <c r="AK32" s="272"/>
      <c r="AL32" s="272"/>
      <c r="AM32" s="272">
        <f>AM29+AM31</f>
        <v>0</v>
      </c>
      <c r="AN32" s="272">
        <f>AN29+AN31</f>
        <v>0</v>
      </c>
      <c r="AO32" s="272"/>
      <c r="AP32" s="272"/>
      <c r="AQ32" s="272">
        <f>AQ29+AQ31</f>
        <v>0</v>
      </c>
      <c r="AR32" s="272">
        <f>AR29+AR31</f>
        <v>0</v>
      </c>
      <c r="AS32" s="272"/>
      <c r="AT32" s="272"/>
      <c r="AU32" s="272">
        <f>AU29+AU31</f>
        <v>0</v>
      </c>
      <c r="AV32" s="272">
        <f>AV29+AV31</f>
        <v>0</v>
      </c>
      <c r="AW32" s="272"/>
      <c r="AX32" s="272"/>
      <c r="AY32" s="272">
        <f>AY29+AY31</f>
        <v>0</v>
      </c>
      <c r="AZ32" s="272">
        <f>AZ29+AZ31</f>
        <v>0</v>
      </c>
      <c r="BA32" s="272"/>
      <c r="BB32" s="272"/>
      <c r="BC32" s="272">
        <f>BC29+BC31</f>
        <v>0</v>
      </c>
    </row>
  </sheetData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0AD2E-567E-4EA4-87DF-96ABA1654F53}">
  <sheetPr codeName="Sheet25">
    <tabColor theme="0" tint="-0.14999847407452621"/>
  </sheetPr>
  <dimension ref="A1:BC32"/>
  <sheetViews>
    <sheetView workbookViewId="0">
      <pane xSplit="3" ySplit="3" topLeftCell="D4" activePane="bottomRight" state="frozen"/>
      <selection activeCell="B49" sqref="B49"/>
      <selection pane="topRight" activeCell="B49" sqref="B49"/>
      <selection pane="bottomLeft" activeCell="B49" sqref="B49"/>
      <selection pane="bottomRight" activeCell="B49" sqref="B49"/>
    </sheetView>
  </sheetViews>
  <sheetFormatPr defaultColWidth="9.140625" defaultRowHeight="15" x14ac:dyDescent="0.25"/>
  <cols>
    <col min="2" max="2" width="10.7109375" bestFit="1" customWidth="1"/>
    <col min="3" max="3" width="13.85546875" bestFit="1" customWidth="1"/>
    <col min="4" max="5" width="9.7109375" bestFit="1" customWidth="1"/>
    <col min="6" max="6" width="10.5703125" bestFit="1" customWidth="1"/>
    <col min="7" max="7" width="11.85546875" customWidth="1"/>
    <col min="8" max="8" width="9.85546875" customWidth="1"/>
    <col min="9" max="9" width="9.5703125" customWidth="1"/>
    <col min="11" max="11" width="13.28515625" style="294" customWidth="1"/>
    <col min="12" max="12" width="9.28515625" bestFit="1" customWidth="1"/>
    <col min="13" max="13" width="9.42578125" customWidth="1"/>
    <col min="14" max="14" width="9.28515625" bestFit="1" customWidth="1"/>
    <col min="15" max="15" width="11.7109375" style="291" customWidth="1"/>
    <col min="16" max="18" width="10.7109375" customWidth="1"/>
    <col min="19" max="19" width="12.140625" customWidth="1"/>
    <col min="52" max="52" width="11.140625" customWidth="1"/>
    <col min="53" max="53" width="10.28515625" bestFit="1" customWidth="1"/>
    <col min="55" max="55" width="16.140625" customWidth="1"/>
  </cols>
  <sheetData>
    <row r="1" spans="1:55" ht="15.75" thickBot="1" x14ac:dyDescent="0.3">
      <c r="A1" s="150" t="str">
        <f>Summary_3!B1</f>
        <v>Whakatikei</v>
      </c>
    </row>
    <row r="2" spans="1:55" s="150" customFormat="1" x14ac:dyDescent="0.25">
      <c r="B2" s="255"/>
      <c r="C2" s="256"/>
      <c r="D2" s="257">
        <v>45658</v>
      </c>
      <c r="E2" s="256"/>
      <c r="F2" s="256"/>
      <c r="G2" s="258"/>
      <c r="H2" s="257">
        <v>45689</v>
      </c>
      <c r="I2" s="259"/>
      <c r="J2" s="259"/>
      <c r="K2" s="295"/>
      <c r="L2" s="257">
        <v>45717</v>
      </c>
      <c r="M2" s="256"/>
      <c r="N2" s="256"/>
      <c r="O2" s="292"/>
      <c r="P2" s="257">
        <v>45748</v>
      </c>
      <c r="Q2" s="256"/>
      <c r="R2" s="256"/>
      <c r="S2" s="258"/>
      <c r="T2" s="257">
        <v>45778</v>
      </c>
      <c r="U2" s="256"/>
      <c r="V2" s="256"/>
      <c r="W2" s="258"/>
      <c r="X2" s="257">
        <v>45809</v>
      </c>
      <c r="Y2" s="256"/>
      <c r="Z2" s="256"/>
      <c r="AA2" s="258"/>
      <c r="AB2" s="257">
        <v>45839</v>
      </c>
      <c r="AC2" s="256"/>
      <c r="AD2" s="256"/>
      <c r="AE2" s="258"/>
      <c r="AF2" s="257">
        <v>45870</v>
      </c>
      <c r="AG2" s="256"/>
      <c r="AH2" s="256"/>
      <c r="AI2" s="258"/>
      <c r="AJ2" s="257">
        <v>45901</v>
      </c>
      <c r="AK2" s="256"/>
      <c r="AL2" s="256"/>
      <c r="AM2" s="258"/>
      <c r="AN2" s="257">
        <v>45931</v>
      </c>
      <c r="AO2" s="256"/>
      <c r="AP2" s="256"/>
      <c r="AQ2" s="258"/>
      <c r="AR2" s="257">
        <v>45962</v>
      </c>
      <c r="AS2" s="256"/>
      <c r="AT2" s="256"/>
      <c r="AU2" s="258"/>
      <c r="AV2" s="257">
        <v>45992</v>
      </c>
      <c r="AW2" s="256"/>
      <c r="AX2" s="256"/>
      <c r="AY2" s="258"/>
      <c r="AZ2" s="256" t="s">
        <v>123</v>
      </c>
      <c r="BA2" s="256"/>
      <c r="BB2" s="256"/>
      <c r="BC2" s="260"/>
    </row>
    <row r="3" spans="1:55" s="269" customFormat="1" ht="30.75" thickBot="1" x14ac:dyDescent="0.3">
      <c r="B3" s="261" t="s">
        <v>165</v>
      </c>
      <c r="C3" s="262" t="s">
        <v>13</v>
      </c>
      <c r="D3" s="263" t="s">
        <v>166</v>
      </c>
      <c r="E3" s="264" t="s">
        <v>167</v>
      </c>
      <c r="F3" s="264" t="s">
        <v>168</v>
      </c>
      <c r="G3" s="265" t="s">
        <v>169</v>
      </c>
      <c r="H3" s="266" t="s">
        <v>166</v>
      </c>
      <c r="I3" s="267" t="s">
        <v>167</v>
      </c>
      <c r="J3" s="267" t="s">
        <v>168</v>
      </c>
      <c r="K3" s="296" t="s">
        <v>169</v>
      </c>
      <c r="L3" s="263" t="s">
        <v>166</v>
      </c>
      <c r="M3" s="264" t="s">
        <v>167</v>
      </c>
      <c r="N3" s="264" t="s">
        <v>168</v>
      </c>
      <c r="O3" s="293" t="s">
        <v>169</v>
      </c>
      <c r="P3" s="263" t="s">
        <v>166</v>
      </c>
      <c r="Q3" s="264" t="s">
        <v>167</v>
      </c>
      <c r="R3" s="264" t="s">
        <v>168</v>
      </c>
      <c r="S3" s="265" t="s">
        <v>169</v>
      </c>
      <c r="T3" s="263" t="s">
        <v>166</v>
      </c>
      <c r="U3" s="264" t="s">
        <v>167</v>
      </c>
      <c r="V3" s="264" t="s">
        <v>168</v>
      </c>
      <c r="W3" s="265" t="s">
        <v>169</v>
      </c>
      <c r="X3" s="263" t="s">
        <v>166</v>
      </c>
      <c r="Y3" s="264" t="s">
        <v>167</v>
      </c>
      <c r="Z3" s="264" t="s">
        <v>168</v>
      </c>
      <c r="AA3" s="265" t="s">
        <v>169</v>
      </c>
      <c r="AB3" s="263" t="s">
        <v>166</v>
      </c>
      <c r="AC3" s="264" t="s">
        <v>167</v>
      </c>
      <c r="AD3" s="264" t="s">
        <v>168</v>
      </c>
      <c r="AE3" s="265" t="s">
        <v>169</v>
      </c>
      <c r="AF3" s="263" t="s">
        <v>166</v>
      </c>
      <c r="AG3" s="264" t="s">
        <v>167</v>
      </c>
      <c r="AH3" s="264" t="s">
        <v>168</v>
      </c>
      <c r="AI3" s="265" t="s">
        <v>169</v>
      </c>
      <c r="AJ3" s="263" t="s">
        <v>166</v>
      </c>
      <c r="AK3" s="264" t="s">
        <v>167</v>
      </c>
      <c r="AL3" s="264" t="s">
        <v>168</v>
      </c>
      <c r="AM3" s="265" t="s">
        <v>169</v>
      </c>
      <c r="AN3" s="263" t="s">
        <v>166</v>
      </c>
      <c r="AO3" s="264" t="s">
        <v>167</v>
      </c>
      <c r="AP3" s="264" t="s">
        <v>168</v>
      </c>
      <c r="AQ3" s="265" t="s">
        <v>169</v>
      </c>
      <c r="AR3" s="263" t="s">
        <v>166</v>
      </c>
      <c r="AS3" s="264" t="s">
        <v>167</v>
      </c>
      <c r="AT3" s="264" t="s">
        <v>168</v>
      </c>
      <c r="AU3" s="265" t="s">
        <v>169</v>
      </c>
      <c r="AV3" s="263" t="s">
        <v>166</v>
      </c>
      <c r="AW3" s="264" t="s">
        <v>167</v>
      </c>
      <c r="AX3" s="264" t="s">
        <v>168</v>
      </c>
      <c r="AY3" s="265" t="s">
        <v>169</v>
      </c>
      <c r="AZ3" s="264" t="s">
        <v>166</v>
      </c>
      <c r="BA3" s="264" t="s">
        <v>167</v>
      </c>
      <c r="BB3" s="264" t="s">
        <v>168</v>
      </c>
      <c r="BC3" s="268" t="s">
        <v>169</v>
      </c>
    </row>
    <row r="4" spans="1:55" x14ac:dyDescent="0.25">
      <c r="B4" s="270" t="s">
        <v>172</v>
      </c>
      <c r="C4" s="68" t="s">
        <v>20</v>
      </c>
      <c r="D4" s="271"/>
      <c r="E4" s="272"/>
      <c r="F4" s="272"/>
      <c r="G4" s="273">
        <f t="shared" ref="G4:G12" si="0">D4*F4</f>
        <v>0</v>
      </c>
      <c r="H4" s="274"/>
      <c r="I4" s="275"/>
      <c r="J4" s="275"/>
      <c r="K4" s="297">
        <f t="shared" ref="K4:K12" si="1">H4*J4</f>
        <v>0</v>
      </c>
      <c r="L4" s="274"/>
      <c r="M4" s="275"/>
      <c r="N4" s="275"/>
      <c r="O4" s="299">
        <f t="shared" ref="O4:O12" si="2">L4*N4</f>
        <v>0</v>
      </c>
      <c r="P4" s="277"/>
      <c r="S4" s="278"/>
      <c r="T4" s="277"/>
      <c r="W4" s="278"/>
      <c r="X4" s="277"/>
      <c r="AA4" s="278"/>
      <c r="AB4" s="277"/>
      <c r="AE4" s="278"/>
      <c r="AF4" s="277"/>
      <c r="AI4" s="278"/>
      <c r="AJ4" s="277"/>
      <c r="AM4" s="278"/>
      <c r="AN4" s="277"/>
      <c r="AQ4" s="278"/>
      <c r="AR4" s="277"/>
      <c r="AU4" s="278"/>
      <c r="AV4" s="277"/>
      <c r="AZ4" s="271">
        <f t="shared" ref="AZ4:AZ26" si="3">SUM(D4,H4,L4,P4,T4,X4,AB4,AF4,AJ4,AN4,AR4,AV4)</f>
        <v>0</v>
      </c>
      <c r="BA4" s="272">
        <f t="shared" ref="BA4:BA26" si="4">SUM(E4,I4,M4,Q4,U4,Y4,AC4,AG4,AK4,AO4,AS4,AW4)</f>
        <v>0</v>
      </c>
      <c r="BC4" s="279">
        <f t="shared" ref="BC4:BC26" si="5">SUM(G4,K4,O4,S4,W4,AA4,AE4,AI4,AM4,AQ4,AU4,AY4)</f>
        <v>0</v>
      </c>
    </row>
    <row r="5" spans="1:55" x14ac:dyDescent="0.25">
      <c r="B5" s="270" t="s">
        <v>172</v>
      </c>
      <c r="C5" s="68" t="s">
        <v>22</v>
      </c>
      <c r="D5" s="271"/>
      <c r="E5" s="272"/>
      <c r="F5" s="272"/>
      <c r="G5" s="273">
        <f t="shared" si="0"/>
        <v>0</v>
      </c>
      <c r="H5" s="274"/>
      <c r="I5" s="275"/>
      <c r="J5" s="275"/>
      <c r="K5" s="297">
        <f t="shared" si="1"/>
        <v>0</v>
      </c>
      <c r="L5" s="274"/>
      <c r="M5" s="275"/>
      <c r="N5" s="275"/>
      <c r="O5" s="299">
        <f t="shared" si="2"/>
        <v>0</v>
      </c>
      <c r="P5" s="277"/>
      <c r="S5" s="278"/>
      <c r="T5" s="277"/>
      <c r="W5" s="278"/>
      <c r="X5" s="277"/>
      <c r="AA5" s="278"/>
      <c r="AB5" s="277"/>
      <c r="AE5" s="278"/>
      <c r="AF5" s="277"/>
      <c r="AI5" s="278"/>
      <c r="AJ5" s="277"/>
      <c r="AM5" s="278"/>
      <c r="AN5" s="277"/>
      <c r="AQ5" s="278"/>
      <c r="AR5" s="277"/>
      <c r="AU5" s="278"/>
      <c r="AV5" s="277"/>
      <c r="AZ5" s="271">
        <f t="shared" si="3"/>
        <v>0</v>
      </c>
      <c r="BA5" s="272">
        <f t="shared" si="4"/>
        <v>0</v>
      </c>
      <c r="BC5" s="279">
        <f t="shared" si="5"/>
        <v>0</v>
      </c>
    </row>
    <row r="6" spans="1:55" x14ac:dyDescent="0.25">
      <c r="B6" s="270" t="s">
        <v>172</v>
      </c>
      <c r="C6" s="68" t="s">
        <v>25</v>
      </c>
      <c r="D6" s="271"/>
      <c r="E6" s="272"/>
      <c r="F6" s="272"/>
      <c r="G6" s="273">
        <f t="shared" si="0"/>
        <v>0</v>
      </c>
      <c r="H6" s="274"/>
      <c r="I6" s="275"/>
      <c r="J6" s="275"/>
      <c r="K6" s="297">
        <f t="shared" si="1"/>
        <v>0</v>
      </c>
      <c r="L6" s="274"/>
      <c r="M6" s="275"/>
      <c r="N6" s="275"/>
      <c r="O6" s="299">
        <f t="shared" si="2"/>
        <v>0</v>
      </c>
      <c r="P6" s="277"/>
      <c r="S6" s="278"/>
      <c r="T6" s="277"/>
      <c r="W6" s="278"/>
      <c r="X6" s="277"/>
      <c r="AA6" s="278"/>
      <c r="AB6" s="277"/>
      <c r="AE6" s="278"/>
      <c r="AF6" s="277"/>
      <c r="AI6" s="278"/>
      <c r="AJ6" s="277"/>
      <c r="AM6" s="278"/>
      <c r="AN6" s="277"/>
      <c r="AQ6" s="278"/>
      <c r="AR6" s="277"/>
      <c r="AU6" s="278"/>
      <c r="AV6" s="277"/>
      <c r="AZ6" s="271">
        <f t="shared" si="3"/>
        <v>0</v>
      </c>
      <c r="BA6" s="272">
        <f t="shared" si="4"/>
        <v>0</v>
      </c>
      <c r="BC6" s="279">
        <f t="shared" si="5"/>
        <v>0</v>
      </c>
    </row>
    <row r="7" spans="1:55" x14ac:dyDescent="0.25">
      <c r="B7" s="270" t="s">
        <v>172</v>
      </c>
      <c r="C7" s="68" t="s">
        <v>30</v>
      </c>
      <c r="D7" s="271"/>
      <c r="E7" s="272"/>
      <c r="F7" s="272"/>
      <c r="G7" s="273">
        <f t="shared" si="0"/>
        <v>0</v>
      </c>
      <c r="H7" s="274"/>
      <c r="I7" s="275"/>
      <c r="J7" s="275"/>
      <c r="K7" s="297">
        <f t="shared" si="1"/>
        <v>0</v>
      </c>
      <c r="L7" s="274"/>
      <c r="M7" s="275"/>
      <c r="N7" s="275"/>
      <c r="O7" s="299">
        <f t="shared" si="2"/>
        <v>0</v>
      </c>
      <c r="P7" s="277"/>
      <c r="S7" s="278"/>
      <c r="T7" s="277"/>
      <c r="W7" s="278"/>
      <c r="X7" s="277"/>
      <c r="AA7" s="278"/>
      <c r="AB7" s="277"/>
      <c r="AE7" s="278"/>
      <c r="AF7" s="277"/>
      <c r="AI7" s="278"/>
      <c r="AJ7" s="277"/>
      <c r="AM7" s="278"/>
      <c r="AN7" s="277"/>
      <c r="AQ7" s="278"/>
      <c r="AR7" s="277"/>
      <c r="AU7" s="278"/>
      <c r="AV7" s="277"/>
      <c r="AZ7" s="271">
        <f t="shared" si="3"/>
        <v>0</v>
      </c>
      <c r="BA7" s="272">
        <f t="shared" si="4"/>
        <v>0</v>
      </c>
      <c r="BC7" s="279">
        <f t="shared" si="5"/>
        <v>0</v>
      </c>
    </row>
    <row r="8" spans="1:55" x14ac:dyDescent="0.25">
      <c r="B8" s="270" t="s">
        <v>172</v>
      </c>
      <c r="C8" s="68" t="s">
        <v>222</v>
      </c>
      <c r="D8" s="271"/>
      <c r="E8" s="272"/>
      <c r="F8" s="272"/>
      <c r="G8" s="273">
        <f t="shared" si="0"/>
        <v>0</v>
      </c>
      <c r="H8" s="274"/>
      <c r="I8" s="275"/>
      <c r="J8" s="275"/>
      <c r="K8" s="297">
        <f t="shared" si="1"/>
        <v>0</v>
      </c>
      <c r="L8" s="274"/>
      <c r="M8" s="275"/>
      <c r="N8" s="275"/>
      <c r="O8" s="299">
        <f t="shared" si="2"/>
        <v>0</v>
      </c>
      <c r="P8" s="277"/>
      <c r="S8" s="278"/>
      <c r="T8" s="277"/>
      <c r="W8" s="278"/>
      <c r="X8" s="277"/>
      <c r="AA8" s="278"/>
      <c r="AB8" s="277"/>
      <c r="AE8" s="278"/>
      <c r="AF8" s="277"/>
      <c r="AI8" s="278"/>
      <c r="AJ8" s="277"/>
      <c r="AM8" s="278"/>
      <c r="AN8" s="277"/>
      <c r="AQ8" s="278"/>
      <c r="AR8" s="277"/>
      <c r="AU8" s="278"/>
      <c r="AV8" s="277"/>
      <c r="AZ8" s="271">
        <f t="shared" si="3"/>
        <v>0</v>
      </c>
      <c r="BA8" s="272">
        <f t="shared" si="4"/>
        <v>0</v>
      </c>
      <c r="BC8" s="279">
        <f t="shared" si="5"/>
        <v>0</v>
      </c>
    </row>
    <row r="9" spans="1:55" x14ac:dyDescent="0.25">
      <c r="B9" s="270" t="s">
        <v>172</v>
      </c>
      <c r="C9" s="68" t="s">
        <v>34</v>
      </c>
      <c r="D9" s="271"/>
      <c r="E9" s="272"/>
      <c r="F9" s="272"/>
      <c r="G9" s="273">
        <f t="shared" si="0"/>
        <v>0</v>
      </c>
      <c r="H9" s="274"/>
      <c r="I9" s="275"/>
      <c r="J9" s="275"/>
      <c r="K9" s="297">
        <f t="shared" si="1"/>
        <v>0</v>
      </c>
      <c r="L9" s="274"/>
      <c r="M9" s="275"/>
      <c r="N9" s="275"/>
      <c r="O9" s="299">
        <f t="shared" si="2"/>
        <v>0</v>
      </c>
      <c r="P9" s="277"/>
      <c r="S9" s="278"/>
      <c r="T9" s="277"/>
      <c r="W9" s="278"/>
      <c r="X9" s="277"/>
      <c r="AA9" s="278"/>
      <c r="AB9" s="277"/>
      <c r="AE9" s="278"/>
      <c r="AF9" s="277"/>
      <c r="AI9" s="278"/>
      <c r="AJ9" s="277"/>
      <c r="AM9" s="278"/>
      <c r="AN9" s="277"/>
      <c r="AQ9" s="278"/>
      <c r="AR9" s="277"/>
      <c r="AU9" s="278"/>
      <c r="AV9" s="277"/>
      <c r="AZ9" s="271">
        <f t="shared" si="3"/>
        <v>0</v>
      </c>
      <c r="BA9" s="272">
        <f t="shared" si="4"/>
        <v>0</v>
      </c>
      <c r="BC9" s="279">
        <f t="shared" si="5"/>
        <v>0</v>
      </c>
    </row>
    <row r="10" spans="1:55" x14ac:dyDescent="0.25">
      <c r="B10" s="270" t="s">
        <v>172</v>
      </c>
      <c r="C10" s="68" t="s">
        <v>37</v>
      </c>
      <c r="D10" s="271"/>
      <c r="E10" s="272"/>
      <c r="F10" s="272"/>
      <c r="G10" s="273">
        <f t="shared" si="0"/>
        <v>0</v>
      </c>
      <c r="H10" s="274"/>
      <c r="I10" s="275"/>
      <c r="J10" s="275"/>
      <c r="K10" s="297">
        <f t="shared" si="1"/>
        <v>0</v>
      </c>
      <c r="L10" s="274"/>
      <c r="M10" s="275"/>
      <c r="N10" s="275"/>
      <c r="O10" s="299">
        <f t="shared" si="2"/>
        <v>0</v>
      </c>
      <c r="P10" s="277"/>
      <c r="S10" s="278"/>
      <c r="T10" s="277"/>
      <c r="W10" s="278"/>
      <c r="X10" s="277"/>
      <c r="AA10" s="278"/>
      <c r="AB10" s="277"/>
      <c r="AE10" s="278"/>
      <c r="AF10" s="277"/>
      <c r="AI10" s="278"/>
      <c r="AJ10" s="277"/>
      <c r="AM10" s="278"/>
      <c r="AN10" s="277"/>
      <c r="AQ10" s="278"/>
      <c r="AR10" s="277"/>
      <c r="AU10" s="278"/>
      <c r="AV10" s="277"/>
      <c r="AY10" s="278"/>
      <c r="AZ10" s="271">
        <f t="shared" si="3"/>
        <v>0</v>
      </c>
      <c r="BA10" s="272">
        <f t="shared" si="4"/>
        <v>0</v>
      </c>
      <c r="BC10" s="279">
        <f t="shared" si="5"/>
        <v>0</v>
      </c>
    </row>
    <row r="11" spans="1:55" x14ac:dyDescent="0.25">
      <c r="B11" s="270" t="s">
        <v>172</v>
      </c>
      <c r="C11" s="68" t="s">
        <v>174</v>
      </c>
      <c r="D11" s="271"/>
      <c r="E11" s="272"/>
      <c r="F11" s="272"/>
      <c r="G11" s="273">
        <f t="shared" si="0"/>
        <v>0</v>
      </c>
      <c r="H11" s="274"/>
      <c r="I11" s="275"/>
      <c r="J11" s="275"/>
      <c r="K11" s="297">
        <f t="shared" si="1"/>
        <v>0</v>
      </c>
      <c r="L11" s="274"/>
      <c r="M11" s="275"/>
      <c r="N11" s="275"/>
      <c r="O11" s="299">
        <f t="shared" si="2"/>
        <v>0</v>
      </c>
      <c r="P11" s="277"/>
      <c r="S11" s="278"/>
      <c r="T11" s="277"/>
      <c r="W11" s="278"/>
      <c r="X11" s="277"/>
      <c r="AA11" s="278"/>
      <c r="AB11" s="277"/>
      <c r="AE11" s="278"/>
      <c r="AF11" s="277"/>
      <c r="AI11" s="278"/>
      <c r="AJ11" s="277"/>
      <c r="AM11" s="278"/>
      <c r="AN11" s="277"/>
      <c r="AQ11" s="278"/>
      <c r="AR11" s="277"/>
      <c r="AU11" s="278"/>
      <c r="AV11" s="277"/>
      <c r="AY11" s="278"/>
      <c r="AZ11" s="271">
        <f t="shared" si="3"/>
        <v>0</v>
      </c>
      <c r="BA11" s="272">
        <f t="shared" si="4"/>
        <v>0</v>
      </c>
      <c r="BC11" s="279">
        <f t="shared" si="5"/>
        <v>0</v>
      </c>
    </row>
    <row r="12" spans="1:55" x14ac:dyDescent="0.25">
      <c r="B12" s="270" t="s">
        <v>172</v>
      </c>
      <c r="C12" s="68" t="s">
        <v>38</v>
      </c>
      <c r="D12" s="271"/>
      <c r="E12" s="272"/>
      <c r="F12" s="272"/>
      <c r="G12" s="273">
        <f t="shared" si="0"/>
        <v>0</v>
      </c>
      <c r="H12" s="274"/>
      <c r="I12" s="275"/>
      <c r="J12" s="275"/>
      <c r="K12" s="297">
        <f t="shared" si="1"/>
        <v>0</v>
      </c>
      <c r="L12" s="274"/>
      <c r="M12" s="275"/>
      <c r="N12" s="275"/>
      <c r="O12" s="299">
        <f t="shared" si="2"/>
        <v>0</v>
      </c>
      <c r="P12" s="277"/>
      <c r="S12" s="278"/>
      <c r="T12" s="277"/>
      <c r="W12" s="278"/>
      <c r="X12" s="277"/>
      <c r="AA12" s="278"/>
      <c r="AB12" s="277"/>
      <c r="AE12" s="278"/>
      <c r="AF12" s="277"/>
      <c r="AI12" s="278"/>
      <c r="AJ12" s="277"/>
      <c r="AM12" s="278"/>
      <c r="AN12" s="277"/>
      <c r="AQ12" s="278"/>
      <c r="AR12" s="277"/>
      <c r="AU12" s="278"/>
      <c r="AV12" s="277"/>
      <c r="AY12" s="278"/>
      <c r="AZ12" s="271">
        <f t="shared" si="3"/>
        <v>0</v>
      </c>
      <c r="BA12" s="272">
        <f t="shared" si="4"/>
        <v>0</v>
      </c>
      <c r="BC12" s="279">
        <f t="shared" si="5"/>
        <v>0</v>
      </c>
    </row>
    <row r="13" spans="1:55" x14ac:dyDescent="0.25">
      <c r="B13" s="24" t="s">
        <v>170</v>
      </c>
      <c r="C13" s="68" t="s">
        <v>171</v>
      </c>
      <c r="D13" s="271"/>
      <c r="E13" s="272"/>
      <c r="F13" s="272"/>
      <c r="G13" s="273">
        <f t="shared" ref="G13:G25" si="6">E13*F13</f>
        <v>0</v>
      </c>
      <c r="H13" s="274"/>
      <c r="I13" s="275"/>
      <c r="J13" s="275"/>
      <c r="K13" s="298">
        <f t="shared" ref="K13:K25" si="7">I13*J13</f>
        <v>0</v>
      </c>
      <c r="L13" s="274"/>
      <c r="M13" s="275"/>
      <c r="N13" s="275"/>
      <c r="O13" s="276">
        <f>M13*N13</f>
        <v>0</v>
      </c>
      <c r="P13" s="277"/>
      <c r="S13" s="278"/>
      <c r="T13" s="277"/>
      <c r="W13" s="278"/>
      <c r="X13" s="277"/>
      <c r="AA13" s="278"/>
      <c r="AB13" s="277"/>
      <c r="AE13" s="278"/>
      <c r="AF13" s="277"/>
      <c r="AI13" s="278"/>
      <c r="AJ13" s="277"/>
      <c r="AM13" s="278"/>
      <c r="AN13" s="277"/>
      <c r="AQ13" s="278"/>
      <c r="AR13" s="277"/>
      <c r="AU13" s="278"/>
      <c r="AV13" s="277"/>
      <c r="AY13" s="278"/>
      <c r="AZ13" s="271">
        <f t="shared" si="3"/>
        <v>0</v>
      </c>
      <c r="BA13" s="272">
        <f t="shared" si="4"/>
        <v>0</v>
      </c>
      <c r="BC13" s="279">
        <f t="shared" si="5"/>
        <v>0</v>
      </c>
    </row>
    <row r="14" spans="1:55" x14ac:dyDescent="0.25">
      <c r="B14" s="24" t="s">
        <v>170</v>
      </c>
      <c r="C14" s="68" t="s">
        <v>173</v>
      </c>
      <c r="D14" s="271"/>
      <c r="E14" s="272"/>
      <c r="F14" s="272"/>
      <c r="G14" s="273">
        <f t="shared" si="6"/>
        <v>0</v>
      </c>
      <c r="H14" s="274"/>
      <c r="I14" s="275"/>
      <c r="J14" s="275"/>
      <c r="K14" s="298">
        <f t="shared" si="7"/>
        <v>0</v>
      </c>
      <c r="L14" s="274"/>
      <c r="M14" s="275"/>
      <c r="N14" s="275"/>
      <c r="O14" s="276">
        <f>M14*N14</f>
        <v>0</v>
      </c>
      <c r="P14" s="277"/>
      <c r="S14" s="278"/>
      <c r="T14" s="277"/>
      <c r="W14" s="278"/>
      <c r="X14" s="277"/>
      <c r="AA14" s="278"/>
      <c r="AB14" s="277"/>
      <c r="AE14" s="278"/>
      <c r="AF14" s="277"/>
      <c r="AI14" s="278"/>
      <c r="AJ14" s="277"/>
      <c r="AM14" s="278"/>
      <c r="AN14" s="277"/>
      <c r="AQ14" s="278"/>
      <c r="AR14" s="277"/>
      <c r="AU14" s="278"/>
      <c r="AV14" s="277"/>
      <c r="AY14" s="278"/>
      <c r="AZ14" s="271">
        <f t="shared" si="3"/>
        <v>0</v>
      </c>
      <c r="BA14" s="272">
        <f t="shared" si="4"/>
        <v>0</v>
      </c>
      <c r="BC14" s="279">
        <f t="shared" si="5"/>
        <v>0</v>
      </c>
    </row>
    <row r="15" spans="1:55" x14ac:dyDescent="0.25">
      <c r="B15" s="24" t="s">
        <v>170</v>
      </c>
      <c r="C15" s="68" t="s">
        <v>23</v>
      </c>
      <c r="D15" s="271"/>
      <c r="E15" s="272"/>
      <c r="F15" s="272"/>
      <c r="G15" s="273">
        <f t="shared" si="6"/>
        <v>0</v>
      </c>
      <c r="H15" s="274"/>
      <c r="I15" s="275"/>
      <c r="J15" s="275"/>
      <c r="K15" s="297">
        <f t="shared" si="7"/>
        <v>0</v>
      </c>
      <c r="L15" s="274"/>
      <c r="M15" s="275"/>
      <c r="N15" s="275"/>
      <c r="O15" s="299">
        <f>L15*N15</f>
        <v>0</v>
      </c>
      <c r="P15" s="277"/>
      <c r="S15" s="278"/>
      <c r="T15" s="277"/>
      <c r="W15" s="278"/>
      <c r="X15" s="277"/>
      <c r="AA15" s="278"/>
      <c r="AB15" s="277"/>
      <c r="AE15" s="278"/>
      <c r="AF15" s="277"/>
      <c r="AI15" s="278"/>
      <c r="AJ15" s="277"/>
      <c r="AM15" s="278"/>
      <c r="AN15" s="277"/>
      <c r="AQ15" s="278"/>
      <c r="AR15" s="277"/>
      <c r="AU15" s="278"/>
      <c r="AV15" s="277"/>
      <c r="AY15" s="278"/>
      <c r="AZ15" s="271">
        <f t="shared" si="3"/>
        <v>0</v>
      </c>
      <c r="BA15" s="272">
        <f t="shared" si="4"/>
        <v>0</v>
      </c>
      <c r="BC15" s="279">
        <f t="shared" si="5"/>
        <v>0</v>
      </c>
    </row>
    <row r="16" spans="1:55" x14ac:dyDescent="0.25">
      <c r="B16" s="24" t="s">
        <v>170</v>
      </c>
      <c r="C16" s="68" t="s">
        <v>24</v>
      </c>
      <c r="D16" s="271"/>
      <c r="E16" s="272"/>
      <c r="F16" s="272"/>
      <c r="G16" s="273">
        <f t="shared" si="6"/>
        <v>0</v>
      </c>
      <c r="H16" s="274"/>
      <c r="I16" s="275"/>
      <c r="J16" s="280"/>
      <c r="K16" s="298">
        <f t="shared" si="7"/>
        <v>0</v>
      </c>
      <c r="L16" s="274"/>
      <c r="M16" s="275"/>
      <c r="N16" s="275"/>
      <c r="O16" s="276">
        <f t="shared" ref="O16:O25" si="8">M16*N16</f>
        <v>0</v>
      </c>
      <c r="P16" s="277"/>
      <c r="S16" s="278"/>
      <c r="T16" s="277"/>
      <c r="W16" s="278"/>
      <c r="X16" s="277"/>
      <c r="AA16" s="278"/>
      <c r="AB16" s="277"/>
      <c r="AE16" s="278"/>
      <c r="AF16" s="277"/>
      <c r="AI16" s="278"/>
      <c r="AJ16" s="277"/>
      <c r="AM16" s="278"/>
      <c r="AN16" s="277"/>
      <c r="AQ16" s="278"/>
      <c r="AR16" s="277"/>
      <c r="AU16" s="278"/>
      <c r="AV16" s="277"/>
      <c r="AY16" s="278"/>
      <c r="AZ16" s="271">
        <f t="shared" si="3"/>
        <v>0</v>
      </c>
      <c r="BA16" s="272">
        <f t="shared" si="4"/>
        <v>0</v>
      </c>
      <c r="BC16" s="279">
        <f t="shared" si="5"/>
        <v>0</v>
      </c>
    </row>
    <row r="17" spans="1:55" x14ac:dyDescent="0.25">
      <c r="B17" s="24" t="s">
        <v>170</v>
      </c>
      <c r="C17" s="68" t="s">
        <v>26</v>
      </c>
      <c r="D17" s="271"/>
      <c r="E17" s="272"/>
      <c r="F17" s="272"/>
      <c r="G17" s="273">
        <f t="shared" si="6"/>
        <v>0</v>
      </c>
      <c r="H17" s="274"/>
      <c r="I17" s="275"/>
      <c r="J17" s="280"/>
      <c r="K17" s="298">
        <f t="shared" si="7"/>
        <v>0</v>
      </c>
      <c r="L17" s="274"/>
      <c r="M17" s="275"/>
      <c r="N17" s="275"/>
      <c r="O17" s="276">
        <f t="shared" si="8"/>
        <v>0</v>
      </c>
      <c r="P17" s="277"/>
      <c r="S17" s="278"/>
      <c r="T17" s="277"/>
      <c r="W17" s="278"/>
      <c r="X17" s="277"/>
      <c r="AA17" s="278"/>
      <c r="AB17" s="277"/>
      <c r="AE17" s="278"/>
      <c r="AF17" s="277"/>
      <c r="AI17" s="278"/>
      <c r="AJ17" s="277"/>
      <c r="AM17" s="278"/>
      <c r="AN17" s="277"/>
      <c r="AQ17" s="278"/>
      <c r="AR17" s="277"/>
      <c r="AU17" s="278"/>
      <c r="AV17" s="277"/>
      <c r="AY17" s="278"/>
      <c r="AZ17" s="271">
        <f t="shared" si="3"/>
        <v>0</v>
      </c>
      <c r="BA17" s="272">
        <f t="shared" si="4"/>
        <v>0</v>
      </c>
      <c r="BC17" s="279">
        <f t="shared" si="5"/>
        <v>0</v>
      </c>
    </row>
    <row r="18" spans="1:55" x14ac:dyDescent="0.25">
      <c r="B18" s="24" t="s">
        <v>170</v>
      </c>
      <c r="C18" s="68" t="s">
        <v>27</v>
      </c>
      <c r="D18" s="271"/>
      <c r="E18" s="272"/>
      <c r="F18" s="272"/>
      <c r="G18" s="273">
        <f t="shared" si="6"/>
        <v>0</v>
      </c>
      <c r="H18" s="274"/>
      <c r="I18" s="275"/>
      <c r="J18" s="275"/>
      <c r="K18" s="298">
        <f t="shared" si="7"/>
        <v>0</v>
      </c>
      <c r="L18" s="274"/>
      <c r="M18" s="275"/>
      <c r="N18" s="275"/>
      <c r="O18" s="276">
        <f t="shared" si="8"/>
        <v>0</v>
      </c>
      <c r="P18" s="277"/>
      <c r="S18" s="278"/>
      <c r="T18" s="277"/>
      <c r="W18" s="278"/>
      <c r="X18" s="277"/>
      <c r="AA18" s="278"/>
      <c r="AB18" s="277"/>
      <c r="AE18" s="278"/>
      <c r="AF18" s="277"/>
      <c r="AI18" s="278"/>
      <c r="AJ18" s="277"/>
      <c r="AM18" s="278"/>
      <c r="AN18" s="277"/>
      <c r="AQ18" s="278"/>
      <c r="AR18" s="277"/>
      <c r="AU18" s="278"/>
      <c r="AV18" s="277"/>
      <c r="AY18" s="278"/>
      <c r="AZ18" s="271">
        <f t="shared" si="3"/>
        <v>0</v>
      </c>
      <c r="BA18" s="272">
        <f t="shared" si="4"/>
        <v>0</v>
      </c>
      <c r="BC18" s="279">
        <f t="shared" si="5"/>
        <v>0</v>
      </c>
    </row>
    <row r="19" spans="1:55" x14ac:dyDescent="0.25">
      <c r="B19" s="24" t="s">
        <v>170</v>
      </c>
      <c r="C19" s="68" t="s">
        <v>29</v>
      </c>
      <c r="D19" s="271"/>
      <c r="E19" s="272"/>
      <c r="F19" s="272"/>
      <c r="G19" s="273">
        <f t="shared" si="6"/>
        <v>0</v>
      </c>
      <c r="H19" s="274"/>
      <c r="I19" s="275"/>
      <c r="J19" s="275"/>
      <c r="K19" s="297">
        <f t="shared" si="7"/>
        <v>0</v>
      </c>
      <c r="L19" s="274"/>
      <c r="M19" s="275"/>
      <c r="N19" s="275"/>
      <c r="O19" s="299">
        <f t="shared" si="8"/>
        <v>0</v>
      </c>
      <c r="P19" s="277"/>
      <c r="S19" s="278"/>
      <c r="T19" s="277"/>
      <c r="W19" s="278"/>
      <c r="X19" s="277"/>
      <c r="AA19" s="278"/>
      <c r="AB19" s="277"/>
      <c r="AE19" s="278"/>
      <c r="AF19" s="277"/>
      <c r="AI19" s="278"/>
      <c r="AJ19" s="277"/>
      <c r="AM19" s="278"/>
      <c r="AN19" s="277"/>
      <c r="AQ19" s="278"/>
      <c r="AR19" s="277"/>
      <c r="AU19" s="278"/>
      <c r="AV19" s="277"/>
      <c r="AY19" s="278"/>
      <c r="AZ19" s="271">
        <f t="shared" si="3"/>
        <v>0</v>
      </c>
      <c r="BA19" s="272">
        <f t="shared" si="4"/>
        <v>0</v>
      </c>
      <c r="BC19" s="279">
        <f t="shared" si="5"/>
        <v>0</v>
      </c>
    </row>
    <row r="20" spans="1:55" x14ac:dyDescent="0.25">
      <c r="B20" s="24" t="s">
        <v>170</v>
      </c>
      <c r="C20" s="68" t="s">
        <v>28</v>
      </c>
      <c r="D20" s="271"/>
      <c r="E20" s="272"/>
      <c r="F20" s="272"/>
      <c r="G20" s="273">
        <f t="shared" si="6"/>
        <v>0</v>
      </c>
      <c r="H20" s="274"/>
      <c r="I20" s="275"/>
      <c r="J20" s="275"/>
      <c r="K20" s="298">
        <f t="shared" si="7"/>
        <v>0</v>
      </c>
      <c r="L20" s="274"/>
      <c r="M20" s="275"/>
      <c r="N20" s="275"/>
      <c r="O20" s="276">
        <f t="shared" si="8"/>
        <v>0</v>
      </c>
      <c r="P20" s="277"/>
      <c r="S20" s="278"/>
      <c r="T20" s="277"/>
      <c r="W20" s="278"/>
      <c r="X20" s="277"/>
      <c r="AA20" s="278"/>
      <c r="AB20" s="277"/>
      <c r="AE20" s="278"/>
      <c r="AF20" s="277"/>
      <c r="AI20" s="278"/>
      <c r="AJ20" s="277"/>
      <c r="AM20" s="278"/>
      <c r="AN20" s="277"/>
      <c r="AQ20" s="278"/>
      <c r="AR20" s="277"/>
      <c r="AU20" s="278"/>
      <c r="AV20" s="277"/>
      <c r="AY20" s="278"/>
      <c r="AZ20" s="271">
        <f t="shared" si="3"/>
        <v>0</v>
      </c>
      <c r="BA20" s="272">
        <f t="shared" si="4"/>
        <v>0</v>
      </c>
      <c r="BC20" s="279">
        <f t="shared" si="5"/>
        <v>0</v>
      </c>
    </row>
    <row r="21" spans="1:55" x14ac:dyDescent="0.25">
      <c r="B21" s="24" t="s">
        <v>170</v>
      </c>
      <c r="C21" s="68" t="s">
        <v>31</v>
      </c>
      <c r="D21" s="271"/>
      <c r="E21" s="272"/>
      <c r="F21" s="272"/>
      <c r="G21" s="273">
        <f t="shared" si="6"/>
        <v>0</v>
      </c>
      <c r="H21" s="274"/>
      <c r="I21" s="275"/>
      <c r="J21" s="275"/>
      <c r="K21" s="297">
        <f t="shared" si="7"/>
        <v>0</v>
      </c>
      <c r="L21" s="274"/>
      <c r="M21" s="275"/>
      <c r="N21" s="275"/>
      <c r="O21" s="299">
        <f t="shared" si="8"/>
        <v>0</v>
      </c>
      <c r="P21" s="277"/>
      <c r="S21" s="278"/>
      <c r="T21" s="277"/>
      <c r="W21" s="278"/>
      <c r="X21" s="277"/>
      <c r="AA21" s="278"/>
      <c r="AB21" s="277"/>
      <c r="AE21" s="278"/>
      <c r="AF21" s="277"/>
      <c r="AI21" s="278"/>
      <c r="AJ21" s="277"/>
      <c r="AM21" s="278"/>
      <c r="AN21" s="277"/>
      <c r="AQ21" s="278"/>
      <c r="AR21" s="277"/>
      <c r="AU21" s="278"/>
      <c r="AV21" s="277"/>
      <c r="AY21" s="278"/>
      <c r="AZ21" s="271">
        <f t="shared" si="3"/>
        <v>0</v>
      </c>
      <c r="BA21" s="272">
        <f t="shared" si="4"/>
        <v>0</v>
      </c>
      <c r="BC21" s="279">
        <f t="shared" si="5"/>
        <v>0</v>
      </c>
    </row>
    <row r="22" spans="1:55" x14ac:dyDescent="0.25">
      <c r="B22" s="24" t="s">
        <v>170</v>
      </c>
      <c r="C22" s="68" t="s">
        <v>32</v>
      </c>
      <c r="D22" s="271"/>
      <c r="E22" s="272"/>
      <c r="F22" s="272"/>
      <c r="G22" s="273">
        <f t="shared" si="6"/>
        <v>0</v>
      </c>
      <c r="H22" s="274"/>
      <c r="I22" s="275"/>
      <c r="J22" s="275"/>
      <c r="K22" s="297">
        <f t="shared" si="7"/>
        <v>0</v>
      </c>
      <c r="L22" s="274"/>
      <c r="M22" s="275"/>
      <c r="N22" s="275"/>
      <c r="O22" s="299">
        <f t="shared" si="8"/>
        <v>0</v>
      </c>
      <c r="P22" s="277"/>
      <c r="S22" s="278"/>
      <c r="T22" s="277"/>
      <c r="W22" s="278"/>
      <c r="X22" s="277"/>
      <c r="AA22" s="278"/>
      <c r="AB22" s="277"/>
      <c r="AE22" s="278"/>
      <c r="AF22" s="277"/>
      <c r="AI22" s="278"/>
      <c r="AJ22" s="277"/>
      <c r="AM22" s="278"/>
      <c r="AN22" s="277"/>
      <c r="AQ22" s="278"/>
      <c r="AR22" s="277"/>
      <c r="AU22" s="278"/>
      <c r="AV22" s="277"/>
      <c r="AY22" s="278"/>
      <c r="AZ22" s="271">
        <f t="shared" si="3"/>
        <v>0</v>
      </c>
      <c r="BA22" s="272">
        <f t="shared" si="4"/>
        <v>0</v>
      </c>
      <c r="BC22" s="279">
        <f t="shared" si="5"/>
        <v>0</v>
      </c>
    </row>
    <row r="23" spans="1:55" x14ac:dyDescent="0.25">
      <c r="B23" s="24" t="s">
        <v>170</v>
      </c>
      <c r="C23" s="68" t="s">
        <v>33</v>
      </c>
      <c r="D23" s="271"/>
      <c r="E23" s="272"/>
      <c r="F23" s="272"/>
      <c r="G23" s="273">
        <f t="shared" si="6"/>
        <v>0</v>
      </c>
      <c r="H23" s="274"/>
      <c r="I23" s="275"/>
      <c r="J23" s="275"/>
      <c r="K23" s="297">
        <f t="shared" si="7"/>
        <v>0</v>
      </c>
      <c r="L23" s="274"/>
      <c r="M23" s="275"/>
      <c r="N23" s="275"/>
      <c r="O23" s="299">
        <f t="shared" si="8"/>
        <v>0</v>
      </c>
      <c r="P23" s="277"/>
      <c r="S23" s="278"/>
      <c r="T23" s="277"/>
      <c r="W23" s="278"/>
      <c r="X23" s="277"/>
      <c r="AA23" s="278"/>
      <c r="AB23" s="277"/>
      <c r="AE23" s="278"/>
      <c r="AF23" s="277"/>
      <c r="AI23" s="278"/>
      <c r="AJ23" s="277"/>
      <c r="AM23" s="278"/>
      <c r="AN23" s="277"/>
      <c r="AQ23" s="278"/>
      <c r="AR23" s="277"/>
      <c r="AU23" s="278"/>
      <c r="AV23" s="277"/>
      <c r="AY23" s="278"/>
      <c r="AZ23" s="271">
        <f t="shared" si="3"/>
        <v>0</v>
      </c>
      <c r="BA23" s="272">
        <f t="shared" si="4"/>
        <v>0</v>
      </c>
      <c r="BC23" s="279">
        <f t="shared" si="5"/>
        <v>0</v>
      </c>
    </row>
    <row r="24" spans="1:55" x14ac:dyDescent="0.25">
      <c r="B24" s="24" t="s">
        <v>170</v>
      </c>
      <c r="C24" s="68" t="s">
        <v>35</v>
      </c>
      <c r="D24" s="271"/>
      <c r="E24" s="272"/>
      <c r="F24" s="272"/>
      <c r="G24" s="273">
        <f t="shared" si="6"/>
        <v>0</v>
      </c>
      <c r="H24" s="274"/>
      <c r="I24" s="275"/>
      <c r="J24" s="275"/>
      <c r="K24" s="297">
        <f t="shared" si="7"/>
        <v>0</v>
      </c>
      <c r="L24" s="274"/>
      <c r="M24" s="275"/>
      <c r="N24" s="275"/>
      <c r="O24" s="299">
        <f t="shared" si="8"/>
        <v>0</v>
      </c>
      <c r="P24" s="277"/>
      <c r="S24" s="278"/>
      <c r="T24" s="277"/>
      <c r="W24" s="278"/>
      <c r="X24" s="277"/>
      <c r="AA24" s="278"/>
      <c r="AB24" s="277"/>
      <c r="AE24" s="278"/>
      <c r="AF24" s="277"/>
      <c r="AI24" s="278"/>
      <c r="AJ24" s="277"/>
      <c r="AM24" s="278"/>
      <c r="AN24" s="277"/>
      <c r="AQ24" s="278"/>
      <c r="AR24" s="277"/>
      <c r="AU24" s="278"/>
      <c r="AV24" s="277"/>
      <c r="AY24" s="278"/>
      <c r="AZ24" s="271">
        <f t="shared" si="3"/>
        <v>0</v>
      </c>
      <c r="BA24" s="272">
        <f t="shared" si="4"/>
        <v>0</v>
      </c>
      <c r="BC24" s="279">
        <f t="shared" si="5"/>
        <v>0</v>
      </c>
    </row>
    <row r="25" spans="1:55" x14ac:dyDescent="0.25">
      <c r="B25" s="24" t="s">
        <v>170</v>
      </c>
      <c r="C25" s="68" t="s">
        <v>36</v>
      </c>
      <c r="D25" s="271"/>
      <c r="E25" s="272"/>
      <c r="F25" s="272"/>
      <c r="G25" s="273">
        <f t="shared" si="6"/>
        <v>0</v>
      </c>
      <c r="H25" s="274"/>
      <c r="I25" s="275"/>
      <c r="J25" s="275"/>
      <c r="K25" s="297">
        <f t="shared" si="7"/>
        <v>0</v>
      </c>
      <c r="L25" s="274"/>
      <c r="M25" s="275"/>
      <c r="N25" s="275"/>
      <c r="O25" s="299">
        <f t="shared" si="8"/>
        <v>0</v>
      </c>
      <c r="P25" s="277"/>
      <c r="S25" s="278"/>
      <c r="T25" s="277"/>
      <c r="W25" s="278"/>
      <c r="X25" s="277"/>
      <c r="AA25" s="278"/>
      <c r="AB25" s="277"/>
      <c r="AE25" s="278"/>
      <c r="AF25" s="277"/>
      <c r="AI25" s="278"/>
      <c r="AJ25" s="277"/>
      <c r="AM25" s="278"/>
      <c r="AN25" s="277"/>
      <c r="AQ25" s="278"/>
      <c r="AR25" s="277"/>
      <c r="AU25" s="278"/>
      <c r="AV25" s="277"/>
      <c r="AY25" s="278"/>
      <c r="AZ25" s="271">
        <f t="shared" si="3"/>
        <v>0</v>
      </c>
      <c r="BA25" s="272">
        <f t="shared" si="4"/>
        <v>0</v>
      </c>
      <c r="BC25" s="279">
        <f t="shared" si="5"/>
        <v>0</v>
      </c>
    </row>
    <row r="26" spans="1:55" x14ac:dyDescent="0.25">
      <c r="B26" s="24" t="s">
        <v>170</v>
      </c>
      <c r="C26" s="68" t="s">
        <v>58</v>
      </c>
      <c r="D26" s="300"/>
      <c r="E26" s="272"/>
      <c r="F26" s="272"/>
      <c r="G26" s="273"/>
      <c r="H26" s="274"/>
      <c r="I26" s="275"/>
      <c r="J26" s="275"/>
      <c r="K26" s="297"/>
      <c r="L26" s="274"/>
      <c r="M26" s="275"/>
      <c r="N26" s="275"/>
      <c r="O26" s="276"/>
      <c r="P26" s="277"/>
      <c r="S26" s="278"/>
      <c r="T26" s="277"/>
      <c r="W26" s="278"/>
      <c r="X26" s="277"/>
      <c r="AA26" s="278"/>
      <c r="AB26" s="277"/>
      <c r="AE26" s="278"/>
      <c r="AF26" s="277"/>
      <c r="AI26" s="278"/>
      <c r="AJ26" s="277"/>
      <c r="AM26" s="278"/>
      <c r="AN26" s="277"/>
      <c r="AQ26" s="278"/>
      <c r="AR26" s="277"/>
      <c r="AU26" s="278"/>
      <c r="AV26" s="277"/>
      <c r="AY26" s="278"/>
      <c r="AZ26" s="271">
        <f t="shared" si="3"/>
        <v>0</v>
      </c>
      <c r="BA26" s="272">
        <f t="shared" si="4"/>
        <v>0</v>
      </c>
      <c r="BC26" s="279">
        <f t="shared" si="5"/>
        <v>0</v>
      </c>
    </row>
    <row r="27" spans="1:55" ht="15.75" thickBot="1" x14ac:dyDescent="0.3">
      <c r="B27" s="281" t="s">
        <v>2</v>
      </c>
      <c r="C27" s="282"/>
      <c r="D27" s="283">
        <f>SUM(D4:D26)</f>
        <v>0</v>
      </c>
      <c r="E27" s="284">
        <f>SUM(E4:E26)</f>
        <v>0</v>
      </c>
      <c r="F27" s="284"/>
      <c r="G27" s="285">
        <f>SUM(G4:G25)</f>
        <v>0</v>
      </c>
      <c r="H27" s="283">
        <f>SUM(H4:H26)</f>
        <v>0</v>
      </c>
      <c r="I27" s="284">
        <f>SUM(I4:I26)</f>
        <v>0</v>
      </c>
      <c r="J27" s="284"/>
      <c r="K27" s="285">
        <f>SUM(K4:K25)</f>
        <v>0</v>
      </c>
      <c r="L27" s="283">
        <f>SUM(L4:L26)</f>
        <v>0</v>
      </c>
      <c r="M27" s="284">
        <f>SUM(M4:M26)</f>
        <v>0</v>
      </c>
      <c r="N27" s="284"/>
      <c r="O27" s="285">
        <f>SUM(O4:O25)</f>
        <v>0</v>
      </c>
      <c r="P27" s="283">
        <f>SUM(P4:P26)</f>
        <v>0</v>
      </c>
      <c r="Q27" s="284">
        <f>SUM(Q4:Q26)</f>
        <v>0</v>
      </c>
      <c r="R27" s="284"/>
      <c r="S27" s="285">
        <f>SUM(S4:S25)</f>
        <v>0</v>
      </c>
      <c r="T27" s="283">
        <f>SUM(T4:T26)</f>
        <v>0</v>
      </c>
      <c r="U27" s="284">
        <f>SUM(U4:U26)</f>
        <v>0</v>
      </c>
      <c r="V27" s="284"/>
      <c r="W27" s="285">
        <f>SUM(W4:W25)</f>
        <v>0</v>
      </c>
      <c r="X27" s="283">
        <f>SUM(X4:X26)</f>
        <v>0</v>
      </c>
      <c r="Y27" s="284">
        <f>SUM(Y4:Y26)</f>
        <v>0</v>
      </c>
      <c r="Z27" s="284"/>
      <c r="AA27" s="285">
        <f>SUM(AA4:AA25)</f>
        <v>0</v>
      </c>
      <c r="AB27" s="283">
        <f>SUM(AB4:AB26)</f>
        <v>0</v>
      </c>
      <c r="AC27" s="284">
        <f>SUM(AC4:AC26)</f>
        <v>0</v>
      </c>
      <c r="AD27" s="284"/>
      <c r="AE27" s="285">
        <f>SUM(AE4:AE25)</f>
        <v>0</v>
      </c>
      <c r="AF27" s="283">
        <f>SUM(AF4:AF26)</f>
        <v>0</v>
      </c>
      <c r="AG27" s="284">
        <f>SUM(AG4:AG26)</f>
        <v>0</v>
      </c>
      <c r="AH27" s="284"/>
      <c r="AI27" s="285">
        <f>SUM(AI4:AI25)</f>
        <v>0</v>
      </c>
      <c r="AJ27" s="283">
        <f>SUM(AJ4:AJ26)</f>
        <v>0</v>
      </c>
      <c r="AK27" s="284">
        <f>SUM(AK4:AK26)</f>
        <v>0</v>
      </c>
      <c r="AL27" s="284"/>
      <c r="AM27" s="285">
        <f>SUM(AM4:AM25)</f>
        <v>0</v>
      </c>
      <c r="AN27" s="283">
        <f>SUM(AN4:AN26)</f>
        <v>0</v>
      </c>
      <c r="AO27" s="284">
        <f>SUM(AO4:AO26)</f>
        <v>0</v>
      </c>
      <c r="AP27" s="284"/>
      <c r="AQ27" s="285">
        <f>SUM(AQ4:AQ25)</f>
        <v>0</v>
      </c>
      <c r="AR27" s="283">
        <f>SUM(AR4:AR26)</f>
        <v>0</v>
      </c>
      <c r="AS27" s="284">
        <f>SUM(AS4:AS26)</f>
        <v>0</v>
      </c>
      <c r="AT27" s="284"/>
      <c r="AU27" s="285">
        <f>SUM(AU4:AU25)</f>
        <v>0</v>
      </c>
      <c r="AV27" s="283">
        <f>SUM(AV4:AV26)</f>
        <v>0</v>
      </c>
      <c r="AW27" s="284">
        <f>SUM(AW4:AW26)</f>
        <v>0</v>
      </c>
      <c r="AX27" s="284"/>
      <c r="AY27" s="285">
        <f>SUM(AY4:AY25)</f>
        <v>0</v>
      </c>
      <c r="AZ27" s="286">
        <f>SUM(AZ4:AZ26)</f>
        <v>0</v>
      </c>
      <c r="BA27" s="286">
        <f>SUM(BA4:BA26)</f>
        <v>0</v>
      </c>
      <c r="BB27" s="282"/>
      <c r="BC27" s="287">
        <f>SUM(BC4:BC26)</f>
        <v>0</v>
      </c>
    </row>
    <row r="28" spans="1:55" x14ac:dyDescent="0.25">
      <c r="D28" s="272"/>
      <c r="E28" s="272"/>
      <c r="F28" s="272"/>
      <c r="G28" s="272"/>
      <c r="H28" s="272"/>
      <c r="I28" s="272"/>
      <c r="J28" s="272"/>
      <c r="K28" s="272"/>
      <c r="L28" s="272"/>
      <c r="M28" s="272"/>
      <c r="N28" s="272"/>
      <c r="O28" s="272"/>
      <c r="P28" s="272"/>
      <c r="Q28" s="272"/>
      <c r="R28" s="272"/>
      <c r="S28" s="272"/>
      <c r="T28" s="272"/>
      <c r="U28" s="272"/>
      <c r="V28" s="272"/>
      <c r="W28" s="272"/>
      <c r="X28" s="272"/>
      <c r="Y28" s="272"/>
      <c r="Z28" s="272"/>
      <c r="AA28" s="272"/>
      <c r="AB28" s="272"/>
      <c r="AC28" s="272"/>
      <c r="AD28" s="272"/>
      <c r="AE28" s="272"/>
      <c r="AF28" s="272"/>
      <c r="AG28" s="272"/>
      <c r="AH28" s="272"/>
      <c r="AI28" s="272"/>
      <c r="AJ28" s="272"/>
      <c r="AK28" s="272"/>
      <c r="AL28" s="272"/>
      <c r="AM28" s="272"/>
      <c r="AN28" s="272"/>
      <c r="AO28" s="272"/>
      <c r="AP28" s="272"/>
      <c r="AQ28" s="272"/>
      <c r="AR28" s="272"/>
      <c r="AS28" s="272"/>
      <c r="AT28" s="272"/>
      <c r="AU28" s="272"/>
      <c r="AV28" s="272"/>
      <c r="AW28" s="272"/>
      <c r="AX28" s="272"/>
      <c r="AY28" s="272"/>
      <c r="AZ28" s="288">
        <f>D27+H27+L27+P27+T27+X27+AB27+AF27+AJ27+AN27+AR27+AV27</f>
        <v>0</v>
      </c>
      <c r="BA28" s="288">
        <f>E27+I27+M27+Q27+U27+Y27+AC27+AG27+AK27+AO27+AS27+AW27</f>
        <v>0</v>
      </c>
      <c r="BC28" s="288">
        <f>G27+K27+O27+S27+W27+AA27+AE27+AI27+AM27+AQ27+AU27+AY27</f>
        <v>0</v>
      </c>
    </row>
    <row r="29" spans="1:55" x14ac:dyDescent="0.25">
      <c r="A29" s="272" t="s">
        <v>2</v>
      </c>
      <c r="B29" s="289" t="s">
        <v>172</v>
      </c>
      <c r="C29" s="272"/>
      <c r="D29" s="272">
        <f>SUMIF($B$4:$B$26,$B$29,D4:D26)</f>
        <v>0</v>
      </c>
      <c r="E29" s="272"/>
      <c r="F29" s="272"/>
      <c r="G29" s="272">
        <f>SUMIF($B$4:$B$25,$B$29,G4:G25)</f>
        <v>0</v>
      </c>
      <c r="H29" s="272">
        <f>SUMIF($B$4:$B$26,$B$29,H4:H26)</f>
        <v>0</v>
      </c>
      <c r="I29" s="272"/>
      <c r="J29" s="272"/>
      <c r="K29" s="272">
        <f>SUMIF($B$4:$B$25,$B$29,K4:K25)</f>
        <v>0</v>
      </c>
      <c r="L29" s="272">
        <f>SUMIF($B$4:$B$26,$B$29,L4:L26)</f>
        <v>0</v>
      </c>
      <c r="M29" s="272"/>
      <c r="N29" s="272"/>
      <c r="O29" s="272">
        <f>SUMIF($B$4:$B$25,$B$29,O4:O25)</f>
        <v>0</v>
      </c>
      <c r="P29" s="272">
        <f>SUMIF($B$4:$B$26,$B$29,P4:P26)</f>
        <v>0</v>
      </c>
      <c r="Q29" s="272"/>
      <c r="R29" s="272"/>
      <c r="S29" s="272">
        <f>SUMIF($B$4:$B$25,$B$29,S4:S25)</f>
        <v>0</v>
      </c>
      <c r="T29" s="272">
        <f>SUMIF($B$4:$B$26,$B$29,T4:T26)</f>
        <v>0</v>
      </c>
      <c r="U29" s="272"/>
      <c r="V29" s="272"/>
      <c r="W29" s="272">
        <f>SUMIF($B$4:$B$25,$B$29,W4:W25)</f>
        <v>0</v>
      </c>
      <c r="X29" s="272">
        <f>SUMIF($B$4:$B$26,$B$29,X4:X26)</f>
        <v>0</v>
      </c>
      <c r="Y29" s="272"/>
      <c r="Z29" s="272"/>
      <c r="AA29" s="272">
        <f>SUMIF($B$4:$B$25,$B$29,AA4:AA25)</f>
        <v>0</v>
      </c>
      <c r="AB29" s="272">
        <f>SUMIF($B$4:$B$26,$B$29,AB4:AB26)</f>
        <v>0</v>
      </c>
      <c r="AC29" s="272"/>
      <c r="AD29" s="272"/>
      <c r="AE29" s="272">
        <f>SUMIF($B$4:$B$25,$B$29,AE4:AE25)</f>
        <v>0</v>
      </c>
      <c r="AF29" s="272">
        <f>SUMIF($B$4:$B$26,$B$29,AF4:AF26)</f>
        <v>0</v>
      </c>
      <c r="AG29" s="272"/>
      <c r="AH29" s="272"/>
      <c r="AI29" s="272">
        <f>SUMIF($B$4:$B$25,$B$29,AI4:AI25)</f>
        <v>0</v>
      </c>
      <c r="AJ29" s="272">
        <f>SUMIF($B$4:$B$26,$B$29,AJ4:AJ26)</f>
        <v>0</v>
      </c>
      <c r="AK29" s="272"/>
      <c r="AL29" s="272"/>
      <c r="AM29" s="272">
        <f>SUMIF($B$4:$B$25,$B$29,AM4:AM25)</f>
        <v>0</v>
      </c>
      <c r="AN29" s="272">
        <f>SUMIF($B$4:$B$26,$B$29,AN4:AN26)</f>
        <v>0</v>
      </c>
      <c r="AO29" s="272"/>
      <c r="AP29" s="272"/>
      <c r="AQ29" s="272">
        <f>SUMIF($B$4:$B$25,$B$29,AQ4:AQ25)</f>
        <v>0</v>
      </c>
      <c r="AR29" s="272">
        <f>SUMIF($B$4:$B$26,$B$29,AR4:AR26)</f>
        <v>0</v>
      </c>
      <c r="AS29" s="272"/>
      <c r="AT29" s="272"/>
      <c r="AU29" s="272">
        <f>SUMIF($B$4:$B$25,$B$29,AU4:AU25)</f>
        <v>0</v>
      </c>
      <c r="AV29" s="272">
        <f>SUMIF($B$4:$B$26,$B$29,AV4:AV26)</f>
        <v>0</v>
      </c>
      <c r="AW29" s="272"/>
      <c r="AX29" s="272"/>
      <c r="AY29" s="272">
        <f>SUMIF($B$4:$B$25,$B$29,AY4:AY25)</f>
        <v>0</v>
      </c>
      <c r="AZ29" s="272">
        <f>SUMIF($B$4:$B$25,$B$29,AZ4:AZ25)</f>
        <v>0</v>
      </c>
      <c r="BA29" s="272"/>
      <c r="BB29" s="272"/>
      <c r="BC29" s="272">
        <f>SUMIF($B$4:$B$25,$B$29,BC4:BC25)</f>
        <v>0</v>
      </c>
    </row>
    <row r="30" spans="1:55" x14ac:dyDescent="0.25">
      <c r="A30" s="272"/>
      <c r="B30" s="272"/>
      <c r="C30" s="272"/>
      <c r="D30" s="272"/>
      <c r="E30" s="272"/>
      <c r="F30" s="272"/>
      <c r="G30" s="272"/>
      <c r="H30" s="272"/>
      <c r="I30" s="272"/>
      <c r="J30" s="272"/>
      <c r="K30" s="272"/>
      <c r="L30" s="272"/>
      <c r="M30" s="272"/>
      <c r="N30" s="272"/>
      <c r="O30" s="272"/>
      <c r="P30" s="272"/>
      <c r="Q30" s="272"/>
      <c r="R30" s="272"/>
      <c r="S30" s="272"/>
      <c r="T30" s="272"/>
      <c r="U30" s="272"/>
      <c r="V30" s="272"/>
      <c r="W30" s="272"/>
      <c r="X30" s="272"/>
      <c r="Y30" s="272"/>
      <c r="Z30" s="272"/>
      <c r="AA30" s="272"/>
      <c r="AB30" s="272"/>
      <c r="AC30" s="272"/>
      <c r="AD30" s="272"/>
      <c r="AE30" s="272"/>
      <c r="AF30" s="272"/>
      <c r="AG30" s="272"/>
      <c r="AH30" s="272"/>
      <c r="AI30" s="272"/>
      <c r="AJ30" s="272"/>
      <c r="AK30" s="272"/>
      <c r="AL30" s="272"/>
      <c r="AM30" s="272"/>
      <c r="AN30" s="272"/>
      <c r="AO30" s="272"/>
      <c r="AP30" s="272"/>
      <c r="AQ30" s="272"/>
      <c r="AR30" s="272"/>
      <c r="AS30" s="272"/>
      <c r="AT30" s="272"/>
      <c r="AU30" s="272"/>
      <c r="AV30" s="272"/>
      <c r="AW30" s="272"/>
      <c r="AX30" s="272"/>
      <c r="AY30" s="272"/>
      <c r="AZ30" s="272"/>
      <c r="BA30" s="272"/>
      <c r="BB30" s="272"/>
      <c r="BC30" s="272"/>
    </row>
    <row r="31" spans="1:55" ht="15.75" thickBot="1" x14ac:dyDescent="0.3">
      <c r="A31" s="272" t="s">
        <v>2</v>
      </c>
      <c r="B31" s="272" t="s">
        <v>170</v>
      </c>
      <c r="C31" s="272"/>
      <c r="D31" s="290">
        <f>SUMIF($B$4:$B$26,$B$31,D4:D26)</f>
        <v>0</v>
      </c>
      <c r="E31" s="290"/>
      <c r="F31" s="290"/>
      <c r="G31" s="290">
        <f>SUMIF($B$4:$B$25,$B$31,G4:G25)</f>
        <v>0</v>
      </c>
      <c r="H31" s="290">
        <f>SUMIF($B$4:$B$26,$B$31,H4:H26)</f>
        <v>0</v>
      </c>
      <c r="I31" s="290"/>
      <c r="J31" s="290"/>
      <c r="K31" s="290">
        <f>SUMIF($B$4:$B$25,$B$31,K4:K25)</f>
        <v>0</v>
      </c>
      <c r="L31" s="290">
        <f>SUMIF($B$4:$B$26,$B$31,L4:L26)</f>
        <v>0</v>
      </c>
      <c r="M31" s="290"/>
      <c r="N31" s="290"/>
      <c r="O31" s="290">
        <f>SUMIF($B$4:$B$25,$B$31,O4:O25)</f>
        <v>0</v>
      </c>
      <c r="P31" s="290">
        <f>SUMIF($B$4:$B$26,$B$31,P4:P26)</f>
        <v>0</v>
      </c>
      <c r="Q31" s="290"/>
      <c r="R31" s="290"/>
      <c r="S31" s="290">
        <f>SUMIF($B$4:$B$25,$B$31,S4:S25)</f>
        <v>0</v>
      </c>
      <c r="T31" s="290">
        <f>SUMIF($B$4:$B$26,$B$31,T4:T26)</f>
        <v>0</v>
      </c>
      <c r="U31" s="290"/>
      <c r="V31" s="290"/>
      <c r="W31" s="290">
        <f>SUMIF($B$4:$B$25,$B$31,W4:W25)</f>
        <v>0</v>
      </c>
      <c r="X31" s="290">
        <f>SUMIF($B$4:$B$26,$B$31,X4:X26)</f>
        <v>0</v>
      </c>
      <c r="Y31" s="290"/>
      <c r="Z31" s="290"/>
      <c r="AA31" s="290">
        <f>SUMIF($B$4:$B$25,$B$31,AA4:AA25)</f>
        <v>0</v>
      </c>
      <c r="AB31" s="290">
        <f>SUMIF($B$4:$B$26,$B$31,AB4:AB26)</f>
        <v>0</v>
      </c>
      <c r="AC31" s="290"/>
      <c r="AD31" s="290"/>
      <c r="AE31" s="290">
        <f>SUMIF($B$4:$B$25,$B$31,AE4:AE25)</f>
        <v>0</v>
      </c>
      <c r="AF31" s="290">
        <f>SUMIF($B$4:$B$26,$B$31,AF4:AF26)</f>
        <v>0</v>
      </c>
      <c r="AG31" s="290"/>
      <c r="AH31" s="290"/>
      <c r="AI31" s="290">
        <f>SUMIF($B$4:$B$25,$B$31,AI4:AI25)</f>
        <v>0</v>
      </c>
      <c r="AJ31" s="290">
        <f>SUMIF($B$4:$B$26,$B$31,AJ4:AJ26)</f>
        <v>0</v>
      </c>
      <c r="AK31" s="290"/>
      <c r="AL31" s="290"/>
      <c r="AM31" s="290">
        <f>SUMIF($B$4:$B$25,$B$31,AM4:AM25)</f>
        <v>0</v>
      </c>
      <c r="AN31" s="290">
        <f>SUMIF($B$4:$B$26,$B$31,AN4:AN26)</f>
        <v>0</v>
      </c>
      <c r="AO31" s="290"/>
      <c r="AP31" s="290"/>
      <c r="AQ31" s="290">
        <f>SUMIF($B$4:$B$25,$B$31,AQ4:AQ25)</f>
        <v>0</v>
      </c>
      <c r="AR31" s="290">
        <f>SUMIF($B$4:$B$26,$B$31,AR4:AR26)</f>
        <v>0</v>
      </c>
      <c r="AS31" s="290"/>
      <c r="AT31" s="290"/>
      <c r="AU31" s="290">
        <f>SUMIF($B$4:$B$25,$B$31,AU4:AU25)</f>
        <v>0</v>
      </c>
      <c r="AV31" s="290">
        <f>SUMIF($B$4:$B$26,$B$31,AV4:AV26)</f>
        <v>0</v>
      </c>
      <c r="AW31" s="290"/>
      <c r="AX31" s="290"/>
      <c r="AY31" s="290">
        <f>SUMIF($B$4:$B$25,$B$31,AY4:AY25)</f>
        <v>0</v>
      </c>
      <c r="AZ31" s="290">
        <f>SUMIF($B$4:$B$25,$B$31,AZ4:AZ25)</f>
        <v>0</v>
      </c>
      <c r="BA31" s="290"/>
      <c r="BB31" s="290"/>
      <c r="BC31" s="290">
        <f>SUMIF($B$4:$B$25,$B$31,BC4:BC25)</f>
        <v>0</v>
      </c>
    </row>
    <row r="32" spans="1:55" x14ac:dyDescent="0.25">
      <c r="A32" s="272"/>
      <c r="B32" s="272" t="s">
        <v>2</v>
      </c>
      <c r="C32" s="272"/>
      <c r="D32" s="272">
        <f>D29+D31</f>
        <v>0</v>
      </c>
      <c r="E32" s="272"/>
      <c r="F32" s="272"/>
      <c r="G32" s="272">
        <f>G29+G31</f>
        <v>0</v>
      </c>
      <c r="H32" s="272">
        <f>H29+H31</f>
        <v>0</v>
      </c>
      <c r="I32" s="272"/>
      <c r="J32" s="272"/>
      <c r="K32" s="272">
        <f>K29+K31</f>
        <v>0</v>
      </c>
      <c r="L32" s="272">
        <f>L29+L31</f>
        <v>0</v>
      </c>
      <c r="M32" s="272"/>
      <c r="N32" s="272"/>
      <c r="O32" s="272">
        <f>O29+O31</f>
        <v>0</v>
      </c>
      <c r="P32" s="272">
        <f>P29+P31</f>
        <v>0</v>
      </c>
      <c r="Q32" s="272"/>
      <c r="R32" s="272"/>
      <c r="S32" s="272">
        <f>S29+S31</f>
        <v>0</v>
      </c>
      <c r="T32" s="272">
        <f>T29+T31</f>
        <v>0</v>
      </c>
      <c r="U32" s="272"/>
      <c r="V32" s="272"/>
      <c r="W32" s="272">
        <f>W29+W31</f>
        <v>0</v>
      </c>
      <c r="X32" s="272">
        <f>X29+X31</f>
        <v>0</v>
      </c>
      <c r="Y32" s="272"/>
      <c r="Z32" s="272"/>
      <c r="AA32" s="272">
        <f>AA29+AA31</f>
        <v>0</v>
      </c>
      <c r="AB32" s="272">
        <f>AB29+AB31</f>
        <v>0</v>
      </c>
      <c r="AC32" s="272"/>
      <c r="AD32" s="272"/>
      <c r="AE32" s="272">
        <f>AE29+AE31</f>
        <v>0</v>
      </c>
      <c r="AF32" s="272">
        <f>AF29+AF31</f>
        <v>0</v>
      </c>
      <c r="AG32" s="272"/>
      <c r="AH32" s="272"/>
      <c r="AI32" s="272">
        <f>AI29+AI31</f>
        <v>0</v>
      </c>
      <c r="AJ32" s="272">
        <f>AJ29+AJ31</f>
        <v>0</v>
      </c>
      <c r="AK32" s="272"/>
      <c r="AL32" s="272"/>
      <c r="AM32" s="272">
        <f>AM29+AM31</f>
        <v>0</v>
      </c>
      <c r="AN32" s="272">
        <f>AN29+AN31</f>
        <v>0</v>
      </c>
      <c r="AO32" s="272"/>
      <c r="AP32" s="272"/>
      <c r="AQ32" s="272">
        <f>AQ29+AQ31</f>
        <v>0</v>
      </c>
      <c r="AR32" s="272">
        <f>AR29+AR31</f>
        <v>0</v>
      </c>
      <c r="AS32" s="272"/>
      <c r="AT32" s="272"/>
      <c r="AU32" s="272">
        <f>AU29+AU31</f>
        <v>0</v>
      </c>
      <c r="AV32" s="272">
        <f>AV29+AV31</f>
        <v>0</v>
      </c>
      <c r="AW32" s="272"/>
      <c r="AX32" s="272"/>
      <c r="AY32" s="272">
        <f>AY29+AY31</f>
        <v>0</v>
      </c>
      <c r="AZ32" s="272">
        <f>AZ29+AZ31</f>
        <v>0</v>
      </c>
      <c r="BA32" s="272"/>
      <c r="BB32" s="272"/>
      <c r="BC32" s="272">
        <f>BC29+BC31</f>
        <v>0</v>
      </c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C546E-F9FE-4583-B540-6B8E633E5687}">
  <sheetPr codeName="Sheet26">
    <tabColor theme="0" tint="-0.14999847407452621"/>
  </sheetPr>
  <dimension ref="A1:BC32"/>
  <sheetViews>
    <sheetView workbookViewId="0">
      <pane xSplit="3" ySplit="3" topLeftCell="D4" activePane="bottomRight" state="frozen"/>
      <selection activeCell="B49" sqref="B49"/>
      <selection pane="topRight" activeCell="B49" sqref="B49"/>
      <selection pane="bottomLeft" activeCell="B49" sqref="B49"/>
      <selection pane="bottomRight" activeCell="B49" sqref="B49"/>
    </sheetView>
  </sheetViews>
  <sheetFormatPr defaultColWidth="9.140625" defaultRowHeight="15" x14ac:dyDescent="0.25"/>
  <cols>
    <col min="2" max="2" width="10.7109375" bestFit="1" customWidth="1"/>
    <col min="3" max="3" width="13.85546875" bestFit="1" customWidth="1"/>
    <col min="4" max="5" width="9.7109375" bestFit="1" customWidth="1"/>
    <col min="6" max="6" width="10.5703125" bestFit="1" customWidth="1"/>
    <col min="7" max="7" width="11.85546875" customWidth="1"/>
    <col min="8" max="8" width="9.85546875" customWidth="1"/>
    <col min="9" max="9" width="9.5703125" customWidth="1"/>
    <col min="11" max="11" width="13.28515625" style="294" customWidth="1"/>
    <col min="12" max="12" width="9.28515625" bestFit="1" customWidth="1"/>
    <col min="13" max="13" width="9.42578125" customWidth="1"/>
    <col min="14" max="14" width="9.28515625" bestFit="1" customWidth="1"/>
    <col min="15" max="15" width="11.7109375" style="291" customWidth="1"/>
    <col min="16" max="18" width="10.7109375" customWidth="1"/>
    <col min="19" max="19" width="12.140625" customWidth="1"/>
    <col min="52" max="52" width="11.140625" customWidth="1"/>
    <col min="53" max="53" width="10.28515625" bestFit="1" customWidth="1"/>
    <col min="55" max="55" width="16.140625" customWidth="1"/>
  </cols>
  <sheetData>
    <row r="1" spans="1:55" ht="15.75" thickBot="1" x14ac:dyDescent="0.3">
      <c r="A1" s="150" t="str">
        <f>Summary_4!B1</f>
        <v>Mount Erin</v>
      </c>
    </row>
    <row r="2" spans="1:55" s="150" customFormat="1" x14ac:dyDescent="0.25">
      <c r="B2" s="255"/>
      <c r="C2" s="256"/>
      <c r="D2" s="257">
        <v>45658</v>
      </c>
      <c r="E2" s="256"/>
      <c r="F2" s="256"/>
      <c r="G2" s="258"/>
      <c r="H2" s="257">
        <v>45689</v>
      </c>
      <c r="I2" s="259"/>
      <c r="J2" s="259"/>
      <c r="K2" s="295"/>
      <c r="L2" s="257">
        <v>45717</v>
      </c>
      <c r="M2" s="256"/>
      <c r="N2" s="256"/>
      <c r="O2" s="292"/>
      <c r="P2" s="257">
        <v>45748</v>
      </c>
      <c r="Q2" s="256"/>
      <c r="R2" s="256"/>
      <c r="S2" s="258"/>
      <c r="T2" s="257">
        <v>45778</v>
      </c>
      <c r="U2" s="256"/>
      <c r="V2" s="256"/>
      <c r="W2" s="258"/>
      <c r="X2" s="257">
        <v>45809</v>
      </c>
      <c r="Y2" s="256"/>
      <c r="Z2" s="256"/>
      <c r="AA2" s="258"/>
      <c r="AB2" s="257">
        <v>45839</v>
      </c>
      <c r="AC2" s="256"/>
      <c r="AD2" s="256"/>
      <c r="AE2" s="258"/>
      <c r="AF2" s="257">
        <v>45870</v>
      </c>
      <c r="AG2" s="256"/>
      <c r="AH2" s="256"/>
      <c r="AI2" s="258"/>
      <c r="AJ2" s="257">
        <v>45901</v>
      </c>
      <c r="AK2" s="256"/>
      <c r="AL2" s="256"/>
      <c r="AM2" s="258"/>
      <c r="AN2" s="257">
        <v>45931</v>
      </c>
      <c r="AO2" s="256"/>
      <c r="AP2" s="256"/>
      <c r="AQ2" s="258"/>
      <c r="AR2" s="257">
        <v>45962</v>
      </c>
      <c r="AS2" s="256"/>
      <c r="AT2" s="256"/>
      <c r="AU2" s="258"/>
      <c r="AV2" s="257">
        <v>45992</v>
      </c>
      <c r="AW2" s="256"/>
      <c r="AX2" s="256"/>
      <c r="AY2" s="258"/>
      <c r="AZ2" s="256" t="s">
        <v>123</v>
      </c>
      <c r="BA2" s="256"/>
      <c r="BB2" s="256"/>
      <c r="BC2" s="260"/>
    </row>
    <row r="3" spans="1:55" s="269" customFormat="1" ht="30.75" thickBot="1" x14ac:dyDescent="0.3">
      <c r="B3" s="261" t="s">
        <v>165</v>
      </c>
      <c r="C3" s="262" t="s">
        <v>13</v>
      </c>
      <c r="D3" s="263" t="s">
        <v>166</v>
      </c>
      <c r="E3" s="264" t="s">
        <v>167</v>
      </c>
      <c r="F3" s="264" t="s">
        <v>168</v>
      </c>
      <c r="G3" s="265" t="s">
        <v>169</v>
      </c>
      <c r="H3" s="266" t="s">
        <v>166</v>
      </c>
      <c r="I3" s="267" t="s">
        <v>167</v>
      </c>
      <c r="J3" s="267" t="s">
        <v>168</v>
      </c>
      <c r="K3" s="296" t="s">
        <v>169</v>
      </c>
      <c r="L3" s="263" t="s">
        <v>166</v>
      </c>
      <c r="M3" s="264" t="s">
        <v>167</v>
      </c>
      <c r="N3" s="264" t="s">
        <v>168</v>
      </c>
      <c r="O3" s="293" t="s">
        <v>169</v>
      </c>
      <c r="P3" s="263" t="s">
        <v>166</v>
      </c>
      <c r="Q3" s="264" t="s">
        <v>167</v>
      </c>
      <c r="R3" s="264" t="s">
        <v>168</v>
      </c>
      <c r="S3" s="265" t="s">
        <v>169</v>
      </c>
      <c r="T3" s="263" t="s">
        <v>166</v>
      </c>
      <c r="U3" s="264" t="s">
        <v>167</v>
      </c>
      <c r="V3" s="264" t="s">
        <v>168</v>
      </c>
      <c r="W3" s="265" t="s">
        <v>169</v>
      </c>
      <c r="X3" s="263" t="s">
        <v>166</v>
      </c>
      <c r="Y3" s="264" t="s">
        <v>167</v>
      </c>
      <c r="Z3" s="264" t="s">
        <v>168</v>
      </c>
      <c r="AA3" s="265" t="s">
        <v>169</v>
      </c>
      <c r="AB3" s="263" t="s">
        <v>166</v>
      </c>
      <c r="AC3" s="264" t="s">
        <v>167</v>
      </c>
      <c r="AD3" s="264" t="s">
        <v>168</v>
      </c>
      <c r="AE3" s="265" t="s">
        <v>169</v>
      </c>
      <c r="AF3" s="263" t="s">
        <v>166</v>
      </c>
      <c r="AG3" s="264" t="s">
        <v>167</v>
      </c>
      <c r="AH3" s="264" t="s">
        <v>168</v>
      </c>
      <c r="AI3" s="265" t="s">
        <v>169</v>
      </c>
      <c r="AJ3" s="263" t="s">
        <v>166</v>
      </c>
      <c r="AK3" s="264" t="s">
        <v>167</v>
      </c>
      <c r="AL3" s="264" t="s">
        <v>168</v>
      </c>
      <c r="AM3" s="265" t="s">
        <v>169</v>
      </c>
      <c r="AN3" s="263" t="s">
        <v>166</v>
      </c>
      <c r="AO3" s="264" t="s">
        <v>167</v>
      </c>
      <c r="AP3" s="264" t="s">
        <v>168</v>
      </c>
      <c r="AQ3" s="265" t="s">
        <v>169</v>
      </c>
      <c r="AR3" s="263" t="s">
        <v>166</v>
      </c>
      <c r="AS3" s="264" t="s">
        <v>167</v>
      </c>
      <c r="AT3" s="264" t="s">
        <v>168</v>
      </c>
      <c r="AU3" s="265" t="s">
        <v>169</v>
      </c>
      <c r="AV3" s="263" t="s">
        <v>166</v>
      </c>
      <c r="AW3" s="264" t="s">
        <v>167</v>
      </c>
      <c r="AX3" s="264" t="s">
        <v>168</v>
      </c>
      <c r="AY3" s="265" t="s">
        <v>169</v>
      </c>
      <c r="AZ3" s="264" t="s">
        <v>166</v>
      </c>
      <c r="BA3" s="264" t="s">
        <v>167</v>
      </c>
      <c r="BB3" s="264" t="s">
        <v>168</v>
      </c>
      <c r="BC3" s="268" t="s">
        <v>169</v>
      </c>
    </row>
    <row r="4" spans="1:55" x14ac:dyDescent="0.25">
      <c r="B4" s="270" t="s">
        <v>172</v>
      </c>
      <c r="C4" s="68" t="s">
        <v>20</v>
      </c>
      <c r="D4" s="271"/>
      <c r="E4" s="272"/>
      <c r="F4" s="272"/>
      <c r="G4" s="273">
        <f t="shared" ref="G4:G12" si="0">D4*F4</f>
        <v>0</v>
      </c>
      <c r="H4" s="274"/>
      <c r="I4" s="275"/>
      <c r="J4" s="275"/>
      <c r="K4" s="297">
        <f t="shared" ref="K4:K12" si="1">H4*J4</f>
        <v>0</v>
      </c>
      <c r="L4" s="274"/>
      <c r="M4" s="275"/>
      <c r="N4" s="275"/>
      <c r="O4" s="299">
        <f t="shared" ref="O4:O12" si="2">L4*N4</f>
        <v>0</v>
      </c>
      <c r="P4" s="277"/>
      <c r="S4" s="278"/>
      <c r="T4" s="277"/>
      <c r="W4" s="278"/>
      <c r="X4" s="277"/>
      <c r="AA4" s="278"/>
      <c r="AB4" s="277"/>
      <c r="AE4" s="278"/>
      <c r="AF4" s="277"/>
      <c r="AI4" s="278"/>
      <c r="AJ4" s="277"/>
      <c r="AM4" s="278"/>
      <c r="AN4" s="277"/>
      <c r="AQ4" s="278"/>
      <c r="AR4" s="277"/>
      <c r="AU4" s="278"/>
      <c r="AV4" s="277"/>
      <c r="AZ4" s="271">
        <f t="shared" ref="AZ4:AZ26" si="3">SUM(D4,H4,L4,P4,T4,X4,AB4,AF4,AJ4,AN4,AR4,AV4)</f>
        <v>0</v>
      </c>
      <c r="BA4" s="272">
        <f t="shared" ref="BA4:BA26" si="4">SUM(E4,I4,M4,Q4,U4,Y4,AC4,AG4,AK4,AO4,AS4,AW4)</f>
        <v>0</v>
      </c>
      <c r="BC4" s="279">
        <f t="shared" ref="BC4:BC26" si="5">SUM(G4,K4,O4,S4,W4,AA4,AE4,AI4,AM4,AQ4,AU4,AY4)</f>
        <v>0</v>
      </c>
    </row>
    <row r="5" spans="1:55" x14ac:dyDescent="0.25">
      <c r="B5" s="270" t="s">
        <v>172</v>
      </c>
      <c r="C5" s="68" t="s">
        <v>22</v>
      </c>
      <c r="D5" s="271"/>
      <c r="E5" s="272"/>
      <c r="F5" s="272"/>
      <c r="G5" s="273">
        <f t="shared" si="0"/>
        <v>0</v>
      </c>
      <c r="H5" s="274"/>
      <c r="I5" s="275"/>
      <c r="J5" s="275"/>
      <c r="K5" s="297">
        <f t="shared" si="1"/>
        <v>0</v>
      </c>
      <c r="L5" s="274"/>
      <c r="M5" s="275"/>
      <c r="N5" s="275"/>
      <c r="O5" s="299">
        <f t="shared" si="2"/>
        <v>0</v>
      </c>
      <c r="P5" s="277"/>
      <c r="S5" s="278"/>
      <c r="T5" s="277"/>
      <c r="W5" s="278"/>
      <c r="X5" s="277"/>
      <c r="AA5" s="278"/>
      <c r="AB5" s="277"/>
      <c r="AE5" s="278"/>
      <c r="AF5" s="277"/>
      <c r="AI5" s="278"/>
      <c r="AJ5" s="277"/>
      <c r="AM5" s="278"/>
      <c r="AN5" s="277"/>
      <c r="AQ5" s="278"/>
      <c r="AR5" s="277"/>
      <c r="AU5" s="278"/>
      <c r="AV5" s="277"/>
      <c r="AZ5" s="271">
        <f t="shared" si="3"/>
        <v>0</v>
      </c>
      <c r="BA5" s="272">
        <f t="shared" si="4"/>
        <v>0</v>
      </c>
      <c r="BC5" s="279">
        <f t="shared" si="5"/>
        <v>0</v>
      </c>
    </row>
    <row r="6" spans="1:55" x14ac:dyDescent="0.25">
      <c r="B6" s="270" t="s">
        <v>172</v>
      </c>
      <c r="C6" s="68" t="s">
        <v>25</v>
      </c>
      <c r="D6" s="271"/>
      <c r="E6" s="272"/>
      <c r="F6" s="272"/>
      <c r="G6" s="273">
        <f t="shared" si="0"/>
        <v>0</v>
      </c>
      <c r="H6" s="274"/>
      <c r="I6" s="275"/>
      <c r="J6" s="275"/>
      <c r="K6" s="297">
        <f t="shared" si="1"/>
        <v>0</v>
      </c>
      <c r="L6" s="274"/>
      <c r="M6" s="275"/>
      <c r="N6" s="275"/>
      <c r="O6" s="299">
        <f t="shared" si="2"/>
        <v>0</v>
      </c>
      <c r="P6" s="277"/>
      <c r="S6" s="278"/>
      <c r="T6" s="277"/>
      <c r="W6" s="278"/>
      <c r="X6" s="277"/>
      <c r="AA6" s="278"/>
      <c r="AB6" s="277"/>
      <c r="AE6" s="278"/>
      <c r="AF6" s="277"/>
      <c r="AI6" s="278"/>
      <c r="AJ6" s="277"/>
      <c r="AM6" s="278"/>
      <c r="AN6" s="277"/>
      <c r="AQ6" s="278"/>
      <c r="AR6" s="277"/>
      <c r="AU6" s="278"/>
      <c r="AV6" s="277"/>
      <c r="AZ6" s="271">
        <f t="shared" si="3"/>
        <v>0</v>
      </c>
      <c r="BA6" s="272">
        <f t="shared" si="4"/>
        <v>0</v>
      </c>
      <c r="BC6" s="279">
        <f t="shared" si="5"/>
        <v>0</v>
      </c>
    </row>
    <row r="7" spans="1:55" x14ac:dyDescent="0.25">
      <c r="B7" s="270" t="s">
        <v>172</v>
      </c>
      <c r="C7" s="68" t="s">
        <v>30</v>
      </c>
      <c r="D7" s="271"/>
      <c r="E7" s="272"/>
      <c r="F7" s="272"/>
      <c r="G7" s="273">
        <f t="shared" si="0"/>
        <v>0</v>
      </c>
      <c r="H7" s="274"/>
      <c r="I7" s="275"/>
      <c r="J7" s="275"/>
      <c r="K7" s="297">
        <f t="shared" si="1"/>
        <v>0</v>
      </c>
      <c r="L7" s="274"/>
      <c r="M7" s="275"/>
      <c r="N7" s="275"/>
      <c r="O7" s="299">
        <f t="shared" si="2"/>
        <v>0</v>
      </c>
      <c r="P7" s="277"/>
      <c r="S7" s="278"/>
      <c r="T7" s="277"/>
      <c r="W7" s="278"/>
      <c r="X7" s="277"/>
      <c r="AA7" s="278"/>
      <c r="AB7" s="277"/>
      <c r="AE7" s="278"/>
      <c r="AF7" s="277"/>
      <c r="AI7" s="278"/>
      <c r="AJ7" s="277"/>
      <c r="AM7" s="278"/>
      <c r="AN7" s="277"/>
      <c r="AQ7" s="278"/>
      <c r="AR7" s="277"/>
      <c r="AU7" s="278"/>
      <c r="AV7" s="277"/>
      <c r="AZ7" s="271">
        <f t="shared" si="3"/>
        <v>0</v>
      </c>
      <c r="BA7" s="272">
        <f t="shared" si="4"/>
        <v>0</v>
      </c>
      <c r="BC7" s="279">
        <f t="shared" si="5"/>
        <v>0</v>
      </c>
    </row>
    <row r="8" spans="1:55" x14ac:dyDescent="0.25">
      <c r="B8" s="270" t="s">
        <v>172</v>
      </c>
      <c r="C8" s="68" t="s">
        <v>222</v>
      </c>
      <c r="D8" s="271"/>
      <c r="E8" s="272"/>
      <c r="F8" s="272"/>
      <c r="G8" s="273">
        <f t="shared" si="0"/>
        <v>0</v>
      </c>
      <c r="H8" s="274"/>
      <c r="I8" s="275"/>
      <c r="J8" s="275"/>
      <c r="K8" s="297">
        <f t="shared" si="1"/>
        <v>0</v>
      </c>
      <c r="L8" s="274"/>
      <c r="M8" s="275"/>
      <c r="N8" s="275"/>
      <c r="O8" s="299">
        <f t="shared" si="2"/>
        <v>0</v>
      </c>
      <c r="P8" s="277"/>
      <c r="S8" s="278"/>
      <c r="T8" s="277"/>
      <c r="W8" s="278"/>
      <c r="X8" s="277"/>
      <c r="AA8" s="278"/>
      <c r="AB8" s="277"/>
      <c r="AE8" s="278"/>
      <c r="AF8" s="277"/>
      <c r="AI8" s="278"/>
      <c r="AJ8" s="277"/>
      <c r="AM8" s="278"/>
      <c r="AN8" s="277"/>
      <c r="AQ8" s="278"/>
      <c r="AR8" s="277"/>
      <c r="AU8" s="278"/>
      <c r="AV8" s="277"/>
      <c r="AZ8" s="271">
        <f t="shared" si="3"/>
        <v>0</v>
      </c>
      <c r="BA8" s="272">
        <f t="shared" si="4"/>
        <v>0</v>
      </c>
      <c r="BC8" s="279">
        <f t="shared" si="5"/>
        <v>0</v>
      </c>
    </row>
    <row r="9" spans="1:55" x14ac:dyDescent="0.25">
      <c r="B9" s="270" t="s">
        <v>172</v>
      </c>
      <c r="C9" s="68" t="s">
        <v>34</v>
      </c>
      <c r="D9" s="271"/>
      <c r="E9" s="272"/>
      <c r="F9" s="272"/>
      <c r="G9" s="273">
        <f t="shared" si="0"/>
        <v>0</v>
      </c>
      <c r="H9" s="274"/>
      <c r="I9" s="275"/>
      <c r="J9" s="275"/>
      <c r="K9" s="297">
        <f t="shared" si="1"/>
        <v>0</v>
      </c>
      <c r="L9" s="274"/>
      <c r="M9" s="275"/>
      <c r="N9" s="275"/>
      <c r="O9" s="299">
        <f t="shared" si="2"/>
        <v>0</v>
      </c>
      <c r="P9" s="277"/>
      <c r="S9" s="278"/>
      <c r="T9" s="277"/>
      <c r="W9" s="278"/>
      <c r="X9" s="277"/>
      <c r="AA9" s="278"/>
      <c r="AB9" s="277"/>
      <c r="AE9" s="278"/>
      <c r="AF9" s="277"/>
      <c r="AI9" s="278"/>
      <c r="AJ9" s="277"/>
      <c r="AM9" s="278"/>
      <c r="AN9" s="277"/>
      <c r="AQ9" s="278"/>
      <c r="AR9" s="277"/>
      <c r="AU9" s="278"/>
      <c r="AV9" s="277"/>
      <c r="AZ9" s="271">
        <f t="shared" si="3"/>
        <v>0</v>
      </c>
      <c r="BA9" s="272">
        <f t="shared" si="4"/>
        <v>0</v>
      </c>
      <c r="BC9" s="279">
        <f t="shared" si="5"/>
        <v>0</v>
      </c>
    </row>
    <row r="10" spans="1:55" x14ac:dyDescent="0.25">
      <c r="B10" s="270" t="s">
        <v>172</v>
      </c>
      <c r="C10" s="68" t="s">
        <v>37</v>
      </c>
      <c r="D10" s="271"/>
      <c r="E10" s="272"/>
      <c r="F10" s="272"/>
      <c r="G10" s="273">
        <f t="shared" si="0"/>
        <v>0</v>
      </c>
      <c r="H10" s="274"/>
      <c r="I10" s="275"/>
      <c r="J10" s="275"/>
      <c r="K10" s="297">
        <f t="shared" si="1"/>
        <v>0</v>
      </c>
      <c r="L10" s="274"/>
      <c r="M10" s="275"/>
      <c r="N10" s="275"/>
      <c r="O10" s="299">
        <f t="shared" si="2"/>
        <v>0</v>
      </c>
      <c r="P10" s="277"/>
      <c r="S10" s="278"/>
      <c r="T10" s="277"/>
      <c r="W10" s="278"/>
      <c r="X10" s="277"/>
      <c r="AA10" s="278"/>
      <c r="AB10" s="277"/>
      <c r="AE10" s="278"/>
      <c r="AF10" s="277"/>
      <c r="AI10" s="278"/>
      <c r="AJ10" s="277"/>
      <c r="AM10" s="278"/>
      <c r="AN10" s="277"/>
      <c r="AQ10" s="278"/>
      <c r="AR10" s="277"/>
      <c r="AU10" s="278"/>
      <c r="AV10" s="277"/>
      <c r="AY10" s="278"/>
      <c r="AZ10" s="271">
        <f t="shared" si="3"/>
        <v>0</v>
      </c>
      <c r="BA10" s="272">
        <f t="shared" si="4"/>
        <v>0</v>
      </c>
      <c r="BC10" s="279">
        <f t="shared" si="5"/>
        <v>0</v>
      </c>
    </row>
    <row r="11" spans="1:55" x14ac:dyDescent="0.25">
      <c r="B11" s="270" t="s">
        <v>172</v>
      </c>
      <c r="C11" s="68" t="s">
        <v>174</v>
      </c>
      <c r="D11" s="271"/>
      <c r="E11" s="272"/>
      <c r="F11" s="272"/>
      <c r="G11" s="273">
        <f t="shared" si="0"/>
        <v>0</v>
      </c>
      <c r="H11" s="274"/>
      <c r="I11" s="275"/>
      <c r="J11" s="275"/>
      <c r="K11" s="297">
        <f t="shared" si="1"/>
        <v>0</v>
      </c>
      <c r="L11" s="274"/>
      <c r="M11" s="275"/>
      <c r="N11" s="275"/>
      <c r="O11" s="299">
        <f t="shared" si="2"/>
        <v>0</v>
      </c>
      <c r="P11" s="277"/>
      <c r="S11" s="278"/>
      <c r="T11" s="277"/>
      <c r="W11" s="278"/>
      <c r="X11" s="277"/>
      <c r="AA11" s="278"/>
      <c r="AB11" s="277"/>
      <c r="AE11" s="278"/>
      <c r="AF11" s="277"/>
      <c r="AI11" s="278"/>
      <c r="AJ11" s="277"/>
      <c r="AM11" s="278"/>
      <c r="AN11" s="277"/>
      <c r="AQ11" s="278"/>
      <c r="AR11" s="277"/>
      <c r="AU11" s="278"/>
      <c r="AV11" s="277"/>
      <c r="AY11" s="278"/>
      <c r="AZ11" s="271">
        <f t="shared" si="3"/>
        <v>0</v>
      </c>
      <c r="BA11" s="272">
        <f t="shared" si="4"/>
        <v>0</v>
      </c>
      <c r="BC11" s="279">
        <f t="shared" si="5"/>
        <v>0</v>
      </c>
    </row>
    <row r="12" spans="1:55" x14ac:dyDescent="0.25">
      <c r="B12" s="270" t="s">
        <v>172</v>
      </c>
      <c r="C12" s="68" t="s">
        <v>38</v>
      </c>
      <c r="D12" s="271"/>
      <c r="E12" s="272"/>
      <c r="F12" s="272"/>
      <c r="G12" s="273">
        <f t="shared" si="0"/>
        <v>0</v>
      </c>
      <c r="H12" s="274"/>
      <c r="I12" s="275"/>
      <c r="J12" s="275"/>
      <c r="K12" s="297">
        <f t="shared" si="1"/>
        <v>0</v>
      </c>
      <c r="L12" s="274"/>
      <c r="M12" s="275"/>
      <c r="N12" s="275"/>
      <c r="O12" s="299">
        <f t="shared" si="2"/>
        <v>0</v>
      </c>
      <c r="P12" s="277"/>
      <c r="S12" s="278"/>
      <c r="T12" s="277"/>
      <c r="W12" s="278"/>
      <c r="X12" s="277"/>
      <c r="AA12" s="278"/>
      <c r="AB12" s="277"/>
      <c r="AE12" s="278"/>
      <c r="AF12" s="277"/>
      <c r="AI12" s="278"/>
      <c r="AJ12" s="277"/>
      <c r="AM12" s="278"/>
      <c r="AN12" s="277"/>
      <c r="AQ12" s="278"/>
      <c r="AR12" s="277"/>
      <c r="AU12" s="278"/>
      <c r="AV12" s="277"/>
      <c r="AY12" s="278"/>
      <c r="AZ12" s="271">
        <f t="shared" si="3"/>
        <v>0</v>
      </c>
      <c r="BA12" s="272">
        <f t="shared" si="4"/>
        <v>0</v>
      </c>
      <c r="BC12" s="279">
        <f t="shared" si="5"/>
        <v>0</v>
      </c>
    </row>
    <row r="13" spans="1:55" x14ac:dyDescent="0.25">
      <c r="B13" s="24" t="s">
        <v>170</v>
      </c>
      <c r="C13" s="68" t="s">
        <v>171</v>
      </c>
      <c r="D13" s="271"/>
      <c r="E13" s="272"/>
      <c r="F13" s="272"/>
      <c r="G13" s="273">
        <f t="shared" ref="G13:G25" si="6">E13*F13</f>
        <v>0</v>
      </c>
      <c r="H13" s="274"/>
      <c r="I13" s="275"/>
      <c r="J13" s="275"/>
      <c r="K13" s="298">
        <f t="shared" ref="K13:K25" si="7">I13*J13</f>
        <v>0</v>
      </c>
      <c r="L13" s="274"/>
      <c r="M13" s="275"/>
      <c r="N13" s="275"/>
      <c r="O13" s="276">
        <f>M13*N13</f>
        <v>0</v>
      </c>
      <c r="P13" s="277"/>
      <c r="S13" s="278"/>
      <c r="T13" s="277"/>
      <c r="W13" s="278"/>
      <c r="X13" s="277"/>
      <c r="AA13" s="278"/>
      <c r="AB13" s="277"/>
      <c r="AE13" s="278"/>
      <c r="AF13" s="277"/>
      <c r="AI13" s="278"/>
      <c r="AJ13" s="277"/>
      <c r="AM13" s="278"/>
      <c r="AN13" s="277"/>
      <c r="AQ13" s="278"/>
      <c r="AR13" s="277"/>
      <c r="AU13" s="278"/>
      <c r="AV13" s="277"/>
      <c r="AY13" s="278"/>
      <c r="AZ13" s="271">
        <f t="shared" si="3"/>
        <v>0</v>
      </c>
      <c r="BA13" s="272">
        <f t="shared" si="4"/>
        <v>0</v>
      </c>
      <c r="BC13" s="279">
        <f t="shared" si="5"/>
        <v>0</v>
      </c>
    </row>
    <row r="14" spans="1:55" x14ac:dyDescent="0.25">
      <c r="B14" s="24" t="s">
        <v>170</v>
      </c>
      <c r="C14" s="68" t="s">
        <v>173</v>
      </c>
      <c r="D14" s="271"/>
      <c r="E14" s="272"/>
      <c r="F14" s="272"/>
      <c r="G14" s="273">
        <f t="shared" si="6"/>
        <v>0</v>
      </c>
      <c r="H14" s="274"/>
      <c r="I14" s="275"/>
      <c r="J14" s="275"/>
      <c r="K14" s="298">
        <f t="shared" si="7"/>
        <v>0</v>
      </c>
      <c r="L14" s="274"/>
      <c r="M14" s="275"/>
      <c r="N14" s="275"/>
      <c r="O14" s="276">
        <f>M14*N14</f>
        <v>0</v>
      </c>
      <c r="P14" s="277"/>
      <c r="S14" s="278"/>
      <c r="T14" s="277"/>
      <c r="W14" s="278"/>
      <c r="X14" s="277"/>
      <c r="AA14" s="278"/>
      <c r="AB14" s="277"/>
      <c r="AE14" s="278"/>
      <c r="AF14" s="277"/>
      <c r="AI14" s="278"/>
      <c r="AJ14" s="277"/>
      <c r="AM14" s="278"/>
      <c r="AN14" s="277"/>
      <c r="AQ14" s="278"/>
      <c r="AR14" s="277"/>
      <c r="AU14" s="278"/>
      <c r="AV14" s="277"/>
      <c r="AY14" s="278"/>
      <c r="AZ14" s="271">
        <f t="shared" si="3"/>
        <v>0</v>
      </c>
      <c r="BA14" s="272">
        <f t="shared" si="4"/>
        <v>0</v>
      </c>
      <c r="BC14" s="279">
        <f t="shared" si="5"/>
        <v>0</v>
      </c>
    </row>
    <row r="15" spans="1:55" x14ac:dyDescent="0.25">
      <c r="B15" s="24" t="s">
        <v>170</v>
      </c>
      <c r="C15" s="68" t="s">
        <v>23</v>
      </c>
      <c r="D15" s="271"/>
      <c r="E15" s="272"/>
      <c r="F15" s="272"/>
      <c r="G15" s="273">
        <f t="shared" si="6"/>
        <v>0</v>
      </c>
      <c r="H15" s="274"/>
      <c r="I15" s="275"/>
      <c r="J15" s="275"/>
      <c r="K15" s="297">
        <f t="shared" si="7"/>
        <v>0</v>
      </c>
      <c r="L15" s="274"/>
      <c r="M15" s="275"/>
      <c r="N15" s="275"/>
      <c r="O15" s="299">
        <f>L15*N15</f>
        <v>0</v>
      </c>
      <c r="P15" s="277"/>
      <c r="S15" s="278"/>
      <c r="T15" s="277"/>
      <c r="W15" s="278"/>
      <c r="X15" s="277"/>
      <c r="AA15" s="278"/>
      <c r="AB15" s="277"/>
      <c r="AE15" s="278"/>
      <c r="AF15" s="277"/>
      <c r="AI15" s="278"/>
      <c r="AJ15" s="277"/>
      <c r="AM15" s="278"/>
      <c r="AN15" s="277"/>
      <c r="AQ15" s="278"/>
      <c r="AR15" s="277"/>
      <c r="AU15" s="278"/>
      <c r="AV15" s="277"/>
      <c r="AY15" s="278"/>
      <c r="AZ15" s="271">
        <f t="shared" si="3"/>
        <v>0</v>
      </c>
      <c r="BA15" s="272">
        <f t="shared" si="4"/>
        <v>0</v>
      </c>
      <c r="BC15" s="279">
        <f t="shared" si="5"/>
        <v>0</v>
      </c>
    </row>
    <row r="16" spans="1:55" x14ac:dyDescent="0.25">
      <c r="B16" s="24" t="s">
        <v>170</v>
      </c>
      <c r="C16" s="68" t="s">
        <v>24</v>
      </c>
      <c r="D16" s="271"/>
      <c r="E16" s="272"/>
      <c r="F16" s="272"/>
      <c r="G16" s="273">
        <f t="shared" si="6"/>
        <v>0</v>
      </c>
      <c r="H16" s="274"/>
      <c r="I16" s="275"/>
      <c r="J16" s="280"/>
      <c r="K16" s="298">
        <f t="shared" si="7"/>
        <v>0</v>
      </c>
      <c r="L16" s="274"/>
      <c r="M16" s="275"/>
      <c r="N16" s="275"/>
      <c r="O16" s="276">
        <f t="shared" ref="O16:O25" si="8">M16*N16</f>
        <v>0</v>
      </c>
      <c r="P16" s="277"/>
      <c r="S16" s="278"/>
      <c r="T16" s="277"/>
      <c r="W16" s="278"/>
      <c r="X16" s="277"/>
      <c r="AA16" s="278"/>
      <c r="AB16" s="277"/>
      <c r="AE16" s="278"/>
      <c r="AF16" s="277"/>
      <c r="AI16" s="278"/>
      <c r="AJ16" s="277"/>
      <c r="AM16" s="278"/>
      <c r="AN16" s="277"/>
      <c r="AQ16" s="278"/>
      <c r="AR16" s="277"/>
      <c r="AU16" s="278"/>
      <c r="AV16" s="277"/>
      <c r="AY16" s="278"/>
      <c r="AZ16" s="271">
        <f t="shared" si="3"/>
        <v>0</v>
      </c>
      <c r="BA16" s="272">
        <f t="shared" si="4"/>
        <v>0</v>
      </c>
      <c r="BC16" s="279">
        <f t="shared" si="5"/>
        <v>0</v>
      </c>
    </row>
    <row r="17" spans="1:55" x14ac:dyDescent="0.25">
      <c r="B17" s="24" t="s">
        <v>170</v>
      </c>
      <c r="C17" s="68" t="s">
        <v>26</v>
      </c>
      <c r="D17" s="271"/>
      <c r="E17" s="272"/>
      <c r="F17" s="272"/>
      <c r="G17" s="273">
        <f t="shared" si="6"/>
        <v>0</v>
      </c>
      <c r="H17" s="274"/>
      <c r="I17" s="275"/>
      <c r="J17" s="280"/>
      <c r="K17" s="298">
        <f t="shared" si="7"/>
        <v>0</v>
      </c>
      <c r="L17" s="274"/>
      <c r="M17" s="275"/>
      <c r="N17" s="275"/>
      <c r="O17" s="276">
        <f t="shared" si="8"/>
        <v>0</v>
      </c>
      <c r="P17" s="277"/>
      <c r="S17" s="278"/>
      <c r="T17" s="277"/>
      <c r="W17" s="278"/>
      <c r="X17" s="277"/>
      <c r="AA17" s="278"/>
      <c r="AB17" s="277"/>
      <c r="AE17" s="278"/>
      <c r="AF17" s="277"/>
      <c r="AI17" s="278"/>
      <c r="AJ17" s="277"/>
      <c r="AM17" s="278"/>
      <c r="AN17" s="277"/>
      <c r="AQ17" s="278"/>
      <c r="AR17" s="277"/>
      <c r="AU17" s="278"/>
      <c r="AV17" s="277"/>
      <c r="AY17" s="278"/>
      <c r="AZ17" s="271">
        <f t="shared" si="3"/>
        <v>0</v>
      </c>
      <c r="BA17" s="272">
        <f t="shared" si="4"/>
        <v>0</v>
      </c>
      <c r="BC17" s="279">
        <f t="shared" si="5"/>
        <v>0</v>
      </c>
    </row>
    <row r="18" spans="1:55" x14ac:dyDescent="0.25">
      <c r="B18" s="24" t="s">
        <v>170</v>
      </c>
      <c r="C18" s="68" t="s">
        <v>27</v>
      </c>
      <c r="D18" s="271"/>
      <c r="E18" s="272"/>
      <c r="F18" s="272"/>
      <c r="G18" s="273">
        <f t="shared" si="6"/>
        <v>0</v>
      </c>
      <c r="H18" s="274"/>
      <c r="I18" s="275"/>
      <c r="J18" s="275"/>
      <c r="K18" s="298">
        <f t="shared" si="7"/>
        <v>0</v>
      </c>
      <c r="L18" s="274"/>
      <c r="M18" s="275"/>
      <c r="N18" s="275"/>
      <c r="O18" s="276">
        <f t="shared" si="8"/>
        <v>0</v>
      </c>
      <c r="P18" s="277"/>
      <c r="S18" s="278"/>
      <c r="T18" s="277"/>
      <c r="W18" s="278"/>
      <c r="X18" s="277"/>
      <c r="AA18" s="278"/>
      <c r="AB18" s="277"/>
      <c r="AE18" s="278"/>
      <c r="AF18" s="277"/>
      <c r="AI18" s="278"/>
      <c r="AJ18" s="277"/>
      <c r="AM18" s="278"/>
      <c r="AN18" s="277"/>
      <c r="AQ18" s="278"/>
      <c r="AR18" s="277"/>
      <c r="AU18" s="278"/>
      <c r="AV18" s="277"/>
      <c r="AY18" s="278"/>
      <c r="AZ18" s="271">
        <f t="shared" si="3"/>
        <v>0</v>
      </c>
      <c r="BA18" s="272">
        <f t="shared" si="4"/>
        <v>0</v>
      </c>
      <c r="BC18" s="279">
        <f t="shared" si="5"/>
        <v>0</v>
      </c>
    </row>
    <row r="19" spans="1:55" x14ac:dyDescent="0.25">
      <c r="B19" s="24" t="s">
        <v>170</v>
      </c>
      <c r="C19" s="68" t="s">
        <v>29</v>
      </c>
      <c r="D19" s="271"/>
      <c r="E19" s="272"/>
      <c r="F19" s="272"/>
      <c r="G19" s="273">
        <f t="shared" si="6"/>
        <v>0</v>
      </c>
      <c r="H19" s="274"/>
      <c r="I19" s="275"/>
      <c r="J19" s="275"/>
      <c r="K19" s="297">
        <f t="shared" si="7"/>
        <v>0</v>
      </c>
      <c r="L19" s="274"/>
      <c r="M19" s="275"/>
      <c r="N19" s="275"/>
      <c r="O19" s="299">
        <f t="shared" si="8"/>
        <v>0</v>
      </c>
      <c r="P19" s="277"/>
      <c r="S19" s="278"/>
      <c r="T19" s="277"/>
      <c r="W19" s="278"/>
      <c r="X19" s="277"/>
      <c r="AA19" s="278"/>
      <c r="AB19" s="277"/>
      <c r="AE19" s="278"/>
      <c r="AF19" s="277"/>
      <c r="AI19" s="278"/>
      <c r="AJ19" s="277"/>
      <c r="AM19" s="278"/>
      <c r="AN19" s="277"/>
      <c r="AQ19" s="278"/>
      <c r="AR19" s="277"/>
      <c r="AU19" s="278"/>
      <c r="AV19" s="277"/>
      <c r="AY19" s="278"/>
      <c r="AZ19" s="271">
        <f t="shared" si="3"/>
        <v>0</v>
      </c>
      <c r="BA19" s="272">
        <f t="shared" si="4"/>
        <v>0</v>
      </c>
      <c r="BC19" s="279">
        <f t="shared" si="5"/>
        <v>0</v>
      </c>
    </row>
    <row r="20" spans="1:55" x14ac:dyDescent="0.25">
      <c r="B20" s="24" t="s">
        <v>170</v>
      </c>
      <c r="C20" s="68" t="s">
        <v>28</v>
      </c>
      <c r="D20" s="271"/>
      <c r="E20" s="272"/>
      <c r="F20" s="272"/>
      <c r="G20" s="273">
        <f t="shared" si="6"/>
        <v>0</v>
      </c>
      <c r="H20" s="274"/>
      <c r="I20" s="275"/>
      <c r="J20" s="275"/>
      <c r="K20" s="298">
        <f t="shared" si="7"/>
        <v>0</v>
      </c>
      <c r="L20" s="274"/>
      <c r="M20" s="275"/>
      <c r="N20" s="275"/>
      <c r="O20" s="276">
        <f t="shared" si="8"/>
        <v>0</v>
      </c>
      <c r="P20" s="277"/>
      <c r="S20" s="278"/>
      <c r="T20" s="277"/>
      <c r="W20" s="278"/>
      <c r="X20" s="277"/>
      <c r="AA20" s="278"/>
      <c r="AB20" s="277"/>
      <c r="AE20" s="278"/>
      <c r="AF20" s="277"/>
      <c r="AI20" s="278"/>
      <c r="AJ20" s="277"/>
      <c r="AM20" s="278"/>
      <c r="AN20" s="277"/>
      <c r="AQ20" s="278"/>
      <c r="AR20" s="277"/>
      <c r="AU20" s="278"/>
      <c r="AV20" s="277"/>
      <c r="AY20" s="278"/>
      <c r="AZ20" s="271">
        <f t="shared" si="3"/>
        <v>0</v>
      </c>
      <c r="BA20" s="272">
        <f t="shared" si="4"/>
        <v>0</v>
      </c>
      <c r="BC20" s="279">
        <f t="shared" si="5"/>
        <v>0</v>
      </c>
    </row>
    <row r="21" spans="1:55" x14ac:dyDescent="0.25">
      <c r="B21" s="24" t="s">
        <v>170</v>
      </c>
      <c r="C21" s="68" t="s">
        <v>31</v>
      </c>
      <c r="D21" s="271"/>
      <c r="E21" s="272"/>
      <c r="F21" s="272"/>
      <c r="G21" s="273">
        <f t="shared" si="6"/>
        <v>0</v>
      </c>
      <c r="H21" s="274"/>
      <c r="I21" s="275"/>
      <c r="J21" s="275"/>
      <c r="K21" s="297">
        <f t="shared" si="7"/>
        <v>0</v>
      </c>
      <c r="L21" s="274"/>
      <c r="M21" s="275"/>
      <c r="N21" s="275"/>
      <c r="O21" s="299">
        <f t="shared" si="8"/>
        <v>0</v>
      </c>
      <c r="P21" s="277"/>
      <c r="S21" s="278"/>
      <c r="T21" s="277"/>
      <c r="W21" s="278"/>
      <c r="X21" s="277"/>
      <c r="AA21" s="278"/>
      <c r="AB21" s="277"/>
      <c r="AE21" s="278"/>
      <c r="AF21" s="277"/>
      <c r="AI21" s="278"/>
      <c r="AJ21" s="277"/>
      <c r="AM21" s="278"/>
      <c r="AN21" s="277"/>
      <c r="AQ21" s="278"/>
      <c r="AR21" s="277"/>
      <c r="AU21" s="278"/>
      <c r="AV21" s="277"/>
      <c r="AY21" s="278"/>
      <c r="AZ21" s="271">
        <f t="shared" si="3"/>
        <v>0</v>
      </c>
      <c r="BA21" s="272">
        <f t="shared" si="4"/>
        <v>0</v>
      </c>
      <c r="BC21" s="279">
        <f t="shared" si="5"/>
        <v>0</v>
      </c>
    </row>
    <row r="22" spans="1:55" x14ac:dyDescent="0.25">
      <c r="B22" s="24" t="s">
        <v>170</v>
      </c>
      <c r="C22" s="68" t="s">
        <v>32</v>
      </c>
      <c r="D22" s="271"/>
      <c r="E22" s="272"/>
      <c r="F22" s="272"/>
      <c r="G22" s="273">
        <f t="shared" si="6"/>
        <v>0</v>
      </c>
      <c r="H22" s="274"/>
      <c r="I22" s="275"/>
      <c r="J22" s="275"/>
      <c r="K22" s="297">
        <f t="shared" si="7"/>
        <v>0</v>
      </c>
      <c r="L22" s="274"/>
      <c r="M22" s="275"/>
      <c r="N22" s="275"/>
      <c r="O22" s="299">
        <f t="shared" si="8"/>
        <v>0</v>
      </c>
      <c r="P22" s="277"/>
      <c r="S22" s="278"/>
      <c r="T22" s="277"/>
      <c r="W22" s="278"/>
      <c r="X22" s="277"/>
      <c r="AA22" s="278"/>
      <c r="AB22" s="277"/>
      <c r="AE22" s="278"/>
      <c r="AF22" s="277"/>
      <c r="AI22" s="278"/>
      <c r="AJ22" s="277"/>
      <c r="AM22" s="278"/>
      <c r="AN22" s="277"/>
      <c r="AQ22" s="278"/>
      <c r="AR22" s="277"/>
      <c r="AU22" s="278"/>
      <c r="AV22" s="277"/>
      <c r="AY22" s="278"/>
      <c r="AZ22" s="271">
        <f t="shared" si="3"/>
        <v>0</v>
      </c>
      <c r="BA22" s="272">
        <f t="shared" si="4"/>
        <v>0</v>
      </c>
      <c r="BC22" s="279">
        <f t="shared" si="5"/>
        <v>0</v>
      </c>
    </row>
    <row r="23" spans="1:55" x14ac:dyDescent="0.25">
      <c r="B23" s="24" t="s">
        <v>170</v>
      </c>
      <c r="C23" s="68" t="s">
        <v>33</v>
      </c>
      <c r="D23" s="271"/>
      <c r="E23" s="272"/>
      <c r="F23" s="272"/>
      <c r="G23" s="273">
        <f t="shared" si="6"/>
        <v>0</v>
      </c>
      <c r="H23" s="274"/>
      <c r="I23" s="275"/>
      <c r="J23" s="275"/>
      <c r="K23" s="297">
        <f t="shared" si="7"/>
        <v>0</v>
      </c>
      <c r="L23" s="274"/>
      <c r="M23" s="275"/>
      <c r="N23" s="275"/>
      <c r="O23" s="299">
        <f t="shared" si="8"/>
        <v>0</v>
      </c>
      <c r="P23" s="277"/>
      <c r="S23" s="278"/>
      <c r="T23" s="277"/>
      <c r="W23" s="278"/>
      <c r="X23" s="277"/>
      <c r="AA23" s="278"/>
      <c r="AB23" s="277"/>
      <c r="AE23" s="278"/>
      <c r="AF23" s="277"/>
      <c r="AI23" s="278"/>
      <c r="AJ23" s="277"/>
      <c r="AM23" s="278"/>
      <c r="AN23" s="277"/>
      <c r="AQ23" s="278"/>
      <c r="AR23" s="277"/>
      <c r="AU23" s="278"/>
      <c r="AV23" s="277"/>
      <c r="AY23" s="278"/>
      <c r="AZ23" s="271">
        <f t="shared" si="3"/>
        <v>0</v>
      </c>
      <c r="BA23" s="272">
        <f t="shared" si="4"/>
        <v>0</v>
      </c>
      <c r="BC23" s="279">
        <f t="shared" si="5"/>
        <v>0</v>
      </c>
    </row>
    <row r="24" spans="1:55" x14ac:dyDescent="0.25">
      <c r="B24" s="24" t="s">
        <v>170</v>
      </c>
      <c r="C24" s="68" t="s">
        <v>35</v>
      </c>
      <c r="D24" s="271"/>
      <c r="E24" s="272"/>
      <c r="F24" s="272"/>
      <c r="G24" s="273">
        <f t="shared" si="6"/>
        <v>0</v>
      </c>
      <c r="H24" s="274"/>
      <c r="I24" s="275"/>
      <c r="J24" s="275"/>
      <c r="K24" s="297">
        <f t="shared" si="7"/>
        <v>0</v>
      </c>
      <c r="L24" s="274"/>
      <c r="M24" s="275"/>
      <c r="N24" s="275"/>
      <c r="O24" s="299">
        <f t="shared" si="8"/>
        <v>0</v>
      </c>
      <c r="P24" s="277"/>
      <c r="S24" s="278"/>
      <c r="T24" s="277"/>
      <c r="W24" s="278"/>
      <c r="X24" s="277"/>
      <c r="AA24" s="278"/>
      <c r="AB24" s="277"/>
      <c r="AE24" s="278"/>
      <c r="AF24" s="277"/>
      <c r="AI24" s="278"/>
      <c r="AJ24" s="277"/>
      <c r="AM24" s="278"/>
      <c r="AN24" s="277"/>
      <c r="AQ24" s="278"/>
      <c r="AR24" s="277"/>
      <c r="AU24" s="278"/>
      <c r="AV24" s="277"/>
      <c r="AY24" s="278"/>
      <c r="AZ24" s="271">
        <f t="shared" si="3"/>
        <v>0</v>
      </c>
      <c r="BA24" s="272">
        <f t="shared" si="4"/>
        <v>0</v>
      </c>
      <c r="BC24" s="279">
        <f t="shared" si="5"/>
        <v>0</v>
      </c>
    </row>
    <row r="25" spans="1:55" x14ac:dyDescent="0.25">
      <c r="B25" s="24" t="s">
        <v>170</v>
      </c>
      <c r="C25" s="68" t="s">
        <v>36</v>
      </c>
      <c r="D25" s="271"/>
      <c r="E25" s="272"/>
      <c r="F25" s="272"/>
      <c r="G25" s="273">
        <f t="shared" si="6"/>
        <v>0</v>
      </c>
      <c r="H25" s="274"/>
      <c r="I25" s="275"/>
      <c r="J25" s="275"/>
      <c r="K25" s="297">
        <f t="shared" si="7"/>
        <v>0</v>
      </c>
      <c r="L25" s="274"/>
      <c r="M25" s="275"/>
      <c r="N25" s="275"/>
      <c r="O25" s="299">
        <f t="shared" si="8"/>
        <v>0</v>
      </c>
      <c r="P25" s="277"/>
      <c r="S25" s="278"/>
      <c r="T25" s="277"/>
      <c r="W25" s="278"/>
      <c r="X25" s="277"/>
      <c r="AA25" s="278"/>
      <c r="AB25" s="277"/>
      <c r="AE25" s="278"/>
      <c r="AF25" s="277"/>
      <c r="AI25" s="278"/>
      <c r="AJ25" s="277"/>
      <c r="AM25" s="278"/>
      <c r="AN25" s="277"/>
      <c r="AQ25" s="278"/>
      <c r="AR25" s="277"/>
      <c r="AU25" s="278"/>
      <c r="AV25" s="277"/>
      <c r="AY25" s="278"/>
      <c r="AZ25" s="271">
        <f t="shared" si="3"/>
        <v>0</v>
      </c>
      <c r="BA25" s="272">
        <f t="shared" si="4"/>
        <v>0</v>
      </c>
      <c r="BC25" s="279">
        <f t="shared" si="5"/>
        <v>0</v>
      </c>
    </row>
    <row r="26" spans="1:55" x14ac:dyDescent="0.25">
      <c r="B26" s="24" t="s">
        <v>170</v>
      </c>
      <c r="C26" s="68" t="s">
        <v>58</v>
      </c>
      <c r="D26" s="300"/>
      <c r="E26" s="272"/>
      <c r="F26" s="272"/>
      <c r="G26" s="273"/>
      <c r="H26" s="274"/>
      <c r="I26" s="275"/>
      <c r="J26" s="275"/>
      <c r="K26" s="297"/>
      <c r="L26" s="274"/>
      <c r="M26" s="275"/>
      <c r="N26" s="275"/>
      <c r="O26" s="276"/>
      <c r="P26" s="277"/>
      <c r="S26" s="278"/>
      <c r="T26" s="277"/>
      <c r="W26" s="278"/>
      <c r="X26" s="277"/>
      <c r="AA26" s="278"/>
      <c r="AB26" s="277"/>
      <c r="AE26" s="278"/>
      <c r="AF26" s="277"/>
      <c r="AI26" s="278"/>
      <c r="AJ26" s="277"/>
      <c r="AM26" s="278"/>
      <c r="AN26" s="277"/>
      <c r="AQ26" s="278"/>
      <c r="AR26" s="277"/>
      <c r="AU26" s="278"/>
      <c r="AV26" s="277"/>
      <c r="AY26" s="278"/>
      <c r="AZ26" s="271">
        <f t="shared" si="3"/>
        <v>0</v>
      </c>
      <c r="BA26" s="272">
        <f t="shared" si="4"/>
        <v>0</v>
      </c>
      <c r="BC26" s="279">
        <f t="shared" si="5"/>
        <v>0</v>
      </c>
    </row>
    <row r="27" spans="1:55" ht="15.75" thickBot="1" x14ac:dyDescent="0.3">
      <c r="B27" s="281" t="s">
        <v>2</v>
      </c>
      <c r="C27" s="282"/>
      <c r="D27" s="283">
        <f>SUM(D4:D26)</f>
        <v>0</v>
      </c>
      <c r="E27" s="284">
        <f>SUM(E4:E26)</f>
        <v>0</v>
      </c>
      <c r="F27" s="284"/>
      <c r="G27" s="285">
        <f>SUM(G4:G25)</f>
        <v>0</v>
      </c>
      <c r="H27" s="283">
        <f>SUM(H4:H26)</f>
        <v>0</v>
      </c>
      <c r="I27" s="284">
        <f>SUM(I4:I26)</f>
        <v>0</v>
      </c>
      <c r="J27" s="284"/>
      <c r="K27" s="285">
        <f>SUM(K4:K25)</f>
        <v>0</v>
      </c>
      <c r="L27" s="283">
        <f>SUM(L4:L26)</f>
        <v>0</v>
      </c>
      <c r="M27" s="284">
        <f>SUM(M4:M26)</f>
        <v>0</v>
      </c>
      <c r="N27" s="284"/>
      <c r="O27" s="285">
        <f>SUM(O4:O25)</f>
        <v>0</v>
      </c>
      <c r="P27" s="283">
        <f>SUM(P4:P26)</f>
        <v>0</v>
      </c>
      <c r="Q27" s="284">
        <f>SUM(Q4:Q26)</f>
        <v>0</v>
      </c>
      <c r="R27" s="284"/>
      <c r="S27" s="285">
        <f>SUM(S4:S25)</f>
        <v>0</v>
      </c>
      <c r="T27" s="283">
        <f>SUM(T4:T26)</f>
        <v>0</v>
      </c>
      <c r="U27" s="284">
        <f>SUM(U4:U26)</f>
        <v>0</v>
      </c>
      <c r="V27" s="284"/>
      <c r="W27" s="285">
        <f>SUM(W4:W25)</f>
        <v>0</v>
      </c>
      <c r="X27" s="283">
        <f>SUM(X4:X26)</f>
        <v>0</v>
      </c>
      <c r="Y27" s="284">
        <f>SUM(Y4:Y26)</f>
        <v>0</v>
      </c>
      <c r="Z27" s="284"/>
      <c r="AA27" s="285">
        <f>SUM(AA4:AA25)</f>
        <v>0</v>
      </c>
      <c r="AB27" s="283">
        <f>SUM(AB4:AB26)</f>
        <v>0</v>
      </c>
      <c r="AC27" s="284">
        <f>SUM(AC4:AC26)</f>
        <v>0</v>
      </c>
      <c r="AD27" s="284"/>
      <c r="AE27" s="285">
        <f>SUM(AE4:AE25)</f>
        <v>0</v>
      </c>
      <c r="AF27" s="283">
        <f>SUM(AF4:AF26)</f>
        <v>0</v>
      </c>
      <c r="AG27" s="284">
        <f>SUM(AG4:AG26)</f>
        <v>0</v>
      </c>
      <c r="AH27" s="284"/>
      <c r="AI27" s="285">
        <f>SUM(AI4:AI25)</f>
        <v>0</v>
      </c>
      <c r="AJ27" s="283">
        <f>SUM(AJ4:AJ26)</f>
        <v>0</v>
      </c>
      <c r="AK27" s="284">
        <f>SUM(AK4:AK26)</f>
        <v>0</v>
      </c>
      <c r="AL27" s="284"/>
      <c r="AM27" s="285">
        <f>SUM(AM4:AM25)</f>
        <v>0</v>
      </c>
      <c r="AN27" s="283">
        <f>SUM(AN4:AN26)</f>
        <v>0</v>
      </c>
      <c r="AO27" s="284">
        <f>SUM(AO4:AO26)</f>
        <v>0</v>
      </c>
      <c r="AP27" s="284"/>
      <c r="AQ27" s="285">
        <f>SUM(AQ4:AQ25)</f>
        <v>0</v>
      </c>
      <c r="AR27" s="283">
        <f>SUM(AR4:AR26)</f>
        <v>0</v>
      </c>
      <c r="AS27" s="284">
        <f>SUM(AS4:AS26)</f>
        <v>0</v>
      </c>
      <c r="AT27" s="284"/>
      <c r="AU27" s="285">
        <f>SUM(AU4:AU25)</f>
        <v>0</v>
      </c>
      <c r="AV27" s="283">
        <f>SUM(AV4:AV26)</f>
        <v>0</v>
      </c>
      <c r="AW27" s="284">
        <f>SUM(AW4:AW26)</f>
        <v>0</v>
      </c>
      <c r="AX27" s="284"/>
      <c r="AY27" s="285">
        <f>SUM(AY4:AY25)</f>
        <v>0</v>
      </c>
      <c r="AZ27" s="286">
        <f>SUM(AZ4:AZ26)</f>
        <v>0</v>
      </c>
      <c r="BA27" s="286">
        <f>SUM(BA4:BA26)</f>
        <v>0</v>
      </c>
      <c r="BB27" s="282"/>
      <c r="BC27" s="287">
        <f>SUM(BC4:BC26)</f>
        <v>0</v>
      </c>
    </row>
    <row r="28" spans="1:55" x14ac:dyDescent="0.25">
      <c r="D28" s="272"/>
      <c r="E28" s="272"/>
      <c r="F28" s="272"/>
      <c r="G28" s="272"/>
      <c r="H28" s="272"/>
      <c r="I28" s="272"/>
      <c r="J28" s="272"/>
      <c r="K28" s="272"/>
      <c r="L28" s="272"/>
      <c r="M28" s="272"/>
      <c r="N28" s="272"/>
      <c r="O28" s="272"/>
      <c r="P28" s="272"/>
      <c r="Q28" s="272"/>
      <c r="R28" s="272"/>
      <c r="S28" s="272"/>
      <c r="T28" s="272"/>
      <c r="U28" s="272"/>
      <c r="V28" s="272"/>
      <c r="W28" s="272"/>
      <c r="X28" s="272"/>
      <c r="Y28" s="272"/>
      <c r="Z28" s="272"/>
      <c r="AA28" s="272"/>
      <c r="AB28" s="272"/>
      <c r="AC28" s="272"/>
      <c r="AD28" s="272"/>
      <c r="AE28" s="272"/>
      <c r="AF28" s="272"/>
      <c r="AG28" s="272"/>
      <c r="AH28" s="272"/>
      <c r="AI28" s="272"/>
      <c r="AJ28" s="272"/>
      <c r="AK28" s="272"/>
      <c r="AL28" s="272"/>
      <c r="AM28" s="272"/>
      <c r="AN28" s="272"/>
      <c r="AO28" s="272"/>
      <c r="AP28" s="272"/>
      <c r="AQ28" s="272"/>
      <c r="AR28" s="272"/>
      <c r="AS28" s="272"/>
      <c r="AT28" s="272"/>
      <c r="AU28" s="272"/>
      <c r="AV28" s="272"/>
      <c r="AW28" s="272"/>
      <c r="AX28" s="272"/>
      <c r="AY28" s="272"/>
      <c r="AZ28" s="288">
        <f>D27+H27+L27+P27+T27+X27+AB27+AF27+AJ27+AN27+AR27+AV27</f>
        <v>0</v>
      </c>
      <c r="BA28" s="288">
        <f>E27+I27+M27+Q27+U27+Y27+AC27+AG27+AK27+AO27+AS27+AW27</f>
        <v>0</v>
      </c>
      <c r="BC28" s="288">
        <f>G27+K27+O27+S27+W27+AA27+AE27+AI27+AM27+AQ27+AU27+AY27</f>
        <v>0</v>
      </c>
    </row>
    <row r="29" spans="1:55" x14ac:dyDescent="0.25">
      <c r="A29" s="272" t="s">
        <v>2</v>
      </c>
      <c r="B29" s="289" t="s">
        <v>172</v>
      </c>
      <c r="C29" s="272"/>
      <c r="D29" s="272">
        <f>SUMIF($B$4:$B$26,$B$29,D4:D26)</f>
        <v>0</v>
      </c>
      <c r="E29" s="272"/>
      <c r="F29" s="272"/>
      <c r="G29" s="272">
        <f>SUMIF($B$4:$B$25,$B$29,G4:G25)</f>
        <v>0</v>
      </c>
      <c r="H29" s="272">
        <f>SUMIF($B$4:$B$26,$B$29,H4:H26)</f>
        <v>0</v>
      </c>
      <c r="I29" s="272"/>
      <c r="J29" s="272"/>
      <c r="K29" s="272">
        <f>SUMIF($B$4:$B$25,$B$29,K4:K25)</f>
        <v>0</v>
      </c>
      <c r="L29" s="272">
        <f>SUMIF($B$4:$B$26,$B$29,L4:L26)</f>
        <v>0</v>
      </c>
      <c r="M29" s="272"/>
      <c r="N29" s="272"/>
      <c r="O29" s="272">
        <f>SUMIF($B$4:$B$25,$B$29,O4:O25)</f>
        <v>0</v>
      </c>
      <c r="P29" s="272">
        <f>SUMIF($B$4:$B$26,$B$29,P4:P26)</f>
        <v>0</v>
      </c>
      <c r="Q29" s="272"/>
      <c r="R29" s="272"/>
      <c r="S29" s="272">
        <f>SUMIF($B$4:$B$25,$B$29,S4:S25)</f>
        <v>0</v>
      </c>
      <c r="T29" s="272">
        <f>SUMIF($B$4:$B$26,$B$29,T4:T26)</f>
        <v>0</v>
      </c>
      <c r="U29" s="272"/>
      <c r="V29" s="272"/>
      <c r="W29" s="272">
        <f>SUMIF($B$4:$B$25,$B$29,W4:W25)</f>
        <v>0</v>
      </c>
      <c r="X29" s="272">
        <f>SUMIF($B$4:$B$26,$B$29,X4:X26)</f>
        <v>0</v>
      </c>
      <c r="Y29" s="272"/>
      <c r="Z29" s="272"/>
      <c r="AA29" s="272">
        <f>SUMIF($B$4:$B$25,$B$29,AA4:AA25)</f>
        <v>0</v>
      </c>
      <c r="AB29" s="272">
        <f>SUMIF($B$4:$B$26,$B$29,AB4:AB26)</f>
        <v>0</v>
      </c>
      <c r="AC29" s="272"/>
      <c r="AD29" s="272"/>
      <c r="AE29" s="272">
        <f>SUMIF($B$4:$B$25,$B$29,AE4:AE25)</f>
        <v>0</v>
      </c>
      <c r="AF29" s="272">
        <f>SUMIF($B$4:$B$26,$B$29,AF4:AF26)</f>
        <v>0</v>
      </c>
      <c r="AG29" s="272"/>
      <c r="AH29" s="272"/>
      <c r="AI29" s="272">
        <f>SUMIF($B$4:$B$25,$B$29,AI4:AI25)</f>
        <v>0</v>
      </c>
      <c r="AJ29" s="272">
        <f>SUMIF($B$4:$B$26,$B$29,AJ4:AJ26)</f>
        <v>0</v>
      </c>
      <c r="AK29" s="272"/>
      <c r="AL29" s="272"/>
      <c r="AM29" s="272">
        <f>SUMIF($B$4:$B$25,$B$29,AM4:AM25)</f>
        <v>0</v>
      </c>
      <c r="AN29" s="272">
        <f>SUMIF($B$4:$B$26,$B$29,AN4:AN26)</f>
        <v>0</v>
      </c>
      <c r="AO29" s="272"/>
      <c r="AP29" s="272"/>
      <c r="AQ29" s="272">
        <f>SUMIF($B$4:$B$25,$B$29,AQ4:AQ25)</f>
        <v>0</v>
      </c>
      <c r="AR29" s="272">
        <f>SUMIF($B$4:$B$26,$B$29,AR4:AR26)</f>
        <v>0</v>
      </c>
      <c r="AS29" s="272"/>
      <c r="AT29" s="272"/>
      <c r="AU29" s="272">
        <f>SUMIF($B$4:$B$25,$B$29,AU4:AU25)</f>
        <v>0</v>
      </c>
      <c r="AV29" s="272">
        <f>SUMIF($B$4:$B$26,$B$29,AV4:AV26)</f>
        <v>0</v>
      </c>
      <c r="AW29" s="272"/>
      <c r="AX29" s="272"/>
      <c r="AY29" s="272">
        <f>SUMIF($B$4:$B$25,$B$29,AY4:AY25)</f>
        <v>0</v>
      </c>
      <c r="AZ29" s="272">
        <f>SUMIF($B$4:$B$25,$B$29,AZ4:AZ25)</f>
        <v>0</v>
      </c>
      <c r="BA29" s="272"/>
      <c r="BB29" s="272"/>
      <c r="BC29" s="272">
        <f>SUMIF($B$4:$B$25,$B$29,BC4:BC25)</f>
        <v>0</v>
      </c>
    </row>
    <row r="30" spans="1:55" x14ac:dyDescent="0.25">
      <c r="A30" s="272"/>
      <c r="B30" s="272"/>
      <c r="C30" s="272"/>
      <c r="D30" s="272"/>
      <c r="E30" s="272"/>
      <c r="F30" s="272"/>
      <c r="G30" s="272"/>
      <c r="H30" s="272"/>
      <c r="I30" s="272"/>
      <c r="J30" s="272"/>
      <c r="K30" s="272"/>
      <c r="L30" s="272"/>
      <c r="M30" s="272"/>
      <c r="N30" s="272"/>
      <c r="O30" s="272"/>
      <c r="P30" s="272"/>
      <c r="Q30" s="272"/>
      <c r="R30" s="272"/>
      <c r="S30" s="272"/>
      <c r="T30" s="272"/>
      <c r="U30" s="272"/>
      <c r="V30" s="272"/>
      <c r="W30" s="272"/>
      <c r="X30" s="272"/>
      <c r="Y30" s="272"/>
      <c r="Z30" s="272"/>
      <c r="AA30" s="272"/>
      <c r="AB30" s="272"/>
      <c r="AC30" s="272"/>
      <c r="AD30" s="272"/>
      <c r="AE30" s="272"/>
      <c r="AF30" s="272"/>
      <c r="AG30" s="272"/>
      <c r="AH30" s="272"/>
      <c r="AI30" s="272"/>
      <c r="AJ30" s="272"/>
      <c r="AK30" s="272"/>
      <c r="AL30" s="272"/>
      <c r="AM30" s="272"/>
      <c r="AN30" s="272"/>
      <c r="AO30" s="272"/>
      <c r="AP30" s="272"/>
      <c r="AQ30" s="272"/>
      <c r="AR30" s="272"/>
      <c r="AS30" s="272"/>
      <c r="AT30" s="272"/>
      <c r="AU30" s="272"/>
      <c r="AV30" s="272"/>
      <c r="AW30" s="272"/>
      <c r="AX30" s="272"/>
      <c r="AY30" s="272"/>
      <c r="AZ30" s="272"/>
      <c r="BA30" s="272"/>
      <c r="BB30" s="272"/>
      <c r="BC30" s="272"/>
    </row>
    <row r="31" spans="1:55" ht="15.75" thickBot="1" x14ac:dyDescent="0.3">
      <c r="A31" s="272" t="s">
        <v>2</v>
      </c>
      <c r="B31" s="272" t="s">
        <v>170</v>
      </c>
      <c r="C31" s="272"/>
      <c r="D31" s="290">
        <f>SUMIF($B$4:$B$26,$B$31,D4:D26)</f>
        <v>0</v>
      </c>
      <c r="E31" s="290"/>
      <c r="F31" s="290"/>
      <c r="G31" s="290">
        <f>SUMIF($B$4:$B$25,$B$31,G4:G25)</f>
        <v>0</v>
      </c>
      <c r="H31" s="290">
        <f>SUMIF($B$4:$B$26,$B$31,H4:H26)</f>
        <v>0</v>
      </c>
      <c r="I31" s="290"/>
      <c r="J31" s="290"/>
      <c r="K31" s="290">
        <f>SUMIF($B$4:$B$25,$B$31,K4:K25)</f>
        <v>0</v>
      </c>
      <c r="L31" s="290">
        <f>SUMIF($B$4:$B$26,$B$31,L4:L26)</f>
        <v>0</v>
      </c>
      <c r="M31" s="290"/>
      <c r="N31" s="290"/>
      <c r="O31" s="290">
        <f>SUMIF($B$4:$B$25,$B$31,O4:O25)</f>
        <v>0</v>
      </c>
      <c r="P31" s="290">
        <f>SUMIF($B$4:$B$26,$B$31,P4:P26)</f>
        <v>0</v>
      </c>
      <c r="Q31" s="290"/>
      <c r="R31" s="290"/>
      <c r="S31" s="290">
        <f>SUMIF($B$4:$B$25,$B$31,S4:S25)</f>
        <v>0</v>
      </c>
      <c r="T31" s="290">
        <f>SUMIF($B$4:$B$26,$B$31,T4:T26)</f>
        <v>0</v>
      </c>
      <c r="U31" s="290"/>
      <c r="V31" s="290"/>
      <c r="W31" s="290">
        <f>SUMIF($B$4:$B$25,$B$31,W4:W25)</f>
        <v>0</v>
      </c>
      <c r="X31" s="290">
        <f>SUMIF($B$4:$B$26,$B$31,X4:X26)</f>
        <v>0</v>
      </c>
      <c r="Y31" s="290"/>
      <c r="Z31" s="290"/>
      <c r="AA31" s="290">
        <f>SUMIF($B$4:$B$25,$B$31,AA4:AA25)</f>
        <v>0</v>
      </c>
      <c r="AB31" s="290">
        <f>SUMIF($B$4:$B$26,$B$31,AB4:AB26)</f>
        <v>0</v>
      </c>
      <c r="AC31" s="290"/>
      <c r="AD31" s="290"/>
      <c r="AE31" s="290">
        <f>SUMIF($B$4:$B$25,$B$31,AE4:AE25)</f>
        <v>0</v>
      </c>
      <c r="AF31" s="290">
        <f>SUMIF($B$4:$B$26,$B$31,AF4:AF26)</f>
        <v>0</v>
      </c>
      <c r="AG31" s="290"/>
      <c r="AH31" s="290"/>
      <c r="AI31" s="290">
        <f>SUMIF($B$4:$B$25,$B$31,AI4:AI25)</f>
        <v>0</v>
      </c>
      <c r="AJ31" s="290">
        <f>SUMIF($B$4:$B$26,$B$31,AJ4:AJ26)</f>
        <v>0</v>
      </c>
      <c r="AK31" s="290"/>
      <c r="AL31" s="290"/>
      <c r="AM31" s="290">
        <f>SUMIF($B$4:$B$25,$B$31,AM4:AM25)</f>
        <v>0</v>
      </c>
      <c r="AN31" s="290">
        <f>SUMIF($B$4:$B$26,$B$31,AN4:AN26)</f>
        <v>0</v>
      </c>
      <c r="AO31" s="290"/>
      <c r="AP31" s="290"/>
      <c r="AQ31" s="290">
        <f>SUMIF($B$4:$B$25,$B$31,AQ4:AQ25)</f>
        <v>0</v>
      </c>
      <c r="AR31" s="290">
        <f>SUMIF($B$4:$B$26,$B$31,AR4:AR26)</f>
        <v>0</v>
      </c>
      <c r="AS31" s="290"/>
      <c r="AT31" s="290"/>
      <c r="AU31" s="290">
        <f>SUMIF($B$4:$B$25,$B$31,AU4:AU25)</f>
        <v>0</v>
      </c>
      <c r="AV31" s="290">
        <f>SUMIF($B$4:$B$26,$B$31,AV4:AV26)</f>
        <v>0</v>
      </c>
      <c r="AW31" s="290"/>
      <c r="AX31" s="290"/>
      <c r="AY31" s="290">
        <f>SUMIF($B$4:$B$25,$B$31,AY4:AY25)</f>
        <v>0</v>
      </c>
      <c r="AZ31" s="290">
        <f>SUMIF($B$4:$B$25,$B$31,AZ4:AZ25)</f>
        <v>0</v>
      </c>
      <c r="BA31" s="290"/>
      <c r="BB31" s="290"/>
      <c r="BC31" s="290">
        <f>SUMIF($B$4:$B$25,$B$31,BC4:BC25)</f>
        <v>0</v>
      </c>
    </row>
    <row r="32" spans="1:55" x14ac:dyDescent="0.25">
      <c r="A32" s="272"/>
      <c r="B32" s="272" t="s">
        <v>2</v>
      </c>
      <c r="C32" s="272"/>
      <c r="D32" s="272">
        <f>D29+D31</f>
        <v>0</v>
      </c>
      <c r="E32" s="272"/>
      <c r="F32" s="272"/>
      <c r="G32" s="272">
        <f>G29+G31</f>
        <v>0</v>
      </c>
      <c r="H32" s="272">
        <f>H29+H31</f>
        <v>0</v>
      </c>
      <c r="I32" s="272"/>
      <c r="J32" s="272"/>
      <c r="K32" s="272">
        <f>K29+K31</f>
        <v>0</v>
      </c>
      <c r="L32" s="272">
        <f>L29+L31</f>
        <v>0</v>
      </c>
      <c r="M32" s="272"/>
      <c r="N32" s="272"/>
      <c r="O32" s="272">
        <f>O29+O31</f>
        <v>0</v>
      </c>
      <c r="P32" s="272">
        <f>P29+P31</f>
        <v>0</v>
      </c>
      <c r="Q32" s="272"/>
      <c r="R32" s="272"/>
      <c r="S32" s="272">
        <f>S29+S31</f>
        <v>0</v>
      </c>
      <c r="T32" s="272">
        <f>T29+T31</f>
        <v>0</v>
      </c>
      <c r="U32" s="272"/>
      <c r="V32" s="272"/>
      <c r="W32" s="272">
        <f>W29+W31</f>
        <v>0</v>
      </c>
      <c r="X32" s="272">
        <f>X29+X31</f>
        <v>0</v>
      </c>
      <c r="Y32" s="272"/>
      <c r="Z32" s="272"/>
      <c r="AA32" s="272">
        <f>AA29+AA31</f>
        <v>0</v>
      </c>
      <c r="AB32" s="272">
        <f>AB29+AB31</f>
        <v>0</v>
      </c>
      <c r="AC32" s="272"/>
      <c r="AD32" s="272"/>
      <c r="AE32" s="272">
        <f>AE29+AE31</f>
        <v>0</v>
      </c>
      <c r="AF32" s="272">
        <f>AF29+AF31</f>
        <v>0</v>
      </c>
      <c r="AG32" s="272"/>
      <c r="AH32" s="272"/>
      <c r="AI32" s="272">
        <f>AI29+AI31</f>
        <v>0</v>
      </c>
      <c r="AJ32" s="272">
        <f>AJ29+AJ31</f>
        <v>0</v>
      </c>
      <c r="AK32" s="272"/>
      <c r="AL32" s="272"/>
      <c r="AM32" s="272">
        <f>AM29+AM31</f>
        <v>0</v>
      </c>
      <c r="AN32" s="272">
        <f>AN29+AN31</f>
        <v>0</v>
      </c>
      <c r="AO32" s="272"/>
      <c r="AP32" s="272"/>
      <c r="AQ32" s="272">
        <f>AQ29+AQ31</f>
        <v>0</v>
      </c>
      <c r="AR32" s="272">
        <f>AR29+AR31</f>
        <v>0</v>
      </c>
      <c r="AS32" s="272"/>
      <c r="AT32" s="272"/>
      <c r="AU32" s="272">
        <f>AU29+AU31</f>
        <v>0</v>
      </c>
      <c r="AV32" s="272">
        <f>AV29+AV31</f>
        <v>0</v>
      </c>
      <c r="AW32" s="272"/>
      <c r="AX32" s="272"/>
      <c r="AY32" s="272">
        <f>AY29+AY31</f>
        <v>0</v>
      </c>
      <c r="AZ32" s="272">
        <f>AZ29+AZ31</f>
        <v>0</v>
      </c>
      <c r="BA32" s="272"/>
      <c r="BB32" s="272"/>
      <c r="BC32" s="272">
        <f>BC29+BC31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8CCE6-B924-41D9-8CA7-FAD74550B209}">
  <sheetPr codeName="Sheet27">
    <tabColor theme="0" tint="-0.14999847407452621"/>
  </sheetPr>
  <dimension ref="A1:BC32"/>
  <sheetViews>
    <sheetView workbookViewId="0">
      <pane xSplit="3" ySplit="3" topLeftCell="D4" activePane="bottomRight" state="frozen"/>
      <selection activeCell="B49" sqref="B49"/>
      <selection pane="topRight" activeCell="B49" sqref="B49"/>
      <selection pane="bottomLeft" activeCell="B49" sqref="B49"/>
      <selection pane="bottomRight" activeCell="B49" sqref="B49"/>
    </sheetView>
  </sheetViews>
  <sheetFormatPr defaultColWidth="9.140625" defaultRowHeight="15" x14ac:dyDescent="0.25"/>
  <cols>
    <col min="2" max="2" width="10.7109375" bestFit="1" customWidth="1"/>
    <col min="3" max="3" width="13.85546875" bestFit="1" customWidth="1"/>
    <col min="4" max="5" width="9.7109375" bestFit="1" customWidth="1"/>
    <col min="6" max="6" width="10.5703125" bestFit="1" customWidth="1"/>
    <col min="7" max="7" width="11.85546875" customWidth="1"/>
    <col min="8" max="8" width="9.85546875" customWidth="1"/>
    <col min="9" max="9" width="9.5703125" customWidth="1"/>
    <col min="11" max="11" width="13.28515625" style="294" customWidth="1"/>
    <col min="12" max="12" width="9.28515625" bestFit="1" customWidth="1"/>
    <col min="13" max="13" width="9.42578125" customWidth="1"/>
    <col min="14" max="14" width="9.28515625" bestFit="1" customWidth="1"/>
    <col min="15" max="15" width="11.7109375" style="291" customWidth="1"/>
    <col min="16" max="18" width="10.7109375" customWidth="1"/>
    <col min="19" max="19" width="12.140625" customWidth="1"/>
    <col min="52" max="52" width="11.140625" customWidth="1"/>
    <col min="53" max="53" width="10.28515625" bestFit="1" customWidth="1"/>
    <col min="55" max="55" width="16.140625" customWidth="1"/>
  </cols>
  <sheetData>
    <row r="1" spans="1:55" ht="15.75" thickBot="1" x14ac:dyDescent="0.3">
      <c r="A1" s="150" t="str">
        <f>Summary_5!B1</f>
        <v>Rawhitiroa</v>
      </c>
    </row>
    <row r="2" spans="1:55" s="150" customFormat="1" x14ac:dyDescent="0.25">
      <c r="B2" s="255"/>
      <c r="C2" s="256"/>
      <c r="D2" s="257">
        <v>45658</v>
      </c>
      <c r="E2" s="256"/>
      <c r="F2" s="256"/>
      <c r="G2" s="258"/>
      <c r="H2" s="257">
        <v>45689</v>
      </c>
      <c r="I2" s="259"/>
      <c r="J2" s="259"/>
      <c r="K2" s="295"/>
      <c r="L2" s="257">
        <v>45717</v>
      </c>
      <c r="M2" s="256"/>
      <c r="N2" s="256"/>
      <c r="O2" s="292"/>
      <c r="P2" s="257">
        <v>45748</v>
      </c>
      <c r="Q2" s="256"/>
      <c r="R2" s="256"/>
      <c r="S2" s="258"/>
      <c r="T2" s="257">
        <v>45778</v>
      </c>
      <c r="U2" s="256"/>
      <c r="V2" s="256"/>
      <c r="W2" s="258"/>
      <c r="X2" s="257">
        <v>45809</v>
      </c>
      <c r="Y2" s="256"/>
      <c r="Z2" s="256"/>
      <c r="AA2" s="258"/>
      <c r="AB2" s="257">
        <v>45839</v>
      </c>
      <c r="AC2" s="256"/>
      <c r="AD2" s="256"/>
      <c r="AE2" s="258"/>
      <c r="AF2" s="257">
        <v>45870</v>
      </c>
      <c r="AG2" s="256"/>
      <c r="AH2" s="256"/>
      <c r="AI2" s="258"/>
      <c r="AJ2" s="257">
        <v>45901</v>
      </c>
      <c r="AK2" s="256"/>
      <c r="AL2" s="256"/>
      <c r="AM2" s="258"/>
      <c r="AN2" s="257">
        <v>45931</v>
      </c>
      <c r="AO2" s="256"/>
      <c r="AP2" s="256"/>
      <c r="AQ2" s="258"/>
      <c r="AR2" s="257">
        <v>45962</v>
      </c>
      <c r="AS2" s="256"/>
      <c r="AT2" s="256"/>
      <c r="AU2" s="258"/>
      <c r="AV2" s="257">
        <v>45992</v>
      </c>
      <c r="AW2" s="256"/>
      <c r="AX2" s="256"/>
      <c r="AY2" s="258"/>
      <c r="AZ2" s="256" t="s">
        <v>123</v>
      </c>
      <c r="BA2" s="256"/>
      <c r="BB2" s="256"/>
      <c r="BC2" s="260"/>
    </row>
    <row r="3" spans="1:55" s="269" customFormat="1" ht="30.75" thickBot="1" x14ac:dyDescent="0.3">
      <c r="B3" s="261" t="s">
        <v>165</v>
      </c>
      <c r="C3" s="262" t="s">
        <v>13</v>
      </c>
      <c r="D3" s="263" t="s">
        <v>166</v>
      </c>
      <c r="E3" s="264" t="s">
        <v>167</v>
      </c>
      <c r="F3" s="264" t="s">
        <v>168</v>
      </c>
      <c r="G3" s="265" t="s">
        <v>169</v>
      </c>
      <c r="H3" s="266" t="s">
        <v>166</v>
      </c>
      <c r="I3" s="267" t="s">
        <v>167</v>
      </c>
      <c r="J3" s="267" t="s">
        <v>168</v>
      </c>
      <c r="K3" s="296" t="s">
        <v>169</v>
      </c>
      <c r="L3" s="263" t="s">
        <v>166</v>
      </c>
      <c r="M3" s="264" t="s">
        <v>167</v>
      </c>
      <c r="N3" s="264" t="s">
        <v>168</v>
      </c>
      <c r="O3" s="293" t="s">
        <v>169</v>
      </c>
      <c r="P3" s="263" t="s">
        <v>166</v>
      </c>
      <c r="Q3" s="264" t="s">
        <v>167</v>
      </c>
      <c r="R3" s="264" t="s">
        <v>168</v>
      </c>
      <c r="S3" s="265" t="s">
        <v>169</v>
      </c>
      <c r="T3" s="263" t="s">
        <v>166</v>
      </c>
      <c r="U3" s="264" t="s">
        <v>167</v>
      </c>
      <c r="V3" s="264" t="s">
        <v>168</v>
      </c>
      <c r="W3" s="265" t="s">
        <v>169</v>
      </c>
      <c r="X3" s="263" t="s">
        <v>166</v>
      </c>
      <c r="Y3" s="264" t="s">
        <v>167</v>
      </c>
      <c r="Z3" s="264" t="s">
        <v>168</v>
      </c>
      <c r="AA3" s="265" t="s">
        <v>169</v>
      </c>
      <c r="AB3" s="263" t="s">
        <v>166</v>
      </c>
      <c r="AC3" s="264" t="s">
        <v>167</v>
      </c>
      <c r="AD3" s="264" t="s">
        <v>168</v>
      </c>
      <c r="AE3" s="265" t="s">
        <v>169</v>
      </c>
      <c r="AF3" s="263" t="s">
        <v>166</v>
      </c>
      <c r="AG3" s="264" t="s">
        <v>167</v>
      </c>
      <c r="AH3" s="264" t="s">
        <v>168</v>
      </c>
      <c r="AI3" s="265" t="s">
        <v>169</v>
      </c>
      <c r="AJ3" s="263" t="s">
        <v>166</v>
      </c>
      <c r="AK3" s="264" t="s">
        <v>167</v>
      </c>
      <c r="AL3" s="264" t="s">
        <v>168</v>
      </c>
      <c r="AM3" s="265" t="s">
        <v>169</v>
      </c>
      <c r="AN3" s="263" t="s">
        <v>166</v>
      </c>
      <c r="AO3" s="264" t="s">
        <v>167</v>
      </c>
      <c r="AP3" s="264" t="s">
        <v>168</v>
      </c>
      <c r="AQ3" s="265" t="s">
        <v>169</v>
      </c>
      <c r="AR3" s="263" t="s">
        <v>166</v>
      </c>
      <c r="AS3" s="264" t="s">
        <v>167</v>
      </c>
      <c r="AT3" s="264" t="s">
        <v>168</v>
      </c>
      <c r="AU3" s="265" t="s">
        <v>169</v>
      </c>
      <c r="AV3" s="263" t="s">
        <v>166</v>
      </c>
      <c r="AW3" s="264" t="s">
        <v>167</v>
      </c>
      <c r="AX3" s="264" t="s">
        <v>168</v>
      </c>
      <c r="AY3" s="265" t="s">
        <v>169</v>
      </c>
      <c r="AZ3" s="264" t="s">
        <v>166</v>
      </c>
      <c r="BA3" s="264" t="s">
        <v>167</v>
      </c>
      <c r="BB3" s="264" t="s">
        <v>168</v>
      </c>
      <c r="BC3" s="268" t="s">
        <v>169</v>
      </c>
    </row>
    <row r="4" spans="1:55" x14ac:dyDescent="0.25">
      <c r="B4" s="270" t="s">
        <v>172</v>
      </c>
      <c r="C4" s="68" t="s">
        <v>20</v>
      </c>
      <c r="D4" s="271"/>
      <c r="E4" s="272"/>
      <c r="F4" s="272"/>
      <c r="G4" s="273">
        <f t="shared" ref="G4:G12" si="0">D4*F4</f>
        <v>0</v>
      </c>
      <c r="H4" s="274"/>
      <c r="I4" s="275"/>
      <c r="J4" s="275"/>
      <c r="K4" s="297">
        <f t="shared" ref="K4:K12" si="1">H4*J4</f>
        <v>0</v>
      </c>
      <c r="L4" s="274"/>
      <c r="M4" s="275"/>
      <c r="N4" s="275"/>
      <c r="O4" s="299">
        <f t="shared" ref="O4:O12" si="2">L4*N4</f>
        <v>0</v>
      </c>
      <c r="P4" s="277"/>
      <c r="S4" s="278"/>
      <c r="T4" s="277"/>
      <c r="W4" s="278"/>
      <c r="X4" s="277"/>
      <c r="AA4" s="278"/>
      <c r="AB4" s="277"/>
      <c r="AE4" s="278"/>
      <c r="AF4" s="277"/>
      <c r="AI4" s="278"/>
      <c r="AJ4" s="277"/>
      <c r="AM4" s="278"/>
      <c r="AN4" s="277"/>
      <c r="AQ4" s="278"/>
      <c r="AR4" s="277"/>
      <c r="AU4" s="278"/>
      <c r="AV4" s="277"/>
      <c r="AZ4" s="271">
        <f t="shared" ref="AZ4:AZ26" si="3">SUM(D4,H4,L4,P4,T4,X4,AB4,AF4,AJ4,AN4,AR4,AV4)</f>
        <v>0</v>
      </c>
      <c r="BA4" s="272">
        <f t="shared" ref="BA4:BA26" si="4">SUM(E4,I4,M4,Q4,U4,Y4,AC4,AG4,AK4,AO4,AS4,AW4)</f>
        <v>0</v>
      </c>
      <c r="BC4" s="279">
        <f t="shared" ref="BC4:BC26" si="5">SUM(G4,K4,O4,S4,W4,AA4,AE4,AI4,AM4,AQ4,AU4,AY4)</f>
        <v>0</v>
      </c>
    </row>
    <row r="5" spans="1:55" x14ac:dyDescent="0.25">
      <c r="B5" s="270" t="s">
        <v>172</v>
      </c>
      <c r="C5" s="68" t="s">
        <v>22</v>
      </c>
      <c r="D5" s="271"/>
      <c r="E5" s="272"/>
      <c r="F5" s="272"/>
      <c r="G5" s="273">
        <f t="shared" si="0"/>
        <v>0</v>
      </c>
      <c r="H5" s="274"/>
      <c r="I5" s="275"/>
      <c r="J5" s="275"/>
      <c r="K5" s="297">
        <f t="shared" si="1"/>
        <v>0</v>
      </c>
      <c r="L5" s="274"/>
      <c r="M5" s="275"/>
      <c r="N5" s="275"/>
      <c r="O5" s="299">
        <f t="shared" si="2"/>
        <v>0</v>
      </c>
      <c r="P5" s="277"/>
      <c r="S5" s="278"/>
      <c r="T5" s="277"/>
      <c r="W5" s="278"/>
      <c r="X5" s="277"/>
      <c r="AA5" s="278"/>
      <c r="AB5" s="277"/>
      <c r="AE5" s="278"/>
      <c r="AF5" s="277"/>
      <c r="AI5" s="278"/>
      <c r="AJ5" s="277"/>
      <c r="AM5" s="278"/>
      <c r="AN5" s="277"/>
      <c r="AQ5" s="278"/>
      <c r="AR5" s="277"/>
      <c r="AU5" s="278"/>
      <c r="AV5" s="277"/>
      <c r="AZ5" s="271">
        <f t="shared" si="3"/>
        <v>0</v>
      </c>
      <c r="BA5" s="272">
        <f t="shared" si="4"/>
        <v>0</v>
      </c>
      <c r="BC5" s="279">
        <f t="shared" si="5"/>
        <v>0</v>
      </c>
    </row>
    <row r="6" spans="1:55" x14ac:dyDescent="0.25">
      <c r="B6" s="270" t="s">
        <v>172</v>
      </c>
      <c r="C6" s="68" t="s">
        <v>25</v>
      </c>
      <c r="D6" s="271"/>
      <c r="E6" s="272"/>
      <c r="F6" s="272"/>
      <c r="G6" s="273">
        <f t="shared" si="0"/>
        <v>0</v>
      </c>
      <c r="H6" s="274"/>
      <c r="I6" s="275"/>
      <c r="J6" s="275"/>
      <c r="K6" s="297">
        <f t="shared" si="1"/>
        <v>0</v>
      </c>
      <c r="L6" s="274"/>
      <c r="M6" s="275"/>
      <c r="N6" s="275"/>
      <c r="O6" s="299">
        <f t="shared" si="2"/>
        <v>0</v>
      </c>
      <c r="P6" s="277"/>
      <c r="S6" s="278"/>
      <c r="T6" s="277"/>
      <c r="W6" s="278"/>
      <c r="X6" s="277"/>
      <c r="AA6" s="278"/>
      <c r="AB6" s="277"/>
      <c r="AE6" s="278"/>
      <c r="AF6" s="277"/>
      <c r="AI6" s="278"/>
      <c r="AJ6" s="277"/>
      <c r="AM6" s="278"/>
      <c r="AN6" s="277"/>
      <c r="AQ6" s="278"/>
      <c r="AR6" s="277"/>
      <c r="AU6" s="278"/>
      <c r="AV6" s="277"/>
      <c r="AZ6" s="271">
        <f t="shared" si="3"/>
        <v>0</v>
      </c>
      <c r="BA6" s="272">
        <f t="shared" si="4"/>
        <v>0</v>
      </c>
      <c r="BC6" s="279">
        <f t="shared" si="5"/>
        <v>0</v>
      </c>
    </row>
    <row r="7" spans="1:55" x14ac:dyDescent="0.25">
      <c r="B7" s="270" t="s">
        <v>172</v>
      </c>
      <c r="C7" s="68" t="s">
        <v>30</v>
      </c>
      <c r="D7" s="271"/>
      <c r="E7" s="272"/>
      <c r="F7" s="272"/>
      <c r="G7" s="273">
        <f t="shared" si="0"/>
        <v>0</v>
      </c>
      <c r="H7" s="274"/>
      <c r="I7" s="275"/>
      <c r="J7" s="275"/>
      <c r="K7" s="297">
        <f t="shared" si="1"/>
        <v>0</v>
      </c>
      <c r="L7" s="274"/>
      <c r="M7" s="275"/>
      <c r="N7" s="275"/>
      <c r="O7" s="299">
        <f t="shared" si="2"/>
        <v>0</v>
      </c>
      <c r="P7" s="277"/>
      <c r="S7" s="278"/>
      <c r="T7" s="277"/>
      <c r="W7" s="278"/>
      <c r="X7" s="277"/>
      <c r="AA7" s="278"/>
      <c r="AB7" s="277"/>
      <c r="AE7" s="278"/>
      <c r="AF7" s="277"/>
      <c r="AI7" s="278"/>
      <c r="AJ7" s="277"/>
      <c r="AM7" s="278"/>
      <c r="AN7" s="277"/>
      <c r="AQ7" s="278"/>
      <c r="AR7" s="277"/>
      <c r="AU7" s="278"/>
      <c r="AV7" s="277"/>
      <c r="AZ7" s="271">
        <f t="shared" si="3"/>
        <v>0</v>
      </c>
      <c r="BA7" s="272">
        <f t="shared" si="4"/>
        <v>0</v>
      </c>
      <c r="BC7" s="279">
        <f t="shared" si="5"/>
        <v>0</v>
      </c>
    </row>
    <row r="8" spans="1:55" x14ac:dyDescent="0.25">
      <c r="B8" s="270" t="s">
        <v>172</v>
      </c>
      <c r="C8" s="68" t="s">
        <v>222</v>
      </c>
      <c r="D8" s="271"/>
      <c r="E8" s="272"/>
      <c r="F8" s="272"/>
      <c r="G8" s="273">
        <f t="shared" si="0"/>
        <v>0</v>
      </c>
      <c r="H8" s="274"/>
      <c r="I8" s="275"/>
      <c r="J8" s="275"/>
      <c r="K8" s="297">
        <f t="shared" si="1"/>
        <v>0</v>
      </c>
      <c r="L8" s="274"/>
      <c r="M8" s="275"/>
      <c r="N8" s="275"/>
      <c r="O8" s="299">
        <f t="shared" si="2"/>
        <v>0</v>
      </c>
      <c r="P8" s="277"/>
      <c r="S8" s="278"/>
      <c r="T8" s="277"/>
      <c r="W8" s="278"/>
      <c r="X8" s="277"/>
      <c r="AA8" s="278"/>
      <c r="AB8" s="277"/>
      <c r="AE8" s="278"/>
      <c r="AF8" s="277"/>
      <c r="AI8" s="278"/>
      <c r="AJ8" s="277"/>
      <c r="AM8" s="278"/>
      <c r="AN8" s="277"/>
      <c r="AQ8" s="278"/>
      <c r="AR8" s="277"/>
      <c r="AU8" s="278"/>
      <c r="AV8" s="277"/>
      <c r="AZ8" s="271">
        <f t="shared" si="3"/>
        <v>0</v>
      </c>
      <c r="BA8" s="272">
        <f t="shared" si="4"/>
        <v>0</v>
      </c>
      <c r="BC8" s="279">
        <f t="shared" si="5"/>
        <v>0</v>
      </c>
    </row>
    <row r="9" spans="1:55" x14ac:dyDescent="0.25">
      <c r="B9" s="270" t="s">
        <v>172</v>
      </c>
      <c r="C9" s="68" t="s">
        <v>34</v>
      </c>
      <c r="D9" s="271"/>
      <c r="E9" s="272"/>
      <c r="F9" s="272"/>
      <c r="G9" s="273">
        <f t="shared" si="0"/>
        <v>0</v>
      </c>
      <c r="H9" s="274"/>
      <c r="I9" s="275"/>
      <c r="J9" s="275"/>
      <c r="K9" s="297">
        <f t="shared" si="1"/>
        <v>0</v>
      </c>
      <c r="L9" s="274"/>
      <c r="M9" s="275"/>
      <c r="N9" s="275"/>
      <c r="O9" s="299">
        <f t="shared" si="2"/>
        <v>0</v>
      </c>
      <c r="P9" s="277"/>
      <c r="S9" s="278"/>
      <c r="T9" s="277"/>
      <c r="W9" s="278"/>
      <c r="X9" s="277"/>
      <c r="AA9" s="278"/>
      <c r="AB9" s="277"/>
      <c r="AE9" s="278"/>
      <c r="AF9" s="277"/>
      <c r="AI9" s="278"/>
      <c r="AJ9" s="277"/>
      <c r="AM9" s="278"/>
      <c r="AN9" s="277"/>
      <c r="AQ9" s="278"/>
      <c r="AR9" s="277"/>
      <c r="AU9" s="278"/>
      <c r="AV9" s="277"/>
      <c r="AZ9" s="271">
        <f t="shared" si="3"/>
        <v>0</v>
      </c>
      <c r="BA9" s="272">
        <f t="shared" si="4"/>
        <v>0</v>
      </c>
      <c r="BC9" s="279">
        <f t="shared" si="5"/>
        <v>0</v>
      </c>
    </row>
    <row r="10" spans="1:55" x14ac:dyDescent="0.25">
      <c r="B10" s="270" t="s">
        <v>172</v>
      </c>
      <c r="C10" s="68" t="s">
        <v>37</v>
      </c>
      <c r="D10" s="271"/>
      <c r="E10" s="272"/>
      <c r="F10" s="272"/>
      <c r="G10" s="273">
        <f t="shared" si="0"/>
        <v>0</v>
      </c>
      <c r="H10" s="274"/>
      <c r="I10" s="275"/>
      <c r="J10" s="275"/>
      <c r="K10" s="297">
        <f t="shared" si="1"/>
        <v>0</v>
      </c>
      <c r="L10" s="274"/>
      <c r="M10" s="275"/>
      <c r="N10" s="275"/>
      <c r="O10" s="299">
        <f t="shared" si="2"/>
        <v>0</v>
      </c>
      <c r="P10" s="277"/>
      <c r="S10" s="278"/>
      <c r="T10" s="277"/>
      <c r="W10" s="278"/>
      <c r="X10" s="277"/>
      <c r="AA10" s="278"/>
      <c r="AB10" s="277"/>
      <c r="AE10" s="278"/>
      <c r="AF10" s="277"/>
      <c r="AI10" s="278"/>
      <c r="AJ10" s="277"/>
      <c r="AM10" s="278"/>
      <c r="AN10" s="277"/>
      <c r="AQ10" s="278"/>
      <c r="AR10" s="277"/>
      <c r="AU10" s="278"/>
      <c r="AV10" s="277"/>
      <c r="AY10" s="278"/>
      <c r="AZ10" s="271">
        <f t="shared" si="3"/>
        <v>0</v>
      </c>
      <c r="BA10" s="272">
        <f t="shared" si="4"/>
        <v>0</v>
      </c>
      <c r="BC10" s="279">
        <f t="shared" si="5"/>
        <v>0</v>
      </c>
    </row>
    <row r="11" spans="1:55" x14ac:dyDescent="0.25">
      <c r="B11" s="270" t="s">
        <v>172</v>
      </c>
      <c r="C11" s="68" t="s">
        <v>174</v>
      </c>
      <c r="D11" s="271"/>
      <c r="E11" s="272"/>
      <c r="F11" s="272"/>
      <c r="G11" s="273">
        <f t="shared" si="0"/>
        <v>0</v>
      </c>
      <c r="H11" s="274"/>
      <c r="I11" s="275"/>
      <c r="J11" s="275"/>
      <c r="K11" s="297">
        <f t="shared" si="1"/>
        <v>0</v>
      </c>
      <c r="L11" s="274"/>
      <c r="M11" s="275"/>
      <c r="N11" s="275"/>
      <c r="O11" s="299">
        <f t="shared" si="2"/>
        <v>0</v>
      </c>
      <c r="P11" s="277"/>
      <c r="S11" s="278"/>
      <c r="T11" s="277"/>
      <c r="W11" s="278"/>
      <c r="X11" s="277"/>
      <c r="AA11" s="278"/>
      <c r="AB11" s="277"/>
      <c r="AE11" s="278"/>
      <c r="AF11" s="277"/>
      <c r="AI11" s="278"/>
      <c r="AJ11" s="277"/>
      <c r="AM11" s="278"/>
      <c r="AN11" s="277"/>
      <c r="AQ11" s="278"/>
      <c r="AR11" s="277"/>
      <c r="AU11" s="278"/>
      <c r="AV11" s="277"/>
      <c r="AY11" s="278"/>
      <c r="AZ11" s="271">
        <f t="shared" si="3"/>
        <v>0</v>
      </c>
      <c r="BA11" s="272">
        <f t="shared" si="4"/>
        <v>0</v>
      </c>
      <c r="BC11" s="279">
        <f t="shared" si="5"/>
        <v>0</v>
      </c>
    </row>
    <row r="12" spans="1:55" x14ac:dyDescent="0.25">
      <c r="B12" s="270" t="s">
        <v>172</v>
      </c>
      <c r="C12" s="68" t="s">
        <v>38</v>
      </c>
      <c r="D12" s="271"/>
      <c r="E12" s="272"/>
      <c r="F12" s="272"/>
      <c r="G12" s="273">
        <f t="shared" si="0"/>
        <v>0</v>
      </c>
      <c r="H12" s="274"/>
      <c r="I12" s="275"/>
      <c r="J12" s="275"/>
      <c r="K12" s="297">
        <f t="shared" si="1"/>
        <v>0</v>
      </c>
      <c r="L12" s="274"/>
      <c r="M12" s="275"/>
      <c r="N12" s="275"/>
      <c r="O12" s="299">
        <f t="shared" si="2"/>
        <v>0</v>
      </c>
      <c r="P12" s="277"/>
      <c r="S12" s="278"/>
      <c r="T12" s="277"/>
      <c r="W12" s="278"/>
      <c r="X12" s="277"/>
      <c r="AA12" s="278"/>
      <c r="AB12" s="277"/>
      <c r="AE12" s="278"/>
      <c r="AF12" s="277"/>
      <c r="AI12" s="278"/>
      <c r="AJ12" s="277"/>
      <c r="AM12" s="278"/>
      <c r="AN12" s="277"/>
      <c r="AQ12" s="278"/>
      <c r="AR12" s="277"/>
      <c r="AU12" s="278"/>
      <c r="AV12" s="277"/>
      <c r="AY12" s="278"/>
      <c r="AZ12" s="271">
        <f t="shared" si="3"/>
        <v>0</v>
      </c>
      <c r="BA12" s="272">
        <f t="shared" si="4"/>
        <v>0</v>
      </c>
      <c r="BC12" s="279">
        <f t="shared" si="5"/>
        <v>0</v>
      </c>
    </row>
    <row r="13" spans="1:55" x14ac:dyDescent="0.25">
      <c r="B13" s="24" t="s">
        <v>170</v>
      </c>
      <c r="C13" s="68" t="s">
        <v>171</v>
      </c>
      <c r="D13" s="271"/>
      <c r="E13" s="272"/>
      <c r="F13" s="272"/>
      <c r="G13" s="273">
        <f t="shared" ref="G13:G25" si="6">E13*F13</f>
        <v>0</v>
      </c>
      <c r="H13" s="274"/>
      <c r="I13" s="275"/>
      <c r="J13" s="275"/>
      <c r="K13" s="298">
        <f t="shared" ref="K13:K25" si="7">I13*J13</f>
        <v>0</v>
      </c>
      <c r="L13" s="274"/>
      <c r="M13" s="275"/>
      <c r="N13" s="275"/>
      <c r="O13" s="276">
        <f>M13*N13</f>
        <v>0</v>
      </c>
      <c r="P13" s="277"/>
      <c r="S13" s="278"/>
      <c r="T13" s="277"/>
      <c r="W13" s="278"/>
      <c r="X13" s="277"/>
      <c r="AA13" s="278"/>
      <c r="AB13" s="277"/>
      <c r="AE13" s="278"/>
      <c r="AF13" s="277"/>
      <c r="AI13" s="278"/>
      <c r="AJ13" s="277"/>
      <c r="AM13" s="278"/>
      <c r="AN13" s="277"/>
      <c r="AQ13" s="278"/>
      <c r="AR13" s="277"/>
      <c r="AU13" s="278"/>
      <c r="AV13" s="277"/>
      <c r="AY13" s="278"/>
      <c r="AZ13" s="271">
        <f t="shared" si="3"/>
        <v>0</v>
      </c>
      <c r="BA13" s="272">
        <f t="shared" si="4"/>
        <v>0</v>
      </c>
      <c r="BC13" s="279">
        <f t="shared" si="5"/>
        <v>0</v>
      </c>
    </row>
    <row r="14" spans="1:55" x14ac:dyDescent="0.25">
      <c r="B14" s="24" t="s">
        <v>170</v>
      </c>
      <c r="C14" s="68" t="s">
        <v>173</v>
      </c>
      <c r="D14" s="271"/>
      <c r="E14" s="272"/>
      <c r="F14" s="272"/>
      <c r="G14" s="273">
        <f t="shared" si="6"/>
        <v>0</v>
      </c>
      <c r="H14" s="274"/>
      <c r="I14" s="275"/>
      <c r="J14" s="275"/>
      <c r="K14" s="298">
        <f t="shared" si="7"/>
        <v>0</v>
      </c>
      <c r="L14" s="274"/>
      <c r="M14" s="275"/>
      <c r="N14" s="275"/>
      <c r="O14" s="276">
        <f>M14*N14</f>
        <v>0</v>
      </c>
      <c r="P14" s="277"/>
      <c r="S14" s="278"/>
      <c r="T14" s="277"/>
      <c r="W14" s="278"/>
      <c r="X14" s="277"/>
      <c r="AA14" s="278"/>
      <c r="AB14" s="277"/>
      <c r="AE14" s="278"/>
      <c r="AF14" s="277"/>
      <c r="AI14" s="278"/>
      <c r="AJ14" s="277"/>
      <c r="AM14" s="278"/>
      <c r="AN14" s="277"/>
      <c r="AQ14" s="278"/>
      <c r="AR14" s="277"/>
      <c r="AU14" s="278"/>
      <c r="AV14" s="277"/>
      <c r="AY14" s="278"/>
      <c r="AZ14" s="271">
        <f t="shared" si="3"/>
        <v>0</v>
      </c>
      <c r="BA14" s="272">
        <f t="shared" si="4"/>
        <v>0</v>
      </c>
      <c r="BC14" s="279">
        <f t="shared" si="5"/>
        <v>0</v>
      </c>
    </row>
    <row r="15" spans="1:55" x14ac:dyDescent="0.25">
      <c r="B15" s="24" t="s">
        <v>170</v>
      </c>
      <c r="C15" s="68" t="s">
        <v>23</v>
      </c>
      <c r="D15" s="271"/>
      <c r="E15" s="272"/>
      <c r="F15" s="272"/>
      <c r="G15" s="273">
        <f t="shared" si="6"/>
        <v>0</v>
      </c>
      <c r="H15" s="274"/>
      <c r="I15" s="275"/>
      <c r="J15" s="275"/>
      <c r="K15" s="297">
        <f t="shared" si="7"/>
        <v>0</v>
      </c>
      <c r="L15" s="274"/>
      <c r="M15" s="275"/>
      <c r="N15" s="275"/>
      <c r="O15" s="299">
        <f>L15*N15</f>
        <v>0</v>
      </c>
      <c r="P15" s="277"/>
      <c r="S15" s="278"/>
      <c r="T15" s="277"/>
      <c r="W15" s="278"/>
      <c r="X15" s="277"/>
      <c r="AA15" s="278"/>
      <c r="AB15" s="277"/>
      <c r="AE15" s="278"/>
      <c r="AF15" s="277"/>
      <c r="AI15" s="278"/>
      <c r="AJ15" s="277"/>
      <c r="AM15" s="278"/>
      <c r="AN15" s="277"/>
      <c r="AQ15" s="278"/>
      <c r="AR15" s="277"/>
      <c r="AU15" s="278"/>
      <c r="AV15" s="277"/>
      <c r="AY15" s="278"/>
      <c r="AZ15" s="271">
        <f t="shared" si="3"/>
        <v>0</v>
      </c>
      <c r="BA15" s="272">
        <f t="shared" si="4"/>
        <v>0</v>
      </c>
      <c r="BC15" s="279">
        <f t="shared" si="5"/>
        <v>0</v>
      </c>
    </row>
    <row r="16" spans="1:55" x14ac:dyDescent="0.25">
      <c r="B16" s="24" t="s">
        <v>170</v>
      </c>
      <c r="C16" s="68" t="s">
        <v>24</v>
      </c>
      <c r="D16" s="271"/>
      <c r="E16" s="272"/>
      <c r="F16" s="272"/>
      <c r="G16" s="273">
        <f t="shared" si="6"/>
        <v>0</v>
      </c>
      <c r="H16" s="274"/>
      <c r="I16" s="275"/>
      <c r="J16" s="280"/>
      <c r="K16" s="298">
        <f t="shared" si="7"/>
        <v>0</v>
      </c>
      <c r="L16" s="274"/>
      <c r="M16" s="275"/>
      <c r="N16" s="275"/>
      <c r="O16" s="276">
        <f t="shared" ref="O16:O25" si="8">M16*N16</f>
        <v>0</v>
      </c>
      <c r="P16" s="277"/>
      <c r="S16" s="278"/>
      <c r="T16" s="277"/>
      <c r="W16" s="278"/>
      <c r="X16" s="277"/>
      <c r="AA16" s="278"/>
      <c r="AB16" s="277"/>
      <c r="AE16" s="278"/>
      <c r="AF16" s="277"/>
      <c r="AI16" s="278"/>
      <c r="AJ16" s="277"/>
      <c r="AM16" s="278"/>
      <c r="AN16" s="277"/>
      <c r="AQ16" s="278"/>
      <c r="AR16" s="277"/>
      <c r="AU16" s="278"/>
      <c r="AV16" s="277"/>
      <c r="AY16" s="278"/>
      <c r="AZ16" s="271">
        <f t="shared" si="3"/>
        <v>0</v>
      </c>
      <c r="BA16" s="272">
        <f t="shared" si="4"/>
        <v>0</v>
      </c>
      <c r="BC16" s="279">
        <f t="shared" si="5"/>
        <v>0</v>
      </c>
    </row>
    <row r="17" spans="1:55" x14ac:dyDescent="0.25">
      <c r="B17" s="24" t="s">
        <v>170</v>
      </c>
      <c r="C17" s="68" t="s">
        <v>26</v>
      </c>
      <c r="D17" s="271"/>
      <c r="E17" s="272"/>
      <c r="F17" s="272"/>
      <c r="G17" s="273">
        <f t="shared" si="6"/>
        <v>0</v>
      </c>
      <c r="H17" s="274"/>
      <c r="I17" s="275"/>
      <c r="J17" s="280"/>
      <c r="K17" s="298">
        <f t="shared" si="7"/>
        <v>0</v>
      </c>
      <c r="L17" s="274"/>
      <c r="M17" s="275"/>
      <c r="N17" s="275"/>
      <c r="O17" s="276">
        <f t="shared" si="8"/>
        <v>0</v>
      </c>
      <c r="P17" s="277"/>
      <c r="S17" s="278"/>
      <c r="T17" s="277"/>
      <c r="W17" s="278"/>
      <c r="X17" s="277"/>
      <c r="AA17" s="278"/>
      <c r="AB17" s="277"/>
      <c r="AE17" s="278"/>
      <c r="AF17" s="277"/>
      <c r="AI17" s="278"/>
      <c r="AJ17" s="277"/>
      <c r="AM17" s="278"/>
      <c r="AN17" s="277"/>
      <c r="AQ17" s="278"/>
      <c r="AR17" s="277"/>
      <c r="AU17" s="278"/>
      <c r="AV17" s="277"/>
      <c r="AY17" s="278"/>
      <c r="AZ17" s="271">
        <f t="shared" si="3"/>
        <v>0</v>
      </c>
      <c r="BA17" s="272">
        <f t="shared" si="4"/>
        <v>0</v>
      </c>
      <c r="BC17" s="279">
        <f t="shared" si="5"/>
        <v>0</v>
      </c>
    </row>
    <row r="18" spans="1:55" x14ac:dyDescent="0.25">
      <c r="B18" s="24" t="s">
        <v>170</v>
      </c>
      <c r="C18" s="68" t="s">
        <v>27</v>
      </c>
      <c r="D18" s="271"/>
      <c r="E18" s="272"/>
      <c r="F18" s="272"/>
      <c r="G18" s="273">
        <f t="shared" si="6"/>
        <v>0</v>
      </c>
      <c r="H18" s="274"/>
      <c r="I18" s="275"/>
      <c r="J18" s="275"/>
      <c r="K18" s="298">
        <f t="shared" si="7"/>
        <v>0</v>
      </c>
      <c r="L18" s="274"/>
      <c r="M18" s="275"/>
      <c r="N18" s="275"/>
      <c r="O18" s="276">
        <f t="shared" si="8"/>
        <v>0</v>
      </c>
      <c r="P18" s="277"/>
      <c r="S18" s="278"/>
      <c r="T18" s="277"/>
      <c r="W18" s="278"/>
      <c r="X18" s="277"/>
      <c r="AA18" s="278"/>
      <c r="AB18" s="277"/>
      <c r="AE18" s="278"/>
      <c r="AF18" s="277"/>
      <c r="AI18" s="278"/>
      <c r="AJ18" s="277"/>
      <c r="AM18" s="278"/>
      <c r="AN18" s="277"/>
      <c r="AQ18" s="278"/>
      <c r="AR18" s="277"/>
      <c r="AU18" s="278"/>
      <c r="AV18" s="277"/>
      <c r="AY18" s="278"/>
      <c r="AZ18" s="271">
        <f t="shared" si="3"/>
        <v>0</v>
      </c>
      <c r="BA18" s="272">
        <f t="shared" si="4"/>
        <v>0</v>
      </c>
      <c r="BC18" s="279">
        <f t="shared" si="5"/>
        <v>0</v>
      </c>
    </row>
    <row r="19" spans="1:55" x14ac:dyDescent="0.25">
      <c r="B19" s="24" t="s">
        <v>170</v>
      </c>
      <c r="C19" s="68" t="s">
        <v>29</v>
      </c>
      <c r="D19" s="271"/>
      <c r="E19" s="272"/>
      <c r="F19" s="272"/>
      <c r="G19" s="273">
        <f t="shared" si="6"/>
        <v>0</v>
      </c>
      <c r="H19" s="274"/>
      <c r="I19" s="275"/>
      <c r="J19" s="275"/>
      <c r="K19" s="297">
        <f t="shared" si="7"/>
        <v>0</v>
      </c>
      <c r="L19" s="274"/>
      <c r="M19" s="275"/>
      <c r="N19" s="275"/>
      <c r="O19" s="299">
        <f t="shared" si="8"/>
        <v>0</v>
      </c>
      <c r="P19" s="277"/>
      <c r="S19" s="278"/>
      <c r="T19" s="277"/>
      <c r="W19" s="278"/>
      <c r="X19" s="277"/>
      <c r="AA19" s="278"/>
      <c r="AB19" s="277"/>
      <c r="AE19" s="278"/>
      <c r="AF19" s="277"/>
      <c r="AI19" s="278"/>
      <c r="AJ19" s="277"/>
      <c r="AM19" s="278"/>
      <c r="AN19" s="277"/>
      <c r="AQ19" s="278"/>
      <c r="AR19" s="277"/>
      <c r="AU19" s="278"/>
      <c r="AV19" s="277"/>
      <c r="AY19" s="278"/>
      <c r="AZ19" s="271">
        <f t="shared" si="3"/>
        <v>0</v>
      </c>
      <c r="BA19" s="272">
        <f t="shared" si="4"/>
        <v>0</v>
      </c>
      <c r="BC19" s="279">
        <f t="shared" si="5"/>
        <v>0</v>
      </c>
    </row>
    <row r="20" spans="1:55" x14ac:dyDescent="0.25">
      <c r="B20" s="24" t="s">
        <v>170</v>
      </c>
      <c r="C20" s="68" t="s">
        <v>28</v>
      </c>
      <c r="D20" s="271"/>
      <c r="E20" s="272"/>
      <c r="F20" s="272"/>
      <c r="G20" s="273">
        <f t="shared" si="6"/>
        <v>0</v>
      </c>
      <c r="H20" s="274"/>
      <c r="I20" s="275"/>
      <c r="J20" s="275"/>
      <c r="K20" s="298">
        <f t="shared" si="7"/>
        <v>0</v>
      </c>
      <c r="L20" s="274"/>
      <c r="M20" s="275"/>
      <c r="N20" s="275"/>
      <c r="O20" s="276">
        <f t="shared" si="8"/>
        <v>0</v>
      </c>
      <c r="P20" s="277"/>
      <c r="S20" s="278"/>
      <c r="T20" s="277"/>
      <c r="W20" s="278"/>
      <c r="X20" s="277"/>
      <c r="AA20" s="278"/>
      <c r="AB20" s="277"/>
      <c r="AE20" s="278"/>
      <c r="AF20" s="277"/>
      <c r="AI20" s="278"/>
      <c r="AJ20" s="277"/>
      <c r="AM20" s="278"/>
      <c r="AN20" s="277"/>
      <c r="AQ20" s="278"/>
      <c r="AR20" s="277"/>
      <c r="AU20" s="278"/>
      <c r="AV20" s="277"/>
      <c r="AY20" s="278"/>
      <c r="AZ20" s="271">
        <f t="shared" si="3"/>
        <v>0</v>
      </c>
      <c r="BA20" s="272">
        <f t="shared" si="4"/>
        <v>0</v>
      </c>
      <c r="BC20" s="279">
        <f t="shared" si="5"/>
        <v>0</v>
      </c>
    </row>
    <row r="21" spans="1:55" x14ac:dyDescent="0.25">
      <c r="B21" s="24" t="s">
        <v>170</v>
      </c>
      <c r="C21" s="68" t="s">
        <v>31</v>
      </c>
      <c r="D21" s="271"/>
      <c r="E21" s="272"/>
      <c r="F21" s="272"/>
      <c r="G21" s="273">
        <f t="shared" si="6"/>
        <v>0</v>
      </c>
      <c r="H21" s="274"/>
      <c r="I21" s="275"/>
      <c r="J21" s="275"/>
      <c r="K21" s="297">
        <f t="shared" si="7"/>
        <v>0</v>
      </c>
      <c r="L21" s="274"/>
      <c r="M21" s="275"/>
      <c r="N21" s="275"/>
      <c r="O21" s="299">
        <f t="shared" si="8"/>
        <v>0</v>
      </c>
      <c r="P21" s="277"/>
      <c r="S21" s="278"/>
      <c r="T21" s="277"/>
      <c r="W21" s="278"/>
      <c r="X21" s="277"/>
      <c r="AA21" s="278"/>
      <c r="AB21" s="277"/>
      <c r="AE21" s="278"/>
      <c r="AF21" s="277"/>
      <c r="AI21" s="278"/>
      <c r="AJ21" s="277"/>
      <c r="AM21" s="278"/>
      <c r="AN21" s="277"/>
      <c r="AQ21" s="278"/>
      <c r="AR21" s="277"/>
      <c r="AU21" s="278"/>
      <c r="AV21" s="277"/>
      <c r="AY21" s="278"/>
      <c r="AZ21" s="271">
        <f t="shared" si="3"/>
        <v>0</v>
      </c>
      <c r="BA21" s="272">
        <f t="shared" si="4"/>
        <v>0</v>
      </c>
      <c r="BC21" s="279">
        <f t="shared" si="5"/>
        <v>0</v>
      </c>
    </row>
    <row r="22" spans="1:55" x14ac:dyDescent="0.25">
      <c r="B22" s="24" t="s">
        <v>170</v>
      </c>
      <c r="C22" s="68" t="s">
        <v>32</v>
      </c>
      <c r="D22" s="271"/>
      <c r="E22" s="272"/>
      <c r="F22" s="272"/>
      <c r="G22" s="273">
        <f t="shared" si="6"/>
        <v>0</v>
      </c>
      <c r="H22" s="274"/>
      <c r="I22" s="275"/>
      <c r="J22" s="275"/>
      <c r="K22" s="297">
        <f t="shared" si="7"/>
        <v>0</v>
      </c>
      <c r="L22" s="274"/>
      <c r="M22" s="275"/>
      <c r="N22" s="275"/>
      <c r="O22" s="299">
        <f t="shared" si="8"/>
        <v>0</v>
      </c>
      <c r="P22" s="277"/>
      <c r="S22" s="278"/>
      <c r="T22" s="277"/>
      <c r="W22" s="278"/>
      <c r="X22" s="277"/>
      <c r="AA22" s="278"/>
      <c r="AB22" s="277"/>
      <c r="AE22" s="278"/>
      <c r="AF22" s="277"/>
      <c r="AI22" s="278"/>
      <c r="AJ22" s="277"/>
      <c r="AM22" s="278"/>
      <c r="AN22" s="277"/>
      <c r="AQ22" s="278"/>
      <c r="AR22" s="277"/>
      <c r="AU22" s="278"/>
      <c r="AV22" s="277"/>
      <c r="AY22" s="278"/>
      <c r="AZ22" s="271">
        <f t="shared" si="3"/>
        <v>0</v>
      </c>
      <c r="BA22" s="272">
        <f t="shared" si="4"/>
        <v>0</v>
      </c>
      <c r="BC22" s="279">
        <f t="shared" si="5"/>
        <v>0</v>
      </c>
    </row>
    <row r="23" spans="1:55" x14ac:dyDescent="0.25">
      <c r="B23" s="24" t="s">
        <v>170</v>
      </c>
      <c r="C23" s="68" t="s">
        <v>33</v>
      </c>
      <c r="D23" s="271"/>
      <c r="E23" s="272"/>
      <c r="F23" s="272"/>
      <c r="G23" s="273">
        <f t="shared" si="6"/>
        <v>0</v>
      </c>
      <c r="H23" s="274"/>
      <c r="I23" s="275"/>
      <c r="J23" s="275"/>
      <c r="K23" s="297">
        <f t="shared" si="7"/>
        <v>0</v>
      </c>
      <c r="L23" s="274"/>
      <c r="M23" s="275"/>
      <c r="N23" s="275"/>
      <c r="O23" s="299">
        <f t="shared" si="8"/>
        <v>0</v>
      </c>
      <c r="P23" s="277"/>
      <c r="S23" s="278"/>
      <c r="T23" s="277"/>
      <c r="W23" s="278"/>
      <c r="X23" s="277"/>
      <c r="AA23" s="278"/>
      <c r="AB23" s="277"/>
      <c r="AE23" s="278"/>
      <c r="AF23" s="277"/>
      <c r="AI23" s="278"/>
      <c r="AJ23" s="277"/>
      <c r="AM23" s="278"/>
      <c r="AN23" s="277"/>
      <c r="AQ23" s="278"/>
      <c r="AR23" s="277"/>
      <c r="AU23" s="278"/>
      <c r="AV23" s="277"/>
      <c r="AY23" s="278"/>
      <c r="AZ23" s="271">
        <f t="shared" si="3"/>
        <v>0</v>
      </c>
      <c r="BA23" s="272">
        <f t="shared" si="4"/>
        <v>0</v>
      </c>
      <c r="BC23" s="279">
        <f t="shared" si="5"/>
        <v>0</v>
      </c>
    </row>
    <row r="24" spans="1:55" x14ac:dyDescent="0.25">
      <c r="B24" s="24" t="s">
        <v>170</v>
      </c>
      <c r="C24" s="68" t="s">
        <v>35</v>
      </c>
      <c r="D24" s="271"/>
      <c r="E24" s="272"/>
      <c r="F24" s="272"/>
      <c r="G24" s="273">
        <f t="shared" si="6"/>
        <v>0</v>
      </c>
      <c r="H24" s="274"/>
      <c r="I24" s="275"/>
      <c r="J24" s="275"/>
      <c r="K24" s="297">
        <f t="shared" si="7"/>
        <v>0</v>
      </c>
      <c r="L24" s="274"/>
      <c r="M24" s="275"/>
      <c r="N24" s="275"/>
      <c r="O24" s="299">
        <f t="shared" si="8"/>
        <v>0</v>
      </c>
      <c r="P24" s="277"/>
      <c r="S24" s="278"/>
      <c r="T24" s="277"/>
      <c r="W24" s="278"/>
      <c r="X24" s="277"/>
      <c r="AA24" s="278"/>
      <c r="AB24" s="277"/>
      <c r="AE24" s="278"/>
      <c r="AF24" s="277"/>
      <c r="AI24" s="278"/>
      <c r="AJ24" s="277"/>
      <c r="AM24" s="278"/>
      <c r="AN24" s="277"/>
      <c r="AQ24" s="278"/>
      <c r="AR24" s="277"/>
      <c r="AU24" s="278"/>
      <c r="AV24" s="277"/>
      <c r="AY24" s="278"/>
      <c r="AZ24" s="271">
        <f t="shared" si="3"/>
        <v>0</v>
      </c>
      <c r="BA24" s="272">
        <f t="shared" si="4"/>
        <v>0</v>
      </c>
      <c r="BC24" s="279">
        <f t="shared" si="5"/>
        <v>0</v>
      </c>
    </row>
    <row r="25" spans="1:55" x14ac:dyDescent="0.25">
      <c r="B25" s="24" t="s">
        <v>170</v>
      </c>
      <c r="C25" s="68" t="s">
        <v>36</v>
      </c>
      <c r="D25" s="271"/>
      <c r="E25" s="272"/>
      <c r="F25" s="272"/>
      <c r="G25" s="273">
        <f t="shared" si="6"/>
        <v>0</v>
      </c>
      <c r="H25" s="274"/>
      <c r="I25" s="275"/>
      <c r="J25" s="275"/>
      <c r="K25" s="297">
        <f t="shared" si="7"/>
        <v>0</v>
      </c>
      <c r="L25" s="274"/>
      <c r="M25" s="275"/>
      <c r="N25" s="275"/>
      <c r="O25" s="299">
        <f t="shared" si="8"/>
        <v>0</v>
      </c>
      <c r="P25" s="277"/>
      <c r="S25" s="278"/>
      <c r="T25" s="277"/>
      <c r="W25" s="278"/>
      <c r="X25" s="277"/>
      <c r="AA25" s="278"/>
      <c r="AB25" s="277"/>
      <c r="AE25" s="278"/>
      <c r="AF25" s="277"/>
      <c r="AI25" s="278"/>
      <c r="AJ25" s="277"/>
      <c r="AM25" s="278"/>
      <c r="AN25" s="277"/>
      <c r="AQ25" s="278"/>
      <c r="AR25" s="277"/>
      <c r="AU25" s="278"/>
      <c r="AV25" s="277"/>
      <c r="AY25" s="278"/>
      <c r="AZ25" s="271">
        <f t="shared" si="3"/>
        <v>0</v>
      </c>
      <c r="BA25" s="272">
        <f t="shared" si="4"/>
        <v>0</v>
      </c>
      <c r="BC25" s="279">
        <f t="shared" si="5"/>
        <v>0</v>
      </c>
    </row>
    <row r="26" spans="1:55" x14ac:dyDescent="0.25">
      <c r="B26" s="24" t="s">
        <v>170</v>
      </c>
      <c r="C26" s="68" t="s">
        <v>58</v>
      </c>
      <c r="D26" s="300"/>
      <c r="E26" s="272"/>
      <c r="F26" s="272"/>
      <c r="G26" s="273"/>
      <c r="H26" s="274"/>
      <c r="I26" s="275"/>
      <c r="J26" s="275"/>
      <c r="K26" s="297"/>
      <c r="L26" s="274"/>
      <c r="M26" s="275"/>
      <c r="N26" s="275"/>
      <c r="O26" s="276"/>
      <c r="P26" s="277"/>
      <c r="S26" s="278"/>
      <c r="T26" s="277"/>
      <c r="W26" s="278"/>
      <c r="X26" s="277"/>
      <c r="AA26" s="278"/>
      <c r="AB26" s="277"/>
      <c r="AE26" s="278"/>
      <c r="AF26" s="277"/>
      <c r="AI26" s="278"/>
      <c r="AJ26" s="277"/>
      <c r="AM26" s="278"/>
      <c r="AN26" s="277"/>
      <c r="AQ26" s="278"/>
      <c r="AR26" s="277"/>
      <c r="AU26" s="278"/>
      <c r="AV26" s="277"/>
      <c r="AY26" s="278"/>
      <c r="AZ26" s="271">
        <f t="shared" si="3"/>
        <v>0</v>
      </c>
      <c r="BA26" s="272">
        <f t="shared" si="4"/>
        <v>0</v>
      </c>
      <c r="BC26" s="279">
        <f t="shared" si="5"/>
        <v>0</v>
      </c>
    </row>
    <row r="27" spans="1:55" ht="15.75" thickBot="1" x14ac:dyDescent="0.3">
      <c r="B27" s="281" t="s">
        <v>2</v>
      </c>
      <c r="C27" s="282"/>
      <c r="D27" s="283">
        <f>SUM(D4:D26)</f>
        <v>0</v>
      </c>
      <c r="E27" s="284">
        <f>SUM(E4:E26)</f>
        <v>0</v>
      </c>
      <c r="F27" s="284"/>
      <c r="G27" s="285">
        <f>SUM(G4:G25)</f>
        <v>0</v>
      </c>
      <c r="H27" s="283">
        <f>SUM(H4:H26)</f>
        <v>0</v>
      </c>
      <c r="I27" s="284">
        <f>SUM(I4:I26)</f>
        <v>0</v>
      </c>
      <c r="J27" s="284"/>
      <c r="K27" s="285">
        <f>SUM(K4:K25)</f>
        <v>0</v>
      </c>
      <c r="L27" s="283">
        <f>SUM(L4:L26)</f>
        <v>0</v>
      </c>
      <c r="M27" s="284">
        <f>SUM(M4:M26)</f>
        <v>0</v>
      </c>
      <c r="N27" s="284"/>
      <c r="O27" s="285">
        <f>SUM(O4:O25)</f>
        <v>0</v>
      </c>
      <c r="P27" s="283">
        <f>SUM(P4:P26)</f>
        <v>0</v>
      </c>
      <c r="Q27" s="284">
        <f>SUM(Q4:Q26)</f>
        <v>0</v>
      </c>
      <c r="R27" s="284"/>
      <c r="S27" s="285"/>
      <c r="T27" s="283">
        <f>SUM(T4:T26)</f>
        <v>0</v>
      </c>
      <c r="U27" s="284">
        <f>SUM(U4:U26)</f>
        <v>0</v>
      </c>
      <c r="V27" s="284"/>
      <c r="W27" s="285">
        <f>SUM(W4:W25)</f>
        <v>0</v>
      </c>
      <c r="X27" s="283">
        <f>SUM(X4:X26)</f>
        <v>0</v>
      </c>
      <c r="Y27" s="284">
        <f>SUM(Y4:Y26)</f>
        <v>0</v>
      </c>
      <c r="Z27" s="284"/>
      <c r="AA27" s="285">
        <f>SUM(AA4:AA25)</f>
        <v>0</v>
      </c>
      <c r="AB27" s="283">
        <f>SUM(AB4:AB26)</f>
        <v>0</v>
      </c>
      <c r="AC27" s="284">
        <f>SUM(AC4:AC26)</f>
        <v>0</v>
      </c>
      <c r="AD27" s="284"/>
      <c r="AE27" s="285">
        <f>SUM(AE4:AE25)</f>
        <v>0</v>
      </c>
      <c r="AF27" s="283">
        <f>SUM(AF4:AF26)</f>
        <v>0</v>
      </c>
      <c r="AG27" s="284">
        <f>SUM(AG4:AG26)</f>
        <v>0</v>
      </c>
      <c r="AH27" s="284"/>
      <c r="AI27" s="285">
        <f>SUM(AI4:AI25)</f>
        <v>0</v>
      </c>
      <c r="AJ27" s="283">
        <f>SUM(AJ4:AJ26)</f>
        <v>0</v>
      </c>
      <c r="AK27" s="284">
        <f>SUM(AK4:AK26)</f>
        <v>0</v>
      </c>
      <c r="AL27" s="284"/>
      <c r="AM27" s="285">
        <f>SUM(AM4:AM25)</f>
        <v>0</v>
      </c>
      <c r="AN27" s="283">
        <f>SUM(AN4:AN26)</f>
        <v>0</v>
      </c>
      <c r="AO27" s="284">
        <f>SUM(AO4:AO26)</f>
        <v>0</v>
      </c>
      <c r="AP27" s="284"/>
      <c r="AQ27" s="285">
        <f>SUM(AQ4:AQ25)</f>
        <v>0</v>
      </c>
      <c r="AR27" s="283">
        <f>SUM(AR4:AR26)</f>
        <v>0</v>
      </c>
      <c r="AS27" s="284">
        <f>SUM(AS4:AS26)</f>
        <v>0</v>
      </c>
      <c r="AT27" s="284"/>
      <c r="AU27" s="285">
        <f>SUM(AU4:AU25)</f>
        <v>0</v>
      </c>
      <c r="AV27" s="283">
        <f>SUM(AV4:AV26)</f>
        <v>0</v>
      </c>
      <c r="AW27" s="284">
        <f>SUM(AW4:AW26)</f>
        <v>0</v>
      </c>
      <c r="AX27" s="284"/>
      <c r="AY27" s="285">
        <f>SUM(AY4:AY25)</f>
        <v>0</v>
      </c>
      <c r="AZ27" s="286">
        <f>SUM(AZ4:AZ26)</f>
        <v>0</v>
      </c>
      <c r="BA27" s="286">
        <f>SUM(BA4:BA26)</f>
        <v>0</v>
      </c>
      <c r="BB27" s="282"/>
      <c r="BC27" s="287">
        <f>SUM(BC4:BC26)</f>
        <v>0</v>
      </c>
    </row>
    <row r="28" spans="1:55" x14ac:dyDescent="0.25">
      <c r="D28" s="272"/>
      <c r="E28" s="272"/>
      <c r="F28" s="272"/>
      <c r="G28" s="272"/>
      <c r="H28" s="272"/>
      <c r="I28" s="272"/>
      <c r="J28" s="272"/>
      <c r="K28" s="272"/>
      <c r="L28" s="272"/>
      <c r="M28" s="272"/>
      <c r="N28" s="272"/>
      <c r="O28" s="272"/>
      <c r="P28" s="272"/>
      <c r="Q28" s="272"/>
      <c r="R28" s="272"/>
      <c r="S28" s="272"/>
      <c r="T28" s="272"/>
      <c r="U28" s="272"/>
      <c r="V28" s="272"/>
      <c r="W28" s="272"/>
      <c r="X28" s="272"/>
      <c r="Y28" s="272"/>
      <c r="Z28" s="272"/>
      <c r="AA28" s="272"/>
      <c r="AB28" s="272"/>
      <c r="AC28" s="272"/>
      <c r="AD28" s="272"/>
      <c r="AE28" s="272"/>
      <c r="AF28" s="272"/>
      <c r="AG28" s="272"/>
      <c r="AH28" s="272"/>
      <c r="AI28" s="272"/>
      <c r="AJ28" s="272"/>
      <c r="AK28" s="272"/>
      <c r="AL28" s="272"/>
      <c r="AM28" s="272"/>
      <c r="AN28" s="272"/>
      <c r="AO28" s="272"/>
      <c r="AP28" s="272"/>
      <c r="AQ28" s="272"/>
      <c r="AR28" s="272"/>
      <c r="AS28" s="272"/>
      <c r="AT28" s="272"/>
      <c r="AU28" s="272"/>
      <c r="AV28" s="272"/>
      <c r="AW28" s="272"/>
      <c r="AX28" s="272"/>
      <c r="AY28" s="272"/>
      <c r="AZ28" s="288">
        <f>D27+H27+L27+P27+T27+X27+AB27+AF27+AJ27+AN27+AR27+AV27</f>
        <v>0</v>
      </c>
      <c r="BA28" s="288">
        <f>E27+I27+M27+Q27+U27+Y27+AC27+AG27+AK27+AO27+AS27+AW27</f>
        <v>0</v>
      </c>
      <c r="BC28" s="288">
        <f>G27+K27+O27+S27+W27+AA27+AE27+AI27+AM27+AQ27+AU27+AY27</f>
        <v>0</v>
      </c>
    </row>
    <row r="29" spans="1:55" x14ac:dyDescent="0.25">
      <c r="A29" s="272" t="s">
        <v>2</v>
      </c>
      <c r="B29" s="289" t="s">
        <v>172</v>
      </c>
      <c r="C29" s="272"/>
      <c r="D29" s="272">
        <f>SUMIF($B$4:$B$26,$B$29,D4:D26)</f>
        <v>0</v>
      </c>
      <c r="E29" s="272"/>
      <c r="F29" s="272"/>
      <c r="G29" s="272">
        <f>SUMIF($B$4:$B$25,$B$29,G4:G25)</f>
        <v>0</v>
      </c>
      <c r="H29" s="272">
        <f>SUMIF($B$4:$B$26,$B$29,H4:H26)</f>
        <v>0</v>
      </c>
      <c r="I29" s="272"/>
      <c r="J29" s="272"/>
      <c r="K29" s="272">
        <f>SUMIF($B$4:$B$25,$B$29,K4:K25)</f>
        <v>0</v>
      </c>
      <c r="L29" s="272">
        <f>SUMIF($B$4:$B$26,$B$29,L4:L26)</f>
        <v>0</v>
      </c>
      <c r="M29" s="272"/>
      <c r="N29" s="272"/>
      <c r="O29" s="272">
        <f>SUMIF($B$4:$B$25,$B$29,O4:O25)</f>
        <v>0</v>
      </c>
      <c r="P29" s="272">
        <f>SUMIF($B$4:$B$26,$B$29,P4:P26)</f>
        <v>0</v>
      </c>
      <c r="Q29" s="272"/>
      <c r="R29" s="272"/>
      <c r="S29" s="272"/>
      <c r="T29" s="272">
        <f>SUMIF($B$4:$B$26,$B$29,T4:T26)</f>
        <v>0</v>
      </c>
      <c r="U29" s="272"/>
      <c r="V29" s="272"/>
      <c r="W29" s="272">
        <f>SUMIF($B$4:$B$25,$B$29,W4:W25)</f>
        <v>0</v>
      </c>
      <c r="X29" s="272">
        <f>SUMIF($B$4:$B$26,$B$29,X4:X26)</f>
        <v>0</v>
      </c>
      <c r="Y29" s="272"/>
      <c r="Z29" s="272"/>
      <c r="AA29" s="272">
        <f>SUMIF($B$4:$B$25,$B$29,AA4:AA25)</f>
        <v>0</v>
      </c>
      <c r="AB29" s="272">
        <f>SUMIF($B$4:$B$26,$B$29,AB4:AB26)</f>
        <v>0</v>
      </c>
      <c r="AC29" s="272"/>
      <c r="AD29" s="272"/>
      <c r="AE29" s="272">
        <f>SUMIF($B$4:$B$25,$B$29,AE4:AE25)</f>
        <v>0</v>
      </c>
      <c r="AF29" s="272">
        <f>SUMIF($B$4:$B$26,$B$29,AF4:AF26)</f>
        <v>0</v>
      </c>
      <c r="AG29" s="272"/>
      <c r="AH29" s="272"/>
      <c r="AI29" s="272">
        <f>SUMIF($B$4:$B$25,$B$29,AI4:AI25)</f>
        <v>0</v>
      </c>
      <c r="AJ29" s="272">
        <f>SUMIF($B$4:$B$26,$B$29,AJ4:AJ26)</f>
        <v>0</v>
      </c>
      <c r="AK29" s="272"/>
      <c r="AL29" s="272"/>
      <c r="AM29" s="272">
        <f>SUMIF($B$4:$B$25,$B$29,AM4:AM25)</f>
        <v>0</v>
      </c>
      <c r="AN29" s="272">
        <f>SUMIF($B$4:$B$26,$B$29,AN4:AN26)</f>
        <v>0</v>
      </c>
      <c r="AO29" s="272"/>
      <c r="AP29" s="272"/>
      <c r="AQ29" s="272">
        <f>SUMIF($B$4:$B$25,$B$29,AQ4:AQ25)</f>
        <v>0</v>
      </c>
      <c r="AR29" s="272">
        <f>SUMIF($B$4:$B$26,$B$29,AR4:AR26)</f>
        <v>0</v>
      </c>
      <c r="AS29" s="272"/>
      <c r="AT29" s="272"/>
      <c r="AU29" s="272">
        <f>SUMIF($B$4:$B$25,$B$29,AU4:AU25)</f>
        <v>0</v>
      </c>
      <c r="AV29" s="272">
        <f>SUMIF($B$4:$B$26,$B$29,AV4:AV26)</f>
        <v>0</v>
      </c>
      <c r="AW29" s="272"/>
      <c r="AX29" s="272"/>
      <c r="AY29" s="272">
        <f>SUMIF($B$4:$B$25,$B$29,AY4:AY25)</f>
        <v>0</v>
      </c>
      <c r="AZ29" s="272">
        <f>SUMIF($B$4:$B$25,$B$29,AZ4:AZ25)</f>
        <v>0</v>
      </c>
      <c r="BA29" s="272"/>
      <c r="BB29" s="272"/>
      <c r="BC29" s="272">
        <f>SUMIF($B$4:$B$25,$B$29,BC4:BC25)</f>
        <v>0</v>
      </c>
    </row>
    <row r="30" spans="1:55" x14ac:dyDescent="0.25">
      <c r="A30" s="272"/>
      <c r="B30" s="272"/>
      <c r="C30" s="272"/>
      <c r="D30" s="272"/>
      <c r="E30" s="272"/>
      <c r="F30" s="272"/>
      <c r="G30" s="272"/>
      <c r="H30" s="272"/>
      <c r="I30" s="272"/>
      <c r="J30" s="272"/>
      <c r="K30" s="272"/>
      <c r="L30" s="272"/>
      <c r="M30" s="272"/>
      <c r="N30" s="272"/>
      <c r="O30" s="272"/>
      <c r="P30" s="272"/>
      <c r="Q30" s="272"/>
      <c r="R30" s="272"/>
      <c r="S30" s="272"/>
      <c r="T30" s="272"/>
      <c r="U30" s="272"/>
      <c r="V30" s="272"/>
      <c r="W30" s="272"/>
      <c r="X30" s="272"/>
      <c r="Y30" s="272"/>
      <c r="Z30" s="272"/>
      <c r="AA30" s="272"/>
      <c r="AB30" s="272"/>
      <c r="AC30" s="272"/>
      <c r="AD30" s="272"/>
      <c r="AE30" s="272"/>
      <c r="AF30" s="272"/>
      <c r="AG30" s="272"/>
      <c r="AH30" s="272"/>
      <c r="AI30" s="272"/>
      <c r="AJ30" s="272"/>
      <c r="AK30" s="272"/>
      <c r="AL30" s="272"/>
      <c r="AM30" s="272"/>
      <c r="AN30" s="272"/>
      <c r="AO30" s="272"/>
      <c r="AP30" s="272"/>
      <c r="AQ30" s="272"/>
      <c r="AR30" s="272"/>
      <c r="AS30" s="272"/>
      <c r="AT30" s="272"/>
      <c r="AU30" s="272"/>
      <c r="AV30" s="272"/>
      <c r="AW30" s="272"/>
      <c r="AX30" s="272"/>
      <c r="AY30" s="272"/>
      <c r="AZ30" s="272"/>
      <c r="BA30" s="272"/>
      <c r="BB30" s="272"/>
      <c r="BC30" s="272"/>
    </row>
    <row r="31" spans="1:55" ht="15.75" thickBot="1" x14ac:dyDescent="0.3">
      <c r="A31" s="272" t="s">
        <v>2</v>
      </c>
      <c r="B31" s="272" t="s">
        <v>170</v>
      </c>
      <c r="C31" s="272"/>
      <c r="D31" s="290">
        <f>SUMIF($B$4:$B$26,$B$31,D4:D26)</f>
        <v>0</v>
      </c>
      <c r="E31" s="290"/>
      <c r="F31" s="290"/>
      <c r="G31" s="290">
        <f>SUMIF($B$4:$B$25,$B$31,G4:G25)</f>
        <v>0</v>
      </c>
      <c r="H31" s="290">
        <f>SUMIF($B$4:$B$26,$B$31,H4:H26)</f>
        <v>0</v>
      </c>
      <c r="I31" s="290"/>
      <c r="J31" s="290"/>
      <c r="K31" s="290">
        <f>SUMIF($B$4:$B$25,$B$31,K4:K25)</f>
        <v>0</v>
      </c>
      <c r="L31" s="290">
        <f>SUMIF($B$4:$B$26,$B$31,L4:L26)</f>
        <v>0</v>
      </c>
      <c r="M31" s="290"/>
      <c r="N31" s="290"/>
      <c r="O31" s="290">
        <f>SUMIF($B$4:$B$25,$B$31,O4:O25)</f>
        <v>0</v>
      </c>
      <c r="P31" s="290">
        <f>SUMIF($B$4:$B$26,$B$31,P4:P26)</f>
        <v>0</v>
      </c>
      <c r="Q31" s="290"/>
      <c r="R31" s="290"/>
      <c r="S31" s="290"/>
      <c r="T31" s="290">
        <f>SUMIF($B$4:$B$26,$B$31,T4:T26)</f>
        <v>0</v>
      </c>
      <c r="U31" s="290"/>
      <c r="V31" s="290"/>
      <c r="W31" s="290">
        <f>SUMIF($B$4:$B$25,$B$31,W4:W25)</f>
        <v>0</v>
      </c>
      <c r="X31" s="290">
        <f>SUMIF($B$4:$B$26,$B$31,X4:X26)</f>
        <v>0</v>
      </c>
      <c r="Y31" s="290"/>
      <c r="Z31" s="290"/>
      <c r="AA31" s="290">
        <f>SUMIF($B$4:$B$25,$B$31,AA4:AA25)</f>
        <v>0</v>
      </c>
      <c r="AB31" s="290">
        <f>SUMIF($B$4:$B$26,$B$31,AB4:AB26)</f>
        <v>0</v>
      </c>
      <c r="AC31" s="290"/>
      <c r="AD31" s="290"/>
      <c r="AE31" s="290">
        <f>SUMIF($B$4:$B$25,$B$31,AE4:AE25)</f>
        <v>0</v>
      </c>
      <c r="AF31" s="290">
        <f>SUMIF($B$4:$B$26,$B$31,AF4:AF26)</f>
        <v>0</v>
      </c>
      <c r="AG31" s="290"/>
      <c r="AH31" s="290"/>
      <c r="AI31" s="290">
        <f>SUMIF($B$4:$B$25,$B$31,AI4:AI25)</f>
        <v>0</v>
      </c>
      <c r="AJ31" s="290">
        <f>SUMIF($B$4:$B$26,$B$31,AJ4:AJ26)</f>
        <v>0</v>
      </c>
      <c r="AK31" s="290"/>
      <c r="AL31" s="290"/>
      <c r="AM31" s="290">
        <f>SUMIF($B$4:$B$25,$B$31,AM4:AM25)</f>
        <v>0</v>
      </c>
      <c r="AN31" s="290">
        <f>SUMIF($B$4:$B$26,$B$31,AN4:AN26)</f>
        <v>0</v>
      </c>
      <c r="AO31" s="290"/>
      <c r="AP31" s="290"/>
      <c r="AQ31" s="290">
        <f>SUMIF($B$4:$B$25,$B$31,AQ4:AQ25)</f>
        <v>0</v>
      </c>
      <c r="AR31" s="290">
        <f>SUMIF($B$4:$B$26,$B$31,AR4:AR26)</f>
        <v>0</v>
      </c>
      <c r="AS31" s="290"/>
      <c r="AT31" s="290"/>
      <c r="AU31" s="290">
        <f>SUMIF($B$4:$B$25,$B$31,AU4:AU25)</f>
        <v>0</v>
      </c>
      <c r="AV31" s="290">
        <f>SUMIF($B$4:$B$26,$B$31,AV4:AV26)</f>
        <v>0</v>
      </c>
      <c r="AW31" s="290"/>
      <c r="AX31" s="290"/>
      <c r="AY31" s="290">
        <f>SUMIF($B$4:$B$25,$B$31,AY4:AY25)</f>
        <v>0</v>
      </c>
      <c r="AZ31" s="290">
        <f>SUMIF($B$4:$B$25,$B$31,AZ4:AZ25)</f>
        <v>0</v>
      </c>
      <c r="BA31" s="290"/>
      <c r="BB31" s="290"/>
      <c r="BC31" s="290">
        <f>SUMIF($B$4:$B$25,$B$31,BC4:BC25)</f>
        <v>0</v>
      </c>
    </row>
    <row r="32" spans="1:55" x14ac:dyDescent="0.25">
      <c r="A32" s="272"/>
      <c r="B32" s="272" t="s">
        <v>2</v>
      </c>
      <c r="C32" s="272"/>
      <c r="D32" s="272">
        <f>D29+D31</f>
        <v>0</v>
      </c>
      <c r="E32" s="272"/>
      <c r="F32" s="272"/>
      <c r="G32" s="272">
        <f>G29+G31</f>
        <v>0</v>
      </c>
      <c r="H32" s="272">
        <f>H29+H31</f>
        <v>0</v>
      </c>
      <c r="I32" s="272"/>
      <c r="J32" s="272"/>
      <c r="K32" s="272">
        <f>K29+K31</f>
        <v>0</v>
      </c>
      <c r="L32" s="272">
        <f>L29+L31</f>
        <v>0</v>
      </c>
      <c r="M32" s="272"/>
      <c r="N32" s="272"/>
      <c r="O32" s="272">
        <f>O29+O31</f>
        <v>0</v>
      </c>
      <c r="P32" s="272">
        <f>P29+P31</f>
        <v>0</v>
      </c>
      <c r="Q32" s="272"/>
      <c r="R32" s="272"/>
      <c r="S32" s="272"/>
      <c r="T32" s="272">
        <f>T29+T31</f>
        <v>0</v>
      </c>
      <c r="U32" s="272"/>
      <c r="V32" s="272"/>
      <c r="W32" s="272">
        <f>W29+W31</f>
        <v>0</v>
      </c>
      <c r="X32" s="272">
        <f>X29+X31</f>
        <v>0</v>
      </c>
      <c r="Y32" s="272"/>
      <c r="Z32" s="272"/>
      <c r="AA32" s="272">
        <f>AA29+AA31</f>
        <v>0</v>
      </c>
      <c r="AB32" s="272">
        <f>AB29+AB31</f>
        <v>0</v>
      </c>
      <c r="AC32" s="272"/>
      <c r="AD32" s="272"/>
      <c r="AE32" s="272">
        <f>AE29+AE31</f>
        <v>0</v>
      </c>
      <c r="AF32" s="272">
        <f>AF29+AF31</f>
        <v>0</v>
      </c>
      <c r="AG32" s="272"/>
      <c r="AH32" s="272"/>
      <c r="AI32" s="272">
        <f>AI29+AI31</f>
        <v>0</v>
      </c>
      <c r="AJ32" s="272">
        <f>AJ29+AJ31</f>
        <v>0</v>
      </c>
      <c r="AK32" s="272"/>
      <c r="AL32" s="272"/>
      <c r="AM32" s="272">
        <f>AM29+AM31</f>
        <v>0</v>
      </c>
      <c r="AN32" s="272">
        <f>AN29+AN31</f>
        <v>0</v>
      </c>
      <c r="AO32" s="272"/>
      <c r="AP32" s="272"/>
      <c r="AQ32" s="272">
        <f>AQ29+AQ31</f>
        <v>0</v>
      </c>
      <c r="AR32" s="272">
        <f>AR29+AR31</f>
        <v>0</v>
      </c>
      <c r="AS32" s="272"/>
      <c r="AT32" s="272"/>
      <c r="AU32" s="272">
        <f>AU29+AU31</f>
        <v>0</v>
      </c>
      <c r="AV32" s="272">
        <f>AV29+AV31</f>
        <v>0</v>
      </c>
      <c r="AW32" s="272"/>
      <c r="AX32" s="272"/>
      <c r="AY32" s="272">
        <f>AY29+AY31</f>
        <v>0</v>
      </c>
      <c r="AZ32" s="272">
        <f>AZ29+AZ31</f>
        <v>0</v>
      </c>
      <c r="BA32" s="272"/>
      <c r="BB32" s="272"/>
      <c r="BC32" s="272">
        <f>BC29+BC31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B237C-1CD1-4491-8723-1718C0CBF689}">
  <sheetPr codeName="Sheet28">
    <tabColor theme="0" tint="-0.14999847407452621"/>
  </sheetPr>
  <dimension ref="A1:BC32"/>
  <sheetViews>
    <sheetView workbookViewId="0">
      <pane xSplit="3" ySplit="3" topLeftCell="D4" activePane="bottomRight" state="frozen"/>
      <selection activeCell="B49" sqref="B49"/>
      <selection pane="topRight" activeCell="B49" sqref="B49"/>
      <selection pane="bottomLeft" activeCell="B49" sqref="B49"/>
      <selection pane="bottomRight" activeCell="B49" sqref="B49"/>
    </sheetView>
  </sheetViews>
  <sheetFormatPr defaultColWidth="9.140625" defaultRowHeight="15" x14ac:dyDescent="0.25"/>
  <cols>
    <col min="2" max="2" width="10.7109375" bestFit="1" customWidth="1"/>
    <col min="3" max="3" width="13.85546875" bestFit="1" customWidth="1"/>
    <col min="4" max="5" width="9.7109375" bestFit="1" customWidth="1"/>
    <col min="6" max="6" width="10.5703125" bestFit="1" customWidth="1"/>
    <col min="7" max="7" width="11.85546875" customWidth="1"/>
    <col min="8" max="8" width="9.85546875" customWidth="1"/>
    <col min="9" max="9" width="9.5703125" customWidth="1"/>
    <col min="11" max="11" width="13.28515625" style="294" customWidth="1"/>
    <col min="12" max="12" width="9.28515625" bestFit="1" customWidth="1"/>
    <col min="13" max="13" width="9.42578125" customWidth="1"/>
    <col min="14" max="14" width="9.28515625" bestFit="1" customWidth="1"/>
    <col min="15" max="15" width="11.7109375" style="291" customWidth="1"/>
    <col min="16" max="18" width="10.7109375" customWidth="1"/>
    <col min="19" max="19" width="12.140625" customWidth="1"/>
    <col min="52" max="52" width="11.140625" customWidth="1"/>
    <col min="53" max="53" width="10.28515625" bestFit="1" customWidth="1"/>
    <col min="55" max="55" width="16.140625" customWidth="1"/>
  </cols>
  <sheetData>
    <row r="1" spans="1:55" ht="15.75" thickBot="1" x14ac:dyDescent="0.3">
      <c r="A1" s="150" t="str">
        <f>Summary_6!B1</f>
        <v>Kanuka</v>
      </c>
    </row>
    <row r="2" spans="1:55" s="150" customFormat="1" x14ac:dyDescent="0.25">
      <c r="B2" s="255"/>
      <c r="C2" s="256"/>
      <c r="D2" s="257">
        <v>45658</v>
      </c>
      <c r="E2" s="256"/>
      <c r="F2" s="256"/>
      <c r="G2" s="258"/>
      <c r="H2" s="257">
        <v>45689</v>
      </c>
      <c r="I2" s="259"/>
      <c r="J2" s="259"/>
      <c r="K2" s="295"/>
      <c r="L2" s="257">
        <v>45717</v>
      </c>
      <c r="M2" s="256"/>
      <c r="N2" s="256"/>
      <c r="O2" s="292"/>
      <c r="P2" s="257">
        <v>45748</v>
      </c>
      <c r="Q2" s="256"/>
      <c r="R2" s="256"/>
      <c r="S2" s="258"/>
      <c r="T2" s="257">
        <v>45778</v>
      </c>
      <c r="U2" s="256"/>
      <c r="V2" s="256"/>
      <c r="W2" s="258"/>
      <c r="X2" s="257">
        <v>45809</v>
      </c>
      <c r="Y2" s="256"/>
      <c r="Z2" s="256"/>
      <c r="AA2" s="258"/>
      <c r="AB2" s="257">
        <v>45839</v>
      </c>
      <c r="AC2" s="256"/>
      <c r="AD2" s="256"/>
      <c r="AE2" s="258"/>
      <c r="AF2" s="257">
        <v>45870</v>
      </c>
      <c r="AG2" s="256"/>
      <c r="AH2" s="256"/>
      <c r="AI2" s="258"/>
      <c r="AJ2" s="257">
        <v>45901</v>
      </c>
      <c r="AK2" s="256"/>
      <c r="AL2" s="256"/>
      <c r="AM2" s="258"/>
      <c r="AN2" s="257">
        <v>45931</v>
      </c>
      <c r="AO2" s="256"/>
      <c r="AP2" s="256"/>
      <c r="AQ2" s="258"/>
      <c r="AR2" s="257">
        <v>45962</v>
      </c>
      <c r="AS2" s="256"/>
      <c r="AT2" s="256"/>
      <c r="AU2" s="258"/>
      <c r="AV2" s="257">
        <v>45992</v>
      </c>
      <c r="AW2" s="256"/>
      <c r="AX2" s="256"/>
      <c r="AY2" s="258"/>
      <c r="AZ2" s="256" t="s">
        <v>123</v>
      </c>
      <c r="BA2" s="256"/>
      <c r="BB2" s="256"/>
      <c r="BC2" s="260"/>
    </row>
    <row r="3" spans="1:55" s="269" customFormat="1" ht="30.75" thickBot="1" x14ac:dyDescent="0.3">
      <c r="B3" s="261" t="s">
        <v>165</v>
      </c>
      <c r="C3" s="262" t="s">
        <v>13</v>
      </c>
      <c r="D3" s="263" t="s">
        <v>166</v>
      </c>
      <c r="E3" s="264" t="s">
        <v>167</v>
      </c>
      <c r="F3" s="264" t="s">
        <v>168</v>
      </c>
      <c r="G3" s="265" t="s">
        <v>169</v>
      </c>
      <c r="H3" s="266" t="s">
        <v>166</v>
      </c>
      <c r="I3" s="267" t="s">
        <v>167</v>
      </c>
      <c r="J3" s="267" t="s">
        <v>168</v>
      </c>
      <c r="K3" s="296" t="s">
        <v>169</v>
      </c>
      <c r="L3" s="263" t="s">
        <v>166</v>
      </c>
      <c r="M3" s="264" t="s">
        <v>167</v>
      </c>
      <c r="N3" s="264" t="s">
        <v>168</v>
      </c>
      <c r="O3" s="293" t="s">
        <v>169</v>
      </c>
      <c r="P3" s="263" t="s">
        <v>166</v>
      </c>
      <c r="Q3" s="264" t="s">
        <v>167</v>
      </c>
      <c r="R3" s="264" t="s">
        <v>168</v>
      </c>
      <c r="S3" s="265" t="s">
        <v>169</v>
      </c>
      <c r="T3" s="263" t="s">
        <v>166</v>
      </c>
      <c r="U3" s="264" t="s">
        <v>167</v>
      </c>
      <c r="V3" s="264" t="s">
        <v>168</v>
      </c>
      <c r="W3" s="265" t="s">
        <v>169</v>
      </c>
      <c r="X3" s="263" t="s">
        <v>166</v>
      </c>
      <c r="Y3" s="264" t="s">
        <v>167</v>
      </c>
      <c r="Z3" s="264" t="s">
        <v>168</v>
      </c>
      <c r="AA3" s="265" t="s">
        <v>169</v>
      </c>
      <c r="AB3" s="263" t="s">
        <v>166</v>
      </c>
      <c r="AC3" s="264" t="s">
        <v>167</v>
      </c>
      <c r="AD3" s="264" t="s">
        <v>168</v>
      </c>
      <c r="AE3" s="265" t="s">
        <v>169</v>
      </c>
      <c r="AF3" s="263" t="s">
        <v>166</v>
      </c>
      <c r="AG3" s="264" t="s">
        <v>167</v>
      </c>
      <c r="AH3" s="264" t="s">
        <v>168</v>
      </c>
      <c r="AI3" s="265" t="s">
        <v>169</v>
      </c>
      <c r="AJ3" s="263" t="s">
        <v>166</v>
      </c>
      <c r="AK3" s="264" t="s">
        <v>167</v>
      </c>
      <c r="AL3" s="264" t="s">
        <v>168</v>
      </c>
      <c r="AM3" s="265" t="s">
        <v>169</v>
      </c>
      <c r="AN3" s="263" t="s">
        <v>166</v>
      </c>
      <c r="AO3" s="264" t="s">
        <v>167</v>
      </c>
      <c r="AP3" s="264" t="s">
        <v>168</v>
      </c>
      <c r="AQ3" s="265" t="s">
        <v>169</v>
      </c>
      <c r="AR3" s="263" t="s">
        <v>166</v>
      </c>
      <c r="AS3" s="264" t="s">
        <v>167</v>
      </c>
      <c r="AT3" s="264" t="s">
        <v>168</v>
      </c>
      <c r="AU3" s="265" t="s">
        <v>169</v>
      </c>
      <c r="AV3" s="263" t="s">
        <v>166</v>
      </c>
      <c r="AW3" s="264" t="s">
        <v>167</v>
      </c>
      <c r="AX3" s="264" t="s">
        <v>168</v>
      </c>
      <c r="AY3" s="265" t="s">
        <v>169</v>
      </c>
      <c r="AZ3" s="264" t="s">
        <v>166</v>
      </c>
      <c r="BA3" s="264" t="s">
        <v>167</v>
      </c>
      <c r="BB3" s="264" t="s">
        <v>168</v>
      </c>
      <c r="BC3" s="268" t="s">
        <v>169</v>
      </c>
    </row>
    <row r="4" spans="1:55" x14ac:dyDescent="0.25">
      <c r="B4" s="270" t="s">
        <v>172</v>
      </c>
      <c r="C4" s="68" t="s">
        <v>20</v>
      </c>
      <c r="D4" s="271"/>
      <c r="E4" s="272"/>
      <c r="F4" s="272"/>
      <c r="G4" s="273">
        <f t="shared" ref="G4:G12" si="0">D4*F4</f>
        <v>0</v>
      </c>
      <c r="H4" s="274"/>
      <c r="I4" s="275"/>
      <c r="J4" s="275"/>
      <c r="K4" s="297">
        <f t="shared" ref="K4:K12" si="1">H4*J4</f>
        <v>0</v>
      </c>
      <c r="L4" s="274"/>
      <c r="M4" s="275"/>
      <c r="N4" s="275"/>
      <c r="O4" s="299">
        <f t="shared" ref="O4:O12" si="2">L4*N4</f>
        <v>0</v>
      </c>
      <c r="P4" s="277"/>
      <c r="S4" s="278"/>
      <c r="T4" s="277"/>
      <c r="W4" s="278"/>
      <c r="X4" s="277"/>
      <c r="AA4" s="278"/>
      <c r="AB4" s="277"/>
      <c r="AE4" s="278"/>
      <c r="AF4" s="277"/>
      <c r="AI4" s="278"/>
      <c r="AJ4" s="277"/>
      <c r="AM4" s="278"/>
      <c r="AN4" s="277"/>
      <c r="AQ4" s="278"/>
      <c r="AR4" s="277"/>
      <c r="AU4" s="278"/>
      <c r="AV4" s="277"/>
      <c r="AZ4" s="271">
        <f t="shared" ref="AZ4:AZ26" si="3">SUM(D4,H4,L4,P4,T4,X4,AB4,AF4,AJ4,AN4,AR4,AV4)</f>
        <v>0</v>
      </c>
      <c r="BA4" s="272">
        <f t="shared" ref="BA4:BA26" si="4">SUM(E4,I4,M4,Q4,U4,Y4,AC4,AG4,AK4,AO4,AS4,AW4)</f>
        <v>0</v>
      </c>
      <c r="BC4" s="279">
        <f t="shared" ref="BC4:BC26" si="5">SUM(G4,K4,O4,S4,W4,AA4,AE4,AI4,AM4,AQ4,AU4,AY4)</f>
        <v>0</v>
      </c>
    </row>
    <row r="5" spans="1:55" x14ac:dyDescent="0.25">
      <c r="B5" s="270" t="s">
        <v>172</v>
      </c>
      <c r="C5" s="68" t="s">
        <v>22</v>
      </c>
      <c r="D5" s="271"/>
      <c r="E5" s="272"/>
      <c r="F5" s="272"/>
      <c r="G5" s="273">
        <f t="shared" si="0"/>
        <v>0</v>
      </c>
      <c r="H5" s="274"/>
      <c r="I5" s="275"/>
      <c r="J5" s="275"/>
      <c r="K5" s="297">
        <f t="shared" si="1"/>
        <v>0</v>
      </c>
      <c r="L5" s="274"/>
      <c r="M5" s="275"/>
      <c r="N5" s="275"/>
      <c r="O5" s="299">
        <f t="shared" si="2"/>
        <v>0</v>
      </c>
      <c r="P5" s="277"/>
      <c r="S5" s="278"/>
      <c r="T5" s="277"/>
      <c r="W5" s="278"/>
      <c r="X5" s="277"/>
      <c r="AA5" s="278"/>
      <c r="AB5" s="277"/>
      <c r="AE5" s="278"/>
      <c r="AF5" s="277"/>
      <c r="AI5" s="278"/>
      <c r="AJ5" s="277"/>
      <c r="AM5" s="278"/>
      <c r="AN5" s="277"/>
      <c r="AQ5" s="278"/>
      <c r="AR5" s="277"/>
      <c r="AU5" s="278"/>
      <c r="AV5" s="277"/>
      <c r="AZ5" s="271">
        <f t="shared" si="3"/>
        <v>0</v>
      </c>
      <c r="BA5" s="272">
        <f t="shared" si="4"/>
        <v>0</v>
      </c>
      <c r="BC5" s="279">
        <f t="shared" si="5"/>
        <v>0</v>
      </c>
    </row>
    <row r="6" spans="1:55" x14ac:dyDescent="0.25">
      <c r="B6" s="270" t="s">
        <v>172</v>
      </c>
      <c r="C6" s="68" t="s">
        <v>25</v>
      </c>
      <c r="D6" s="271"/>
      <c r="E6" s="272"/>
      <c r="F6" s="272"/>
      <c r="G6" s="273">
        <f t="shared" si="0"/>
        <v>0</v>
      </c>
      <c r="H6" s="274"/>
      <c r="I6" s="275"/>
      <c r="J6" s="275"/>
      <c r="K6" s="297">
        <f t="shared" si="1"/>
        <v>0</v>
      </c>
      <c r="L6" s="274"/>
      <c r="M6" s="275"/>
      <c r="N6" s="275"/>
      <c r="O6" s="299">
        <f t="shared" si="2"/>
        <v>0</v>
      </c>
      <c r="P6" s="277"/>
      <c r="S6" s="278"/>
      <c r="T6" s="277"/>
      <c r="W6" s="278"/>
      <c r="X6" s="277"/>
      <c r="AA6" s="278"/>
      <c r="AB6" s="277"/>
      <c r="AE6" s="278"/>
      <c r="AF6" s="277"/>
      <c r="AI6" s="278"/>
      <c r="AJ6" s="277"/>
      <c r="AM6" s="278"/>
      <c r="AN6" s="277"/>
      <c r="AQ6" s="278"/>
      <c r="AR6" s="277"/>
      <c r="AU6" s="278"/>
      <c r="AV6" s="277"/>
      <c r="AZ6" s="271">
        <f t="shared" si="3"/>
        <v>0</v>
      </c>
      <c r="BA6" s="272">
        <f t="shared" si="4"/>
        <v>0</v>
      </c>
      <c r="BC6" s="279">
        <f t="shared" si="5"/>
        <v>0</v>
      </c>
    </row>
    <row r="7" spans="1:55" x14ac:dyDescent="0.25">
      <c r="B7" s="270" t="s">
        <v>172</v>
      </c>
      <c r="C7" s="68" t="s">
        <v>30</v>
      </c>
      <c r="D7" s="271"/>
      <c r="E7" s="272"/>
      <c r="F7" s="272"/>
      <c r="G7" s="273">
        <f t="shared" si="0"/>
        <v>0</v>
      </c>
      <c r="H7" s="274"/>
      <c r="I7" s="275"/>
      <c r="J7" s="275"/>
      <c r="K7" s="297">
        <f t="shared" si="1"/>
        <v>0</v>
      </c>
      <c r="L7" s="274"/>
      <c r="M7" s="275"/>
      <c r="N7" s="275"/>
      <c r="O7" s="299">
        <f t="shared" si="2"/>
        <v>0</v>
      </c>
      <c r="P7" s="277"/>
      <c r="S7" s="278"/>
      <c r="T7" s="277"/>
      <c r="W7" s="278"/>
      <c r="X7" s="277"/>
      <c r="AA7" s="278"/>
      <c r="AB7" s="277"/>
      <c r="AE7" s="278"/>
      <c r="AF7" s="277"/>
      <c r="AI7" s="278"/>
      <c r="AJ7" s="277"/>
      <c r="AM7" s="278"/>
      <c r="AN7" s="277"/>
      <c r="AQ7" s="278"/>
      <c r="AR7" s="277"/>
      <c r="AU7" s="278"/>
      <c r="AV7" s="277"/>
      <c r="AZ7" s="271">
        <f t="shared" si="3"/>
        <v>0</v>
      </c>
      <c r="BA7" s="272">
        <f t="shared" si="4"/>
        <v>0</v>
      </c>
      <c r="BC7" s="279">
        <f t="shared" si="5"/>
        <v>0</v>
      </c>
    </row>
    <row r="8" spans="1:55" x14ac:dyDescent="0.25">
      <c r="B8" s="270" t="s">
        <v>172</v>
      </c>
      <c r="C8" s="68" t="s">
        <v>222</v>
      </c>
      <c r="D8" s="271"/>
      <c r="E8" s="272"/>
      <c r="F8" s="272"/>
      <c r="G8" s="273">
        <f t="shared" si="0"/>
        <v>0</v>
      </c>
      <c r="H8" s="274"/>
      <c r="I8" s="275"/>
      <c r="J8" s="275"/>
      <c r="K8" s="297">
        <f t="shared" si="1"/>
        <v>0</v>
      </c>
      <c r="L8" s="274"/>
      <c r="M8" s="275"/>
      <c r="N8" s="275"/>
      <c r="O8" s="299">
        <f t="shared" si="2"/>
        <v>0</v>
      </c>
      <c r="P8" s="277"/>
      <c r="S8" s="278"/>
      <c r="T8" s="277"/>
      <c r="W8" s="278"/>
      <c r="X8" s="277"/>
      <c r="AA8" s="278"/>
      <c r="AB8" s="277"/>
      <c r="AE8" s="278"/>
      <c r="AF8" s="277"/>
      <c r="AI8" s="278"/>
      <c r="AJ8" s="277"/>
      <c r="AM8" s="278"/>
      <c r="AN8" s="277"/>
      <c r="AQ8" s="278"/>
      <c r="AR8" s="277"/>
      <c r="AU8" s="278"/>
      <c r="AV8" s="277"/>
      <c r="AZ8" s="271">
        <f t="shared" si="3"/>
        <v>0</v>
      </c>
      <c r="BA8" s="272">
        <f t="shared" si="4"/>
        <v>0</v>
      </c>
      <c r="BC8" s="279">
        <f t="shared" si="5"/>
        <v>0</v>
      </c>
    </row>
    <row r="9" spans="1:55" x14ac:dyDescent="0.25">
      <c r="B9" s="270" t="s">
        <v>172</v>
      </c>
      <c r="C9" s="68" t="s">
        <v>34</v>
      </c>
      <c r="D9" s="271"/>
      <c r="E9" s="272"/>
      <c r="F9" s="272"/>
      <c r="G9" s="273">
        <f t="shared" si="0"/>
        <v>0</v>
      </c>
      <c r="H9" s="274"/>
      <c r="I9" s="275"/>
      <c r="J9" s="275"/>
      <c r="K9" s="297">
        <f t="shared" si="1"/>
        <v>0</v>
      </c>
      <c r="L9" s="274"/>
      <c r="M9" s="275"/>
      <c r="N9" s="275"/>
      <c r="O9" s="299">
        <f t="shared" si="2"/>
        <v>0</v>
      </c>
      <c r="P9" s="277"/>
      <c r="S9" s="278"/>
      <c r="T9" s="277"/>
      <c r="W9" s="278"/>
      <c r="X9" s="277"/>
      <c r="AA9" s="278"/>
      <c r="AB9" s="277"/>
      <c r="AE9" s="278"/>
      <c r="AF9" s="277"/>
      <c r="AI9" s="278"/>
      <c r="AJ9" s="277"/>
      <c r="AM9" s="278"/>
      <c r="AN9" s="277"/>
      <c r="AQ9" s="278"/>
      <c r="AR9" s="277"/>
      <c r="AU9" s="278"/>
      <c r="AV9" s="277"/>
      <c r="AZ9" s="271">
        <f t="shared" si="3"/>
        <v>0</v>
      </c>
      <c r="BA9" s="272">
        <f t="shared" si="4"/>
        <v>0</v>
      </c>
      <c r="BC9" s="279">
        <f t="shared" si="5"/>
        <v>0</v>
      </c>
    </row>
    <row r="10" spans="1:55" x14ac:dyDescent="0.25">
      <c r="B10" s="270" t="s">
        <v>172</v>
      </c>
      <c r="C10" s="68" t="s">
        <v>37</v>
      </c>
      <c r="D10" s="271"/>
      <c r="E10" s="272"/>
      <c r="F10" s="272"/>
      <c r="G10" s="273">
        <f t="shared" si="0"/>
        <v>0</v>
      </c>
      <c r="H10" s="274"/>
      <c r="I10" s="275"/>
      <c r="J10" s="275"/>
      <c r="K10" s="297">
        <f t="shared" si="1"/>
        <v>0</v>
      </c>
      <c r="L10" s="274"/>
      <c r="M10" s="275"/>
      <c r="N10" s="275"/>
      <c r="O10" s="299">
        <f t="shared" si="2"/>
        <v>0</v>
      </c>
      <c r="P10" s="277"/>
      <c r="S10" s="278"/>
      <c r="T10" s="277"/>
      <c r="W10" s="278"/>
      <c r="X10" s="277"/>
      <c r="AA10" s="278"/>
      <c r="AB10" s="277"/>
      <c r="AE10" s="278"/>
      <c r="AF10" s="277"/>
      <c r="AI10" s="278"/>
      <c r="AJ10" s="277"/>
      <c r="AM10" s="278"/>
      <c r="AN10" s="277"/>
      <c r="AQ10" s="278"/>
      <c r="AR10" s="277"/>
      <c r="AU10" s="278"/>
      <c r="AV10" s="277"/>
      <c r="AY10" s="278"/>
      <c r="AZ10" s="271">
        <f t="shared" si="3"/>
        <v>0</v>
      </c>
      <c r="BA10" s="272">
        <f t="shared" si="4"/>
        <v>0</v>
      </c>
      <c r="BC10" s="279">
        <f t="shared" si="5"/>
        <v>0</v>
      </c>
    </row>
    <row r="11" spans="1:55" x14ac:dyDescent="0.25">
      <c r="B11" s="270" t="s">
        <v>172</v>
      </c>
      <c r="C11" s="68" t="s">
        <v>174</v>
      </c>
      <c r="D11" s="271"/>
      <c r="E11" s="272"/>
      <c r="F11" s="272"/>
      <c r="G11" s="273">
        <f t="shared" si="0"/>
        <v>0</v>
      </c>
      <c r="H11" s="274"/>
      <c r="I11" s="275"/>
      <c r="J11" s="275"/>
      <c r="K11" s="297">
        <f t="shared" si="1"/>
        <v>0</v>
      </c>
      <c r="L11" s="274"/>
      <c r="M11" s="275"/>
      <c r="N11" s="275"/>
      <c r="O11" s="299">
        <f t="shared" si="2"/>
        <v>0</v>
      </c>
      <c r="P11" s="277"/>
      <c r="S11" s="278"/>
      <c r="T11" s="277"/>
      <c r="W11" s="278"/>
      <c r="X11" s="277"/>
      <c r="AA11" s="278"/>
      <c r="AB11" s="277"/>
      <c r="AE11" s="278"/>
      <c r="AF11" s="277"/>
      <c r="AI11" s="278"/>
      <c r="AJ11" s="277"/>
      <c r="AM11" s="278"/>
      <c r="AN11" s="277"/>
      <c r="AQ11" s="278"/>
      <c r="AR11" s="277"/>
      <c r="AU11" s="278"/>
      <c r="AV11" s="277"/>
      <c r="AY11" s="278"/>
      <c r="AZ11" s="271">
        <f t="shared" si="3"/>
        <v>0</v>
      </c>
      <c r="BA11" s="272">
        <f t="shared" si="4"/>
        <v>0</v>
      </c>
      <c r="BC11" s="279">
        <f t="shared" si="5"/>
        <v>0</v>
      </c>
    </row>
    <row r="12" spans="1:55" x14ac:dyDescent="0.25">
      <c r="B12" s="270" t="s">
        <v>172</v>
      </c>
      <c r="C12" s="68" t="s">
        <v>38</v>
      </c>
      <c r="D12" s="271"/>
      <c r="E12" s="272"/>
      <c r="F12" s="272"/>
      <c r="G12" s="273">
        <f t="shared" si="0"/>
        <v>0</v>
      </c>
      <c r="H12" s="274"/>
      <c r="I12" s="275"/>
      <c r="J12" s="275"/>
      <c r="K12" s="297">
        <f t="shared" si="1"/>
        <v>0</v>
      </c>
      <c r="L12" s="274"/>
      <c r="M12" s="275"/>
      <c r="N12" s="275"/>
      <c r="O12" s="299">
        <f t="shared" si="2"/>
        <v>0</v>
      </c>
      <c r="P12" s="277"/>
      <c r="S12" s="278"/>
      <c r="T12" s="277"/>
      <c r="W12" s="278"/>
      <c r="X12" s="277"/>
      <c r="AA12" s="278"/>
      <c r="AB12" s="277"/>
      <c r="AE12" s="278"/>
      <c r="AF12" s="277"/>
      <c r="AI12" s="278"/>
      <c r="AJ12" s="277"/>
      <c r="AM12" s="278"/>
      <c r="AN12" s="277"/>
      <c r="AQ12" s="278"/>
      <c r="AR12" s="277"/>
      <c r="AU12" s="278"/>
      <c r="AV12" s="277"/>
      <c r="AY12" s="278"/>
      <c r="AZ12" s="271">
        <f t="shared" si="3"/>
        <v>0</v>
      </c>
      <c r="BA12" s="272">
        <f t="shared" si="4"/>
        <v>0</v>
      </c>
      <c r="BC12" s="279">
        <f t="shared" si="5"/>
        <v>0</v>
      </c>
    </row>
    <row r="13" spans="1:55" x14ac:dyDescent="0.25">
      <c r="B13" s="24" t="s">
        <v>170</v>
      </c>
      <c r="C13" s="68" t="s">
        <v>171</v>
      </c>
      <c r="D13" s="271"/>
      <c r="E13" s="272"/>
      <c r="F13" s="272"/>
      <c r="G13" s="273">
        <f t="shared" ref="G13:G25" si="6">E13*F13</f>
        <v>0</v>
      </c>
      <c r="H13" s="274"/>
      <c r="I13" s="275"/>
      <c r="J13" s="275"/>
      <c r="K13" s="298">
        <f t="shared" ref="K13:K25" si="7">I13*J13</f>
        <v>0</v>
      </c>
      <c r="L13" s="274"/>
      <c r="M13" s="275"/>
      <c r="N13" s="275"/>
      <c r="O13" s="276">
        <f>M13*N13</f>
        <v>0</v>
      </c>
      <c r="P13" s="277"/>
      <c r="S13" s="278"/>
      <c r="T13" s="277"/>
      <c r="W13" s="278"/>
      <c r="X13" s="277"/>
      <c r="AA13" s="278"/>
      <c r="AB13" s="277"/>
      <c r="AE13" s="278"/>
      <c r="AF13" s="277"/>
      <c r="AI13" s="278"/>
      <c r="AJ13" s="277"/>
      <c r="AM13" s="278"/>
      <c r="AN13" s="277"/>
      <c r="AQ13" s="278"/>
      <c r="AR13" s="277"/>
      <c r="AU13" s="278"/>
      <c r="AV13" s="277"/>
      <c r="AY13" s="278"/>
      <c r="AZ13" s="271">
        <f t="shared" si="3"/>
        <v>0</v>
      </c>
      <c r="BA13" s="272">
        <f t="shared" si="4"/>
        <v>0</v>
      </c>
      <c r="BC13" s="279">
        <f t="shared" si="5"/>
        <v>0</v>
      </c>
    </row>
    <row r="14" spans="1:55" x14ac:dyDescent="0.25">
      <c r="B14" s="24" t="s">
        <v>170</v>
      </c>
      <c r="C14" s="68" t="s">
        <v>173</v>
      </c>
      <c r="D14" s="271"/>
      <c r="E14" s="272"/>
      <c r="F14" s="272"/>
      <c r="G14" s="273">
        <f t="shared" si="6"/>
        <v>0</v>
      </c>
      <c r="H14" s="274"/>
      <c r="I14" s="275"/>
      <c r="J14" s="275"/>
      <c r="K14" s="298">
        <f t="shared" si="7"/>
        <v>0</v>
      </c>
      <c r="L14" s="274"/>
      <c r="M14" s="275"/>
      <c r="N14" s="275"/>
      <c r="O14" s="276">
        <f>M14*N14</f>
        <v>0</v>
      </c>
      <c r="P14" s="277"/>
      <c r="S14" s="278"/>
      <c r="T14" s="277"/>
      <c r="W14" s="278"/>
      <c r="X14" s="277"/>
      <c r="AA14" s="278"/>
      <c r="AB14" s="277"/>
      <c r="AE14" s="278"/>
      <c r="AF14" s="277"/>
      <c r="AI14" s="278"/>
      <c r="AJ14" s="277"/>
      <c r="AM14" s="278"/>
      <c r="AN14" s="277"/>
      <c r="AQ14" s="278"/>
      <c r="AR14" s="277"/>
      <c r="AU14" s="278"/>
      <c r="AV14" s="277"/>
      <c r="AY14" s="278"/>
      <c r="AZ14" s="271">
        <f t="shared" si="3"/>
        <v>0</v>
      </c>
      <c r="BA14" s="272">
        <f t="shared" si="4"/>
        <v>0</v>
      </c>
      <c r="BC14" s="279">
        <f t="shared" si="5"/>
        <v>0</v>
      </c>
    </row>
    <row r="15" spans="1:55" x14ac:dyDescent="0.25">
      <c r="B15" s="24" t="s">
        <v>170</v>
      </c>
      <c r="C15" s="68" t="s">
        <v>23</v>
      </c>
      <c r="D15" s="271"/>
      <c r="E15" s="272"/>
      <c r="F15" s="272"/>
      <c r="G15" s="273">
        <f t="shared" si="6"/>
        <v>0</v>
      </c>
      <c r="H15" s="274"/>
      <c r="I15" s="275"/>
      <c r="J15" s="275"/>
      <c r="K15" s="297">
        <f t="shared" si="7"/>
        <v>0</v>
      </c>
      <c r="L15" s="274"/>
      <c r="M15" s="275"/>
      <c r="N15" s="275"/>
      <c r="O15" s="299">
        <f>L15*N15</f>
        <v>0</v>
      </c>
      <c r="P15" s="277"/>
      <c r="S15" s="278"/>
      <c r="T15" s="277"/>
      <c r="W15" s="278"/>
      <c r="X15" s="277"/>
      <c r="AA15" s="278"/>
      <c r="AB15" s="277"/>
      <c r="AE15" s="278"/>
      <c r="AF15" s="277"/>
      <c r="AI15" s="278"/>
      <c r="AJ15" s="277"/>
      <c r="AM15" s="278"/>
      <c r="AN15" s="277"/>
      <c r="AQ15" s="278"/>
      <c r="AR15" s="277"/>
      <c r="AU15" s="278"/>
      <c r="AV15" s="277"/>
      <c r="AY15" s="278"/>
      <c r="AZ15" s="271">
        <f t="shared" si="3"/>
        <v>0</v>
      </c>
      <c r="BA15" s="272">
        <f t="shared" si="4"/>
        <v>0</v>
      </c>
      <c r="BC15" s="279">
        <f t="shared" si="5"/>
        <v>0</v>
      </c>
    </row>
    <row r="16" spans="1:55" x14ac:dyDescent="0.25">
      <c r="B16" s="24" t="s">
        <v>170</v>
      </c>
      <c r="C16" s="68" t="s">
        <v>24</v>
      </c>
      <c r="D16" s="271"/>
      <c r="E16" s="272"/>
      <c r="F16" s="272"/>
      <c r="G16" s="273">
        <f t="shared" si="6"/>
        <v>0</v>
      </c>
      <c r="H16" s="274"/>
      <c r="I16" s="275"/>
      <c r="J16" s="280"/>
      <c r="K16" s="298">
        <f t="shared" si="7"/>
        <v>0</v>
      </c>
      <c r="L16" s="274"/>
      <c r="M16" s="275"/>
      <c r="N16" s="275"/>
      <c r="O16" s="276">
        <f t="shared" ref="O16:O25" si="8">M16*N16</f>
        <v>0</v>
      </c>
      <c r="P16" s="277"/>
      <c r="S16" s="278"/>
      <c r="T16" s="277"/>
      <c r="W16" s="278"/>
      <c r="X16" s="277"/>
      <c r="AA16" s="278"/>
      <c r="AB16" s="277"/>
      <c r="AE16" s="278"/>
      <c r="AF16" s="277"/>
      <c r="AI16" s="278"/>
      <c r="AJ16" s="277"/>
      <c r="AM16" s="278"/>
      <c r="AN16" s="277"/>
      <c r="AQ16" s="278"/>
      <c r="AR16" s="277"/>
      <c r="AU16" s="278"/>
      <c r="AV16" s="277"/>
      <c r="AY16" s="278"/>
      <c r="AZ16" s="271">
        <f t="shared" si="3"/>
        <v>0</v>
      </c>
      <c r="BA16" s="272">
        <f t="shared" si="4"/>
        <v>0</v>
      </c>
      <c r="BC16" s="279">
        <f t="shared" si="5"/>
        <v>0</v>
      </c>
    </row>
    <row r="17" spans="1:55" x14ac:dyDescent="0.25">
      <c r="B17" s="24" t="s">
        <v>170</v>
      </c>
      <c r="C17" s="68" t="s">
        <v>26</v>
      </c>
      <c r="D17" s="271"/>
      <c r="E17" s="272"/>
      <c r="F17" s="272"/>
      <c r="G17" s="273">
        <f t="shared" si="6"/>
        <v>0</v>
      </c>
      <c r="H17" s="274"/>
      <c r="I17" s="275"/>
      <c r="J17" s="280"/>
      <c r="K17" s="298">
        <f t="shared" si="7"/>
        <v>0</v>
      </c>
      <c r="L17" s="274"/>
      <c r="M17" s="275"/>
      <c r="N17" s="275"/>
      <c r="O17" s="276">
        <f t="shared" si="8"/>
        <v>0</v>
      </c>
      <c r="P17" s="277"/>
      <c r="S17" s="278"/>
      <c r="T17" s="277"/>
      <c r="W17" s="278"/>
      <c r="X17" s="277"/>
      <c r="AA17" s="278"/>
      <c r="AB17" s="277"/>
      <c r="AE17" s="278"/>
      <c r="AF17" s="277"/>
      <c r="AI17" s="278"/>
      <c r="AJ17" s="277"/>
      <c r="AM17" s="278"/>
      <c r="AN17" s="277"/>
      <c r="AQ17" s="278"/>
      <c r="AR17" s="277"/>
      <c r="AU17" s="278"/>
      <c r="AV17" s="277"/>
      <c r="AY17" s="278"/>
      <c r="AZ17" s="271">
        <f t="shared" si="3"/>
        <v>0</v>
      </c>
      <c r="BA17" s="272">
        <f t="shared" si="4"/>
        <v>0</v>
      </c>
      <c r="BC17" s="279">
        <f t="shared" si="5"/>
        <v>0</v>
      </c>
    </row>
    <row r="18" spans="1:55" x14ac:dyDescent="0.25">
      <c r="B18" s="24" t="s">
        <v>170</v>
      </c>
      <c r="C18" s="68" t="s">
        <v>27</v>
      </c>
      <c r="D18" s="271"/>
      <c r="E18" s="272"/>
      <c r="F18" s="272"/>
      <c r="G18" s="273">
        <f t="shared" si="6"/>
        <v>0</v>
      </c>
      <c r="H18" s="274"/>
      <c r="I18" s="275"/>
      <c r="J18" s="275"/>
      <c r="K18" s="298">
        <f t="shared" si="7"/>
        <v>0</v>
      </c>
      <c r="L18" s="274"/>
      <c r="M18" s="275"/>
      <c r="N18" s="275"/>
      <c r="O18" s="276">
        <f t="shared" si="8"/>
        <v>0</v>
      </c>
      <c r="P18" s="277"/>
      <c r="S18" s="278"/>
      <c r="T18" s="277"/>
      <c r="W18" s="278"/>
      <c r="X18" s="277"/>
      <c r="AA18" s="278"/>
      <c r="AB18" s="277"/>
      <c r="AE18" s="278"/>
      <c r="AF18" s="277"/>
      <c r="AI18" s="278"/>
      <c r="AJ18" s="277"/>
      <c r="AM18" s="278"/>
      <c r="AN18" s="277"/>
      <c r="AQ18" s="278"/>
      <c r="AR18" s="277"/>
      <c r="AU18" s="278"/>
      <c r="AV18" s="277"/>
      <c r="AY18" s="278"/>
      <c r="AZ18" s="271">
        <f t="shared" si="3"/>
        <v>0</v>
      </c>
      <c r="BA18" s="272">
        <f t="shared" si="4"/>
        <v>0</v>
      </c>
      <c r="BC18" s="279">
        <f t="shared" si="5"/>
        <v>0</v>
      </c>
    </row>
    <row r="19" spans="1:55" x14ac:dyDescent="0.25">
      <c r="B19" s="24" t="s">
        <v>170</v>
      </c>
      <c r="C19" s="68" t="s">
        <v>29</v>
      </c>
      <c r="D19" s="271"/>
      <c r="E19" s="272"/>
      <c r="F19" s="272"/>
      <c r="G19" s="273">
        <f t="shared" si="6"/>
        <v>0</v>
      </c>
      <c r="H19" s="274"/>
      <c r="I19" s="275"/>
      <c r="J19" s="275"/>
      <c r="K19" s="297">
        <f t="shared" si="7"/>
        <v>0</v>
      </c>
      <c r="L19" s="274"/>
      <c r="M19" s="275"/>
      <c r="N19" s="275"/>
      <c r="O19" s="299">
        <f t="shared" si="8"/>
        <v>0</v>
      </c>
      <c r="P19" s="277"/>
      <c r="S19" s="278"/>
      <c r="T19" s="277"/>
      <c r="W19" s="278"/>
      <c r="X19" s="277"/>
      <c r="AA19" s="278"/>
      <c r="AB19" s="277"/>
      <c r="AE19" s="278"/>
      <c r="AF19" s="277"/>
      <c r="AI19" s="278"/>
      <c r="AJ19" s="277"/>
      <c r="AM19" s="278"/>
      <c r="AN19" s="277"/>
      <c r="AQ19" s="278"/>
      <c r="AR19" s="277"/>
      <c r="AU19" s="278"/>
      <c r="AV19" s="277"/>
      <c r="AY19" s="278"/>
      <c r="AZ19" s="271">
        <f t="shared" si="3"/>
        <v>0</v>
      </c>
      <c r="BA19" s="272">
        <f t="shared" si="4"/>
        <v>0</v>
      </c>
      <c r="BC19" s="279">
        <f t="shared" si="5"/>
        <v>0</v>
      </c>
    </row>
    <row r="20" spans="1:55" x14ac:dyDescent="0.25">
      <c r="B20" s="24" t="s">
        <v>170</v>
      </c>
      <c r="C20" s="68" t="s">
        <v>28</v>
      </c>
      <c r="D20" s="271"/>
      <c r="E20" s="272"/>
      <c r="F20" s="272"/>
      <c r="G20" s="273">
        <f t="shared" si="6"/>
        <v>0</v>
      </c>
      <c r="H20" s="274"/>
      <c r="I20" s="275"/>
      <c r="J20" s="275"/>
      <c r="K20" s="298">
        <f t="shared" si="7"/>
        <v>0</v>
      </c>
      <c r="L20" s="274"/>
      <c r="M20" s="275"/>
      <c r="N20" s="275"/>
      <c r="O20" s="276">
        <f t="shared" si="8"/>
        <v>0</v>
      </c>
      <c r="P20" s="277"/>
      <c r="S20" s="278"/>
      <c r="T20" s="277"/>
      <c r="W20" s="278"/>
      <c r="X20" s="277"/>
      <c r="AA20" s="278"/>
      <c r="AB20" s="277"/>
      <c r="AE20" s="278"/>
      <c r="AF20" s="277"/>
      <c r="AI20" s="278"/>
      <c r="AJ20" s="277"/>
      <c r="AM20" s="278"/>
      <c r="AN20" s="277"/>
      <c r="AQ20" s="278"/>
      <c r="AR20" s="277"/>
      <c r="AU20" s="278"/>
      <c r="AV20" s="277"/>
      <c r="AY20" s="278"/>
      <c r="AZ20" s="271">
        <f t="shared" si="3"/>
        <v>0</v>
      </c>
      <c r="BA20" s="272">
        <f t="shared" si="4"/>
        <v>0</v>
      </c>
      <c r="BC20" s="279">
        <f t="shared" si="5"/>
        <v>0</v>
      </c>
    </row>
    <row r="21" spans="1:55" x14ac:dyDescent="0.25">
      <c r="B21" s="24" t="s">
        <v>170</v>
      </c>
      <c r="C21" s="68" t="s">
        <v>31</v>
      </c>
      <c r="D21" s="271"/>
      <c r="E21" s="272"/>
      <c r="F21" s="272"/>
      <c r="G21" s="273">
        <f t="shared" si="6"/>
        <v>0</v>
      </c>
      <c r="H21" s="274"/>
      <c r="I21" s="275"/>
      <c r="J21" s="275"/>
      <c r="K21" s="297">
        <f t="shared" si="7"/>
        <v>0</v>
      </c>
      <c r="L21" s="274"/>
      <c r="M21" s="275"/>
      <c r="N21" s="275"/>
      <c r="O21" s="299">
        <f t="shared" si="8"/>
        <v>0</v>
      </c>
      <c r="P21" s="277"/>
      <c r="S21" s="278"/>
      <c r="T21" s="277"/>
      <c r="W21" s="278"/>
      <c r="X21" s="277"/>
      <c r="AA21" s="278"/>
      <c r="AB21" s="277"/>
      <c r="AE21" s="278"/>
      <c r="AF21" s="277"/>
      <c r="AI21" s="278"/>
      <c r="AJ21" s="277"/>
      <c r="AM21" s="278"/>
      <c r="AN21" s="277"/>
      <c r="AQ21" s="278"/>
      <c r="AR21" s="277"/>
      <c r="AU21" s="278"/>
      <c r="AV21" s="277"/>
      <c r="AY21" s="278"/>
      <c r="AZ21" s="271">
        <f t="shared" si="3"/>
        <v>0</v>
      </c>
      <c r="BA21" s="272">
        <f t="shared" si="4"/>
        <v>0</v>
      </c>
      <c r="BC21" s="279">
        <f t="shared" si="5"/>
        <v>0</v>
      </c>
    </row>
    <row r="22" spans="1:55" x14ac:dyDescent="0.25">
      <c r="B22" s="24" t="s">
        <v>170</v>
      </c>
      <c r="C22" s="68" t="s">
        <v>32</v>
      </c>
      <c r="D22" s="271"/>
      <c r="E22" s="272"/>
      <c r="F22" s="272"/>
      <c r="G22" s="273">
        <f t="shared" si="6"/>
        <v>0</v>
      </c>
      <c r="H22" s="274"/>
      <c r="I22" s="275"/>
      <c r="J22" s="275"/>
      <c r="K22" s="297">
        <f t="shared" si="7"/>
        <v>0</v>
      </c>
      <c r="L22" s="274"/>
      <c r="M22" s="275"/>
      <c r="N22" s="275"/>
      <c r="O22" s="299">
        <f t="shared" si="8"/>
        <v>0</v>
      </c>
      <c r="P22" s="277"/>
      <c r="S22" s="278"/>
      <c r="T22" s="277"/>
      <c r="W22" s="278"/>
      <c r="X22" s="277"/>
      <c r="AA22" s="278"/>
      <c r="AB22" s="277"/>
      <c r="AE22" s="278"/>
      <c r="AF22" s="277"/>
      <c r="AI22" s="278"/>
      <c r="AJ22" s="277"/>
      <c r="AM22" s="278"/>
      <c r="AN22" s="277"/>
      <c r="AQ22" s="278"/>
      <c r="AR22" s="277"/>
      <c r="AU22" s="278"/>
      <c r="AV22" s="277"/>
      <c r="AY22" s="278"/>
      <c r="AZ22" s="271">
        <f t="shared" si="3"/>
        <v>0</v>
      </c>
      <c r="BA22" s="272">
        <f t="shared" si="4"/>
        <v>0</v>
      </c>
      <c r="BC22" s="279">
        <f t="shared" si="5"/>
        <v>0</v>
      </c>
    </row>
    <row r="23" spans="1:55" x14ac:dyDescent="0.25">
      <c r="B23" s="24" t="s">
        <v>170</v>
      </c>
      <c r="C23" s="68" t="s">
        <v>33</v>
      </c>
      <c r="D23" s="271"/>
      <c r="E23" s="272"/>
      <c r="F23" s="272"/>
      <c r="G23" s="273">
        <f t="shared" si="6"/>
        <v>0</v>
      </c>
      <c r="H23" s="274"/>
      <c r="I23" s="275"/>
      <c r="J23" s="275"/>
      <c r="K23" s="297">
        <f t="shared" si="7"/>
        <v>0</v>
      </c>
      <c r="L23" s="274"/>
      <c r="M23" s="275"/>
      <c r="N23" s="275"/>
      <c r="O23" s="299">
        <f t="shared" si="8"/>
        <v>0</v>
      </c>
      <c r="P23" s="277"/>
      <c r="S23" s="278"/>
      <c r="T23" s="277"/>
      <c r="W23" s="278"/>
      <c r="X23" s="277"/>
      <c r="AA23" s="278"/>
      <c r="AB23" s="277"/>
      <c r="AE23" s="278"/>
      <c r="AF23" s="277"/>
      <c r="AI23" s="278"/>
      <c r="AJ23" s="277"/>
      <c r="AM23" s="278"/>
      <c r="AN23" s="277"/>
      <c r="AQ23" s="278"/>
      <c r="AR23" s="277"/>
      <c r="AU23" s="278"/>
      <c r="AV23" s="277"/>
      <c r="AY23" s="278"/>
      <c r="AZ23" s="271">
        <f t="shared" si="3"/>
        <v>0</v>
      </c>
      <c r="BA23" s="272">
        <f t="shared" si="4"/>
        <v>0</v>
      </c>
      <c r="BC23" s="279">
        <f t="shared" si="5"/>
        <v>0</v>
      </c>
    </row>
    <row r="24" spans="1:55" x14ac:dyDescent="0.25">
      <c r="B24" s="24" t="s">
        <v>170</v>
      </c>
      <c r="C24" s="68" t="s">
        <v>35</v>
      </c>
      <c r="D24" s="271"/>
      <c r="E24" s="272"/>
      <c r="F24" s="272"/>
      <c r="G24" s="273">
        <f t="shared" si="6"/>
        <v>0</v>
      </c>
      <c r="H24" s="274"/>
      <c r="I24" s="275"/>
      <c r="J24" s="275"/>
      <c r="K24" s="297">
        <f t="shared" si="7"/>
        <v>0</v>
      </c>
      <c r="L24" s="274"/>
      <c r="M24" s="275"/>
      <c r="N24" s="275"/>
      <c r="O24" s="299">
        <f t="shared" si="8"/>
        <v>0</v>
      </c>
      <c r="P24" s="277"/>
      <c r="S24" s="278"/>
      <c r="T24" s="277"/>
      <c r="W24" s="278"/>
      <c r="X24" s="277"/>
      <c r="AA24" s="278"/>
      <c r="AB24" s="277"/>
      <c r="AE24" s="278"/>
      <c r="AF24" s="277"/>
      <c r="AI24" s="278"/>
      <c r="AJ24" s="277"/>
      <c r="AM24" s="278"/>
      <c r="AN24" s="277"/>
      <c r="AQ24" s="278"/>
      <c r="AR24" s="277"/>
      <c r="AU24" s="278"/>
      <c r="AV24" s="277"/>
      <c r="AY24" s="278"/>
      <c r="AZ24" s="271">
        <f t="shared" si="3"/>
        <v>0</v>
      </c>
      <c r="BA24" s="272">
        <f t="shared" si="4"/>
        <v>0</v>
      </c>
      <c r="BC24" s="279">
        <f t="shared" si="5"/>
        <v>0</v>
      </c>
    </row>
    <row r="25" spans="1:55" x14ac:dyDescent="0.25">
      <c r="B25" s="24" t="s">
        <v>170</v>
      </c>
      <c r="C25" s="68" t="s">
        <v>36</v>
      </c>
      <c r="D25" s="271"/>
      <c r="E25" s="272"/>
      <c r="F25" s="272"/>
      <c r="G25" s="273">
        <f t="shared" si="6"/>
        <v>0</v>
      </c>
      <c r="H25" s="274"/>
      <c r="I25" s="275"/>
      <c r="J25" s="275"/>
      <c r="K25" s="297">
        <f t="shared" si="7"/>
        <v>0</v>
      </c>
      <c r="L25" s="274"/>
      <c r="M25" s="275"/>
      <c r="N25" s="275"/>
      <c r="O25" s="299">
        <f t="shared" si="8"/>
        <v>0</v>
      </c>
      <c r="P25" s="277"/>
      <c r="S25" s="278"/>
      <c r="T25" s="277"/>
      <c r="W25" s="278"/>
      <c r="X25" s="277"/>
      <c r="AA25" s="278"/>
      <c r="AB25" s="277"/>
      <c r="AE25" s="278"/>
      <c r="AF25" s="277"/>
      <c r="AI25" s="278"/>
      <c r="AJ25" s="277"/>
      <c r="AM25" s="278"/>
      <c r="AN25" s="277"/>
      <c r="AQ25" s="278"/>
      <c r="AR25" s="277"/>
      <c r="AU25" s="278"/>
      <c r="AV25" s="277"/>
      <c r="AY25" s="278"/>
      <c r="AZ25" s="271">
        <f t="shared" si="3"/>
        <v>0</v>
      </c>
      <c r="BA25" s="272">
        <f t="shared" si="4"/>
        <v>0</v>
      </c>
      <c r="BC25" s="279">
        <f t="shared" si="5"/>
        <v>0</v>
      </c>
    </row>
    <row r="26" spans="1:55" x14ac:dyDescent="0.25">
      <c r="B26" s="24" t="s">
        <v>170</v>
      </c>
      <c r="C26" s="68" t="s">
        <v>58</v>
      </c>
      <c r="D26" s="300"/>
      <c r="E26" s="272"/>
      <c r="F26" s="272"/>
      <c r="G26" s="273"/>
      <c r="H26" s="274"/>
      <c r="I26" s="275"/>
      <c r="J26" s="275"/>
      <c r="K26" s="297"/>
      <c r="L26" s="274"/>
      <c r="M26" s="275"/>
      <c r="N26" s="275"/>
      <c r="O26" s="276"/>
      <c r="P26" s="277"/>
      <c r="S26" s="278"/>
      <c r="T26" s="277"/>
      <c r="W26" s="278"/>
      <c r="X26" s="277"/>
      <c r="AA26" s="278"/>
      <c r="AB26" s="277"/>
      <c r="AE26" s="278"/>
      <c r="AF26" s="277"/>
      <c r="AI26" s="278"/>
      <c r="AJ26" s="277"/>
      <c r="AM26" s="278"/>
      <c r="AN26" s="277"/>
      <c r="AQ26" s="278"/>
      <c r="AR26" s="277"/>
      <c r="AU26" s="278"/>
      <c r="AV26" s="277"/>
      <c r="AY26" s="278"/>
      <c r="AZ26" s="271">
        <f t="shared" si="3"/>
        <v>0</v>
      </c>
      <c r="BA26" s="272">
        <f t="shared" si="4"/>
        <v>0</v>
      </c>
      <c r="BC26" s="279">
        <f t="shared" si="5"/>
        <v>0</v>
      </c>
    </row>
    <row r="27" spans="1:55" ht="15.75" thickBot="1" x14ac:dyDescent="0.3">
      <c r="B27" s="281" t="s">
        <v>2</v>
      </c>
      <c r="C27" s="282"/>
      <c r="D27" s="283">
        <f>SUM(D4:D26)</f>
        <v>0</v>
      </c>
      <c r="E27" s="284">
        <f>SUM(E4:E26)</f>
        <v>0</v>
      </c>
      <c r="F27" s="284"/>
      <c r="G27" s="285">
        <f>SUM(G4:G25)</f>
        <v>0</v>
      </c>
      <c r="H27" s="283">
        <f>SUM(H4:H26)</f>
        <v>0</v>
      </c>
      <c r="I27" s="284">
        <f>SUM(I4:I26)</f>
        <v>0</v>
      </c>
      <c r="J27" s="284"/>
      <c r="K27" s="285">
        <f>SUM(K4:K25)</f>
        <v>0</v>
      </c>
      <c r="L27" s="283">
        <f>SUM(L4:L26)</f>
        <v>0</v>
      </c>
      <c r="M27" s="284">
        <f>SUM(M4:M26)</f>
        <v>0</v>
      </c>
      <c r="N27" s="284"/>
      <c r="O27" s="285">
        <f>SUM(O4:O25)</f>
        <v>0</v>
      </c>
      <c r="P27" s="283">
        <f>SUM(P4:P26)</f>
        <v>0</v>
      </c>
      <c r="Q27" s="284">
        <f>SUM(Q4:Q26)</f>
        <v>0</v>
      </c>
      <c r="R27" s="284"/>
      <c r="S27" s="285">
        <f>SUM(S4:S25)</f>
        <v>0</v>
      </c>
      <c r="T27" s="283">
        <f>SUM(T4:T26)</f>
        <v>0</v>
      </c>
      <c r="U27" s="284">
        <f>SUM(U4:U26)</f>
        <v>0</v>
      </c>
      <c r="V27" s="284"/>
      <c r="W27" s="285">
        <f>SUM(W4:W25)</f>
        <v>0</v>
      </c>
      <c r="X27" s="283">
        <f>SUM(X4:X26)</f>
        <v>0</v>
      </c>
      <c r="Y27" s="284">
        <f>SUM(Y4:Y26)</f>
        <v>0</v>
      </c>
      <c r="Z27" s="284"/>
      <c r="AA27" s="285">
        <f>SUM(AA4:AA25)</f>
        <v>0</v>
      </c>
      <c r="AB27" s="283">
        <f>SUM(AB4:AB26)</f>
        <v>0</v>
      </c>
      <c r="AC27" s="284">
        <f>SUM(AC4:AC26)</f>
        <v>0</v>
      </c>
      <c r="AD27" s="284"/>
      <c r="AE27" s="285">
        <f>SUM(AE4:AE25)</f>
        <v>0</v>
      </c>
      <c r="AF27" s="283">
        <f>SUM(AF4:AF26)</f>
        <v>0</v>
      </c>
      <c r="AG27" s="284">
        <f>SUM(AG4:AG26)</f>
        <v>0</v>
      </c>
      <c r="AH27" s="284"/>
      <c r="AI27" s="285">
        <f>SUM(AI4:AI25)</f>
        <v>0</v>
      </c>
      <c r="AJ27" s="283">
        <f>SUM(AJ4:AJ26)</f>
        <v>0</v>
      </c>
      <c r="AK27" s="284">
        <f>SUM(AK4:AK26)</f>
        <v>0</v>
      </c>
      <c r="AL27" s="284"/>
      <c r="AM27" s="285">
        <f>SUM(AM4:AM25)</f>
        <v>0</v>
      </c>
      <c r="AN27" s="283">
        <f>SUM(AN4:AN26)</f>
        <v>0</v>
      </c>
      <c r="AO27" s="284">
        <f>SUM(AO4:AO26)</f>
        <v>0</v>
      </c>
      <c r="AP27" s="284"/>
      <c r="AQ27" s="285">
        <f>SUM(AQ4:AQ25)</f>
        <v>0</v>
      </c>
      <c r="AR27" s="283">
        <f>SUM(AR4:AR26)</f>
        <v>0</v>
      </c>
      <c r="AS27" s="284">
        <f>SUM(AS4:AS26)</f>
        <v>0</v>
      </c>
      <c r="AT27" s="284"/>
      <c r="AU27" s="285">
        <f>SUM(AU4:AU25)</f>
        <v>0</v>
      </c>
      <c r="AV27" s="283">
        <f>SUM(AV4:AV26)</f>
        <v>0</v>
      </c>
      <c r="AW27" s="284">
        <f>SUM(AW4:AW26)</f>
        <v>0</v>
      </c>
      <c r="AX27" s="284"/>
      <c r="AY27" s="285">
        <f>SUM(AY4:AY25)</f>
        <v>0</v>
      </c>
      <c r="AZ27" s="286">
        <f>SUM(AZ4:AZ26)</f>
        <v>0</v>
      </c>
      <c r="BA27" s="286">
        <f>SUM(BA4:BA26)</f>
        <v>0</v>
      </c>
      <c r="BB27" s="282"/>
      <c r="BC27" s="287">
        <f>SUM(BC4:BC26)</f>
        <v>0</v>
      </c>
    </row>
    <row r="28" spans="1:55" x14ac:dyDescent="0.25">
      <c r="D28" s="272"/>
      <c r="E28" s="272"/>
      <c r="F28" s="272"/>
      <c r="G28" s="272"/>
      <c r="H28" s="272"/>
      <c r="I28" s="272"/>
      <c r="J28" s="272"/>
      <c r="K28" s="272"/>
      <c r="L28" s="272"/>
      <c r="M28" s="272"/>
      <c r="N28" s="272"/>
      <c r="O28" s="272"/>
      <c r="P28" s="272"/>
      <c r="Q28" s="272"/>
      <c r="R28" s="272"/>
      <c r="S28" s="272"/>
      <c r="T28" s="272"/>
      <c r="U28" s="272"/>
      <c r="V28" s="272"/>
      <c r="W28" s="272"/>
      <c r="X28" s="272"/>
      <c r="Y28" s="272"/>
      <c r="Z28" s="272"/>
      <c r="AA28" s="272"/>
      <c r="AB28" s="272"/>
      <c r="AC28" s="272"/>
      <c r="AD28" s="272"/>
      <c r="AE28" s="272"/>
      <c r="AF28" s="272"/>
      <c r="AG28" s="272"/>
      <c r="AH28" s="272"/>
      <c r="AI28" s="272"/>
      <c r="AJ28" s="272"/>
      <c r="AK28" s="272"/>
      <c r="AL28" s="272"/>
      <c r="AM28" s="272"/>
      <c r="AN28" s="272"/>
      <c r="AO28" s="272"/>
      <c r="AP28" s="272"/>
      <c r="AQ28" s="272"/>
      <c r="AR28" s="272"/>
      <c r="AS28" s="272"/>
      <c r="AT28" s="272"/>
      <c r="AU28" s="272"/>
      <c r="AV28" s="272"/>
      <c r="AW28" s="272"/>
      <c r="AX28" s="272"/>
      <c r="AY28" s="272"/>
      <c r="AZ28" s="288">
        <f>D27+H27+L27+P27+T27+X27+AB27+AF27+AJ27+AN27+AR27+AV27</f>
        <v>0</v>
      </c>
      <c r="BA28" s="288">
        <f>E27+I27+M27+Q27+U27+Y27+AC27+AG27+AK27+AO27+AS27+AW27</f>
        <v>0</v>
      </c>
      <c r="BC28" s="288">
        <f>G27+K27+O27+S27+W27+AA27+AE27+AI27+AM27+AQ27+AU27+AY27</f>
        <v>0</v>
      </c>
    </row>
    <row r="29" spans="1:55" x14ac:dyDescent="0.25">
      <c r="A29" s="272" t="s">
        <v>2</v>
      </c>
      <c r="B29" s="289" t="s">
        <v>172</v>
      </c>
      <c r="C29" s="272"/>
      <c r="D29" s="272">
        <f>SUMIF($B$4:$B$26,$B$29,D4:D26)</f>
        <v>0</v>
      </c>
      <c r="E29" s="272"/>
      <c r="F29" s="272"/>
      <c r="G29" s="272">
        <f>SUMIF($B$4:$B$25,$B$29,G4:G25)</f>
        <v>0</v>
      </c>
      <c r="H29" s="272">
        <f>SUMIF($B$4:$B$26,$B$29,H4:H26)</f>
        <v>0</v>
      </c>
      <c r="I29" s="272"/>
      <c r="J29" s="272"/>
      <c r="K29" s="272">
        <f>SUMIF($B$4:$B$25,$B$29,K4:K25)</f>
        <v>0</v>
      </c>
      <c r="L29" s="272">
        <f>SUMIF($B$4:$B$26,$B$29,L4:L26)</f>
        <v>0</v>
      </c>
      <c r="M29" s="272"/>
      <c r="N29" s="272"/>
      <c r="O29" s="272">
        <f>SUMIF($B$4:$B$25,$B$29,O4:O25)</f>
        <v>0</v>
      </c>
      <c r="P29" s="272">
        <f>SUMIF($B$4:$B$26,$B$29,P4:P26)</f>
        <v>0</v>
      </c>
      <c r="Q29" s="272"/>
      <c r="R29" s="272"/>
      <c r="S29" s="272">
        <f>SUMIF($B$4:$B$25,$B$29,S4:S25)</f>
        <v>0</v>
      </c>
      <c r="T29" s="272">
        <f>SUMIF($B$4:$B$26,$B$29,T4:T26)</f>
        <v>0</v>
      </c>
      <c r="U29" s="272"/>
      <c r="V29" s="272"/>
      <c r="W29" s="272">
        <f>SUMIF($B$4:$B$25,$B$29,W4:W25)</f>
        <v>0</v>
      </c>
      <c r="X29" s="272">
        <f>SUMIF($B$4:$B$26,$B$29,X4:X26)</f>
        <v>0</v>
      </c>
      <c r="Y29" s="272"/>
      <c r="Z29" s="272"/>
      <c r="AA29" s="272">
        <f>SUMIF($B$4:$B$25,$B$29,AA4:AA25)</f>
        <v>0</v>
      </c>
      <c r="AB29" s="272">
        <f>SUMIF($B$4:$B$26,$B$29,AB4:AB26)</f>
        <v>0</v>
      </c>
      <c r="AC29" s="272"/>
      <c r="AD29" s="272"/>
      <c r="AE29" s="272">
        <f>SUMIF($B$4:$B$25,$B$29,AE4:AE25)</f>
        <v>0</v>
      </c>
      <c r="AF29" s="272">
        <f>SUMIF($B$4:$B$26,$B$29,AF4:AF26)</f>
        <v>0</v>
      </c>
      <c r="AG29" s="272"/>
      <c r="AH29" s="272"/>
      <c r="AI29" s="272">
        <f>SUMIF($B$4:$B$25,$B$29,AI4:AI25)</f>
        <v>0</v>
      </c>
      <c r="AJ29" s="272">
        <f>SUMIF($B$4:$B$26,$B$29,AJ4:AJ26)</f>
        <v>0</v>
      </c>
      <c r="AK29" s="272"/>
      <c r="AL29" s="272"/>
      <c r="AM29" s="272">
        <f>SUMIF($B$4:$B$25,$B$29,AM4:AM25)</f>
        <v>0</v>
      </c>
      <c r="AN29" s="272">
        <f>SUMIF($B$4:$B$26,$B$29,AN4:AN26)</f>
        <v>0</v>
      </c>
      <c r="AO29" s="272"/>
      <c r="AP29" s="272"/>
      <c r="AQ29" s="272">
        <f>SUMIF($B$4:$B$25,$B$29,AQ4:AQ25)</f>
        <v>0</v>
      </c>
      <c r="AR29" s="272">
        <f>SUMIF($B$4:$B$26,$B$29,AR4:AR26)</f>
        <v>0</v>
      </c>
      <c r="AS29" s="272"/>
      <c r="AT29" s="272"/>
      <c r="AU29" s="272">
        <f>SUMIF($B$4:$B$25,$B$29,AU4:AU25)</f>
        <v>0</v>
      </c>
      <c r="AV29" s="272">
        <f>SUMIF($B$4:$B$26,$B$29,AV4:AV26)</f>
        <v>0</v>
      </c>
      <c r="AW29" s="272"/>
      <c r="AX29" s="272"/>
      <c r="AY29" s="272">
        <f>SUMIF($B$4:$B$25,$B$29,AY4:AY25)</f>
        <v>0</v>
      </c>
      <c r="AZ29" s="272">
        <f>SUMIF($B$4:$B$25,$B$29,AZ4:AZ25)</f>
        <v>0</v>
      </c>
      <c r="BA29" s="272"/>
      <c r="BB29" s="272"/>
      <c r="BC29" s="272">
        <f>SUMIF($B$4:$B$25,$B$29,BC4:BC25)</f>
        <v>0</v>
      </c>
    </row>
    <row r="30" spans="1:55" x14ac:dyDescent="0.25">
      <c r="A30" s="272"/>
      <c r="B30" s="272"/>
      <c r="C30" s="272"/>
      <c r="D30" s="272"/>
      <c r="E30" s="272"/>
      <c r="F30" s="272"/>
      <c r="G30" s="272"/>
      <c r="H30" s="272"/>
      <c r="I30" s="272"/>
      <c r="J30" s="272"/>
      <c r="K30" s="272"/>
      <c r="L30" s="272"/>
      <c r="M30" s="272"/>
      <c r="N30" s="272"/>
      <c r="O30" s="272"/>
      <c r="P30" s="272"/>
      <c r="Q30" s="272"/>
      <c r="R30" s="272"/>
      <c r="S30" s="272"/>
      <c r="T30" s="272"/>
      <c r="U30" s="272"/>
      <c r="V30" s="272"/>
      <c r="W30" s="272"/>
      <c r="X30" s="272"/>
      <c r="Y30" s="272"/>
      <c r="Z30" s="272"/>
      <c r="AA30" s="272"/>
      <c r="AB30" s="272"/>
      <c r="AC30" s="272"/>
      <c r="AD30" s="272"/>
      <c r="AE30" s="272"/>
      <c r="AF30" s="272"/>
      <c r="AG30" s="272"/>
      <c r="AH30" s="272"/>
      <c r="AI30" s="272"/>
      <c r="AJ30" s="272"/>
      <c r="AK30" s="272"/>
      <c r="AL30" s="272"/>
      <c r="AM30" s="272"/>
      <c r="AN30" s="272"/>
      <c r="AO30" s="272"/>
      <c r="AP30" s="272"/>
      <c r="AQ30" s="272"/>
      <c r="AR30" s="272"/>
      <c r="AS30" s="272"/>
      <c r="AT30" s="272"/>
      <c r="AU30" s="272"/>
      <c r="AV30" s="272"/>
      <c r="AW30" s="272"/>
      <c r="AX30" s="272"/>
      <c r="AY30" s="272"/>
      <c r="AZ30" s="272"/>
      <c r="BA30" s="272"/>
      <c r="BB30" s="272"/>
      <c r="BC30" s="272"/>
    </row>
    <row r="31" spans="1:55" ht="15.75" thickBot="1" x14ac:dyDescent="0.3">
      <c r="A31" s="272" t="s">
        <v>2</v>
      </c>
      <c r="B31" s="272" t="s">
        <v>170</v>
      </c>
      <c r="C31" s="272"/>
      <c r="D31" s="290">
        <f>SUMIF($B$4:$B$26,$B$31,D4:D26)</f>
        <v>0</v>
      </c>
      <c r="E31" s="290"/>
      <c r="F31" s="290"/>
      <c r="G31" s="290">
        <f>SUMIF($B$4:$B$25,$B$31,G4:G25)</f>
        <v>0</v>
      </c>
      <c r="H31" s="290">
        <f>SUMIF($B$4:$B$26,$B$31,H4:H26)</f>
        <v>0</v>
      </c>
      <c r="I31" s="290"/>
      <c r="J31" s="290"/>
      <c r="K31" s="290">
        <f>SUMIF($B$4:$B$25,$B$31,K4:K25)</f>
        <v>0</v>
      </c>
      <c r="L31" s="290">
        <f>SUMIF($B$4:$B$26,$B$31,L4:L26)</f>
        <v>0</v>
      </c>
      <c r="M31" s="290"/>
      <c r="N31" s="290"/>
      <c r="O31" s="290">
        <f>SUMIF($B$4:$B$25,$B$31,O4:O25)</f>
        <v>0</v>
      </c>
      <c r="P31" s="290">
        <f>SUMIF($B$4:$B$26,$B$31,P4:P26)</f>
        <v>0</v>
      </c>
      <c r="Q31" s="290"/>
      <c r="R31" s="290"/>
      <c r="S31" s="290">
        <f>SUMIF($B$4:$B$25,$B$31,S4:S25)</f>
        <v>0</v>
      </c>
      <c r="T31" s="290">
        <f>SUMIF($B$4:$B$26,$B$31,T4:T26)</f>
        <v>0</v>
      </c>
      <c r="U31" s="290"/>
      <c r="V31" s="290"/>
      <c r="W31" s="290">
        <f>SUMIF($B$4:$B$25,$B$31,W4:W25)</f>
        <v>0</v>
      </c>
      <c r="X31" s="290">
        <f>SUMIF($B$4:$B$26,$B$31,X4:X26)</f>
        <v>0</v>
      </c>
      <c r="Y31" s="290"/>
      <c r="Z31" s="290"/>
      <c r="AA31" s="290">
        <f>SUMIF($B$4:$B$25,$B$31,AA4:AA25)</f>
        <v>0</v>
      </c>
      <c r="AB31" s="290">
        <f>SUMIF($B$4:$B$26,$B$31,AB4:AB26)</f>
        <v>0</v>
      </c>
      <c r="AC31" s="290"/>
      <c r="AD31" s="290"/>
      <c r="AE31" s="290">
        <f>SUMIF($B$4:$B$25,$B$31,AE4:AE25)</f>
        <v>0</v>
      </c>
      <c r="AF31" s="290">
        <f>SUMIF($B$4:$B$26,$B$31,AF4:AF26)</f>
        <v>0</v>
      </c>
      <c r="AG31" s="290"/>
      <c r="AH31" s="290"/>
      <c r="AI31" s="290">
        <f>SUMIF($B$4:$B$25,$B$31,AI4:AI25)</f>
        <v>0</v>
      </c>
      <c r="AJ31" s="290">
        <f>SUMIF($B$4:$B$26,$B$31,AJ4:AJ26)</f>
        <v>0</v>
      </c>
      <c r="AK31" s="290"/>
      <c r="AL31" s="290"/>
      <c r="AM31" s="290">
        <f>SUMIF($B$4:$B$25,$B$31,AM4:AM25)</f>
        <v>0</v>
      </c>
      <c r="AN31" s="290">
        <f>SUMIF($B$4:$B$26,$B$31,AN4:AN26)</f>
        <v>0</v>
      </c>
      <c r="AO31" s="290"/>
      <c r="AP31" s="290"/>
      <c r="AQ31" s="290">
        <f>SUMIF($B$4:$B$25,$B$31,AQ4:AQ25)</f>
        <v>0</v>
      </c>
      <c r="AR31" s="290">
        <f>SUMIF($B$4:$B$26,$B$31,AR4:AR26)</f>
        <v>0</v>
      </c>
      <c r="AS31" s="290"/>
      <c r="AT31" s="290"/>
      <c r="AU31" s="290">
        <f>SUMIF($B$4:$B$25,$B$31,AU4:AU25)</f>
        <v>0</v>
      </c>
      <c r="AV31" s="290">
        <f>SUMIF($B$4:$B$26,$B$31,AV4:AV26)</f>
        <v>0</v>
      </c>
      <c r="AW31" s="290"/>
      <c r="AX31" s="290"/>
      <c r="AY31" s="290">
        <f>SUMIF($B$4:$B$25,$B$31,AY4:AY25)</f>
        <v>0</v>
      </c>
      <c r="AZ31" s="290">
        <f>SUMIF($B$4:$B$25,$B$31,AZ4:AZ25)</f>
        <v>0</v>
      </c>
      <c r="BA31" s="290"/>
      <c r="BB31" s="290"/>
      <c r="BC31" s="290">
        <f>SUMIF($B$4:$B$25,$B$31,BC4:BC25)</f>
        <v>0</v>
      </c>
    </row>
    <row r="32" spans="1:55" x14ac:dyDescent="0.25">
      <c r="A32" s="272"/>
      <c r="B32" s="272" t="s">
        <v>2</v>
      </c>
      <c r="C32" s="272"/>
      <c r="D32" s="272">
        <f>D29+D31</f>
        <v>0</v>
      </c>
      <c r="E32" s="272"/>
      <c r="F32" s="272"/>
      <c r="G32" s="272">
        <f>G29+G31</f>
        <v>0</v>
      </c>
      <c r="H32" s="272">
        <f>H29+H31</f>
        <v>0</v>
      </c>
      <c r="I32" s="272"/>
      <c r="J32" s="272"/>
      <c r="K32" s="272">
        <f>K29+K31</f>
        <v>0</v>
      </c>
      <c r="L32" s="272">
        <f>L29+L31</f>
        <v>0</v>
      </c>
      <c r="M32" s="272"/>
      <c r="N32" s="272"/>
      <c r="O32" s="272">
        <f>O29+O31</f>
        <v>0</v>
      </c>
      <c r="P32" s="272">
        <f>P29+P31</f>
        <v>0</v>
      </c>
      <c r="Q32" s="272"/>
      <c r="R32" s="272"/>
      <c r="S32" s="272">
        <f>S29+S31</f>
        <v>0</v>
      </c>
      <c r="T32" s="272">
        <f>T29+T31</f>
        <v>0</v>
      </c>
      <c r="U32" s="272"/>
      <c r="V32" s="272"/>
      <c r="W32" s="272">
        <f>W29+W31</f>
        <v>0</v>
      </c>
      <c r="X32" s="272">
        <f>X29+X31</f>
        <v>0</v>
      </c>
      <c r="Y32" s="272"/>
      <c r="Z32" s="272"/>
      <c r="AA32" s="272">
        <f>AA29+AA31</f>
        <v>0</v>
      </c>
      <c r="AB32" s="272">
        <f>AB29+AB31</f>
        <v>0</v>
      </c>
      <c r="AC32" s="272"/>
      <c r="AD32" s="272"/>
      <c r="AE32" s="272">
        <f>AE29+AE31</f>
        <v>0</v>
      </c>
      <c r="AF32" s="272">
        <f>AF29+AF31</f>
        <v>0</v>
      </c>
      <c r="AG32" s="272"/>
      <c r="AH32" s="272"/>
      <c r="AI32" s="272">
        <f>AI29+AI31</f>
        <v>0</v>
      </c>
      <c r="AJ32" s="272">
        <f>AJ29+AJ31</f>
        <v>0</v>
      </c>
      <c r="AK32" s="272"/>
      <c r="AL32" s="272"/>
      <c r="AM32" s="272">
        <f>AM29+AM31</f>
        <v>0</v>
      </c>
      <c r="AN32" s="272">
        <f>AN29+AN31</f>
        <v>0</v>
      </c>
      <c r="AO32" s="272"/>
      <c r="AP32" s="272"/>
      <c r="AQ32" s="272">
        <f>AQ29+AQ31</f>
        <v>0</v>
      </c>
      <c r="AR32" s="272">
        <f>AR29+AR31</f>
        <v>0</v>
      </c>
      <c r="AS32" s="272"/>
      <c r="AT32" s="272"/>
      <c r="AU32" s="272">
        <f>AU29+AU31</f>
        <v>0</v>
      </c>
      <c r="AV32" s="272">
        <f>AV29+AV31</f>
        <v>0</v>
      </c>
      <c r="AW32" s="272"/>
      <c r="AX32" s="272"/>
      <c r="AY32" s="272">
        <f>AY29+AY31</f>
        <v>0</v>
      </c>
      <c r="AZ32" s="272">
        <f>AZ29+AZ31</f>
        <v>0</v>
      </c>
      <c r="BA32" s="272"/>
      <c r="BB32" s="272"/>
      <c r="BC32" s="272">
        <f>BC29+BC31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592E6-2D5D-4E96-A940-DD3B3FFEDAF7}">
  <sheetPr codeName="Sheet29">
    <tabColor theme="0" tint="-0.14999847407452621"/>
  </sheetPr>
  <dimension ref="A1:BC32"/>
  <sheetViews>
    <sheetView workbookViewId="0">
      <pane xSplit="3" ySplit="3" topLeftCell="D4" activePane="bottomRight" state="frozen"/>
      <selection activeCell="B49" sqref="B49"/>
      <selection pane="topRight" activeCell="B49" sqref="B49"/>
      <selection pane="bottomLeft" activeCell="B49" sqref="B49"/>
      <selection pane="bottomRight" activeCell="B49" sqref="B49"/>
    </sheetView>
  </sheetViews>
  <sheetFormatPr defaultColWidth="9.140625" defaultRowHeight="15" x14ac:dyDescent="0.25"/>
  <cols>
    <col min="2" max="2" width="10.7109375" bestFit="1" customWidth="1"/>
    <col min="3" max="3" width="13.85546875" bestFit="1" customWidth="1"/>
    <col min="4" max="5" width="9.7109375" bestFit="1" customWidth="1"/>
    <col min="6" max="6" width="10.5703125" bestFit="1" customWidth="1"/>
    <col min="7" max="7" width="11.85546875" customWidth="1"/>
    <col min="8" max="8" width="9.85546875" customWidth="1"/>
    <col min="9" max="9" width="9.5703125" customWidth="1"/>
    <col min="11" max="11" width="13.28515625" style="294" customWidth="1"/>
    <col min="12" max="12" width="9.28515625" bestFit="1" customWidth="1"/>
    <col min="13" max="13" width="9.42578125" customWidth="1"/>
    <col min="14" max="14" width="9.28515625" bestFit="1" customWidth="1"/>
    <col min="15" max="15" width="11.7109375" style="291" customWidth="1"/>
    <col min="16" max="18" width="10.7109375" customWidth="1"/>
    <col min="19" max="19" width="12.140625" customWidth="1"/>
    <col min="52" max="52" width="11.140625" customWidth="1"/>
    <col min="53" max="53" width="10.28515625" bestFit="1" customWidth="1"/>
    <col min="55" max="55" width="16.140625" customWidth="1"/>
  </cols>
  <sheetData>
    <row r="1" spans="1:55" ht="15.75" thickBot="1" x14ac:dyDescent="0.3">
      <c r="A1" s="150" t="str">
        <f>Summary_7!B1</f>
        <v>Rangatira Utiku Block</v>
      </c>
    </row>
    <row r="2" spans="1:55" s="150" customFormat="1" x14ac:dyDescent="0.25">
      <c r="B2" s="255"/>
      <c r="C2" s="256"/>
      <c r="D2" s="257">
        <v>45658</v>
      </c>
      <c r="E2" s="256"/>
      <c r="F2" s="256"/>
      <c r="G2" s="258"/>
      <c r="H2" s="257">
        <v>45689</v>
      </c>
      <c r="I2" s="259"/>
      <c r="J2" s="259"/>
      <c r="K2" s="295"/>
      <c r="L2" s="257">
        <v>45717</v>
      </c>
      <c r="M2" s="256"/>
      <c r="N2" s="256"/>
      <c r="O2" s="292"/>
      <c r="P2" s="257">
        <v>45748</v>
      </c>
      <c r="Q2" s="256"/>
      <c r="R2" s="256"/>
      <c r="S2" s="258"/>
      <c r="T2" s="257">
        <v>45778</v>
      </c>
      <c r="U2" s="256"/>
      <c r="V2" s="256"/>
      <c r="W2" s="258"/>
      <c r="X2" s="257">
        <v>45809</v>
      </c>
      <c r="Y2" s="256"/>
      <c r="Z2" s="256"/>
      <c r="AA2" s="258"/>
      <c r="AB2" s="257">
        <v>45839</v>
      </c>
      <c r="AC2" s="256"/>
      <c r="AD2" s="256"/>
      <c r="AE2" s="258"/>
      <c r="AF2" s="257">
        <v>45870</v>
      </c>
      <c r="AG2" s="256"/>
      <c r="AH2" s="256"/>
      <c r="AI2" s="258"/>
      <c r="AJ2" s="257">
        <v>45901</v>
      </c>
      <c r="AK2" s="256"/>
      <c r="AL2" s="256"/>
      <c r="AM2" s="258"/>
      <c r="AN2" s="257">
        <v>45931</v>
      </c>
      <c r="AO2" s="256"/>
      <c r="AP2" s="256"/>
      <c r="AQ2" s="258"/>
      <c r="AR2" s="257">
        <v>45962</v>
      </c>
      <c r="AS2" s="256"/>
      <c r="AT2" s="256"/>
      <c r="AU2" s="258"/>
      <c r="AV2" s="257">
        <v>45992</v>
      </c>
      <c r="AW2" s="256"/>
      <c r="AX2" s="256"/>
      <c r="AY2" s="258"/>
      <c r="AZ2" s="256" t="s">
        <v>123</v>
      </c>
      <c r="BA2" s="256"/>
      <c r="BB2" s="256"/>
      <c r="BC2" s="260"/>
    </row>
    <row r="3" spans="1:55" s="269" customFormat="1" ht="30.75" thickBot="1" x14ac:dyDescent="0.3">
      <c r="B3" s="261" t="s">
        <v>165</v>
      </c>
      <c r="C3" s="262" t="s">
        <v>13</v>
      </c>
      <c r="D3" s="263" t="s">
        <v>166</v>
      </c>
      <c r="E3" s="264" t="s">
        <v>167</v>
      </c>
      <c r="F3" s="264" t="s">
        <v>168</v>
      </c>
      <c r="G3" s="265" t="s">
        <v>169</v>
      </c>
      <c r="H3" s="266" t="s">
        <v>166</v>
      </c>
      <c r="I3" s="267" t="s">
        <v>167</v>
      </c>
      <c r="J3" s="267" t="s">
        <v>168</v>
      </c>
      <c r="K3" s="296" t="s">
        <v>169</v>
      </c>
      <c r="L3" s="263" t="s">
        <v>166</v>
      </c>
      <c r="M3" s="264" t="s">
        <v>167</v>
      </c>
      <c r="N3" s="264" t="s">
        <v>168</v>
      </c>
      <c r="O3" s="293" t="s">
        <v>169</v>
      </c>
      <c r="P3" s="263" t="s">
        <v>166</v>
      </c>
      <c r="Q3" s="264" t="s">
        <v>167</v>
      </c>
      <c r="R3" s="264" t="s">
        <v>168</v>
      </c>
      <c r="S3" s="265" t="s">
        <v>169</v>
      </c>
      <c r="T3" s="263" t="s">
        <v>166</v>
      </c>
      <c r="U3" s="264" t="s">
        <v>167</v>
      </c>
      <c r="V3" s="264" t="s">
        <v>168</v>
      </c>
      <c r="W3" s="265" t="s">
        <v>169</v>
      </c>
      <c r="X3" s="263" t="s">
        <v>166</v>
      </c>
      <c r="Y3" s="264" t="s">
        <v>167</v>
      </c>
      <c r="Z3" s="264" t="s">
        <v>168</v>
      </c>
      <c r="AA3" s="265" t="s">
        <v>169</v>
      </c>
      <c r="AB3" s="263" t="s">
        <v>166</v>
      </c>
      <c r="AC3" s="264" t="s">
        <v>167</v>
      </c>
      <c r="AD3" s="264" t="s">
        <v>168</v>
      </c>
      <c r="AE3" s="265" t="s">
        <v>169</v>
      </c>
      <c r="AF3" s="263" t="s">
        <v>166</v>
      </c>
      <c r="AG3" s="264" t="s">
        <v>167</v>
      </c>
      <c r="AH3" s="264" t="s">
        <v>168</v>
      </c>
      <c r="AI3" s="265" t="s">
        <v>169</v>
      </c>
      <c r="AJ3" s="263" t="s">
        <v>166</v>
      </c>
      <c r="AK3" s="264" t="s">
        <v>167</v>
      </c>
      <c r="AL3" s="264" t="s">
        <v>168</v>
      </c>
      <c r="AM3" s="265" t="s">
        <v>169</v>
      </c>
      <c r="AN3" s="263" t="s">
        <v>166</v>
      </c>
      <c r="AO3" s="264" t="s">
        <v>167</v>
      </c>
      <c r="AP3" s="264" t="s">
        <v>168</v>
      </c>
      <c r="AQ3" s="265" t="s">
        <v>169</v>
      </c>
      <c r="AR3" s="263" t="s">
        <v>166</v>
      </c>
      <c r="AS3" s="264" t="s">
        <v>167</v>
      </c>
      <c r="AT3" s="264" t="s">
        <v>168</v>
      </c>
      <c r="AU3" s="265" t="s">
        <v>169</v>
      </c>
      <c r="AV3" s="263" t="s">
        <v>166</v>
      </c>
      <c r="AW3" s="264" t="s">
        <v>167</v>
      </c>
      <c r="AX3" s="264" t="s">
        <v>168</v>
      </c>
      <c r="AY3" s="265" t="s">
        <v>169</v>
      </c>
      <c r="AZ3" s="264" t="s">
        <v>166</v>
      </c>
      <c r="BA3" s="264" t="s">
        <v>167</v>
      </c>
      <c r="BB3" s="264" t="s">
        <v>168</v>
      </c>
      <c r="BC3" s="268" t="s">
        <v>169</v>
      </c>
    </row>
    <row r="4" spans="1:55" x14ac:dyDescent="0.25">
      <c r="B4" s="270" t="s">
        <v>172</v>
      </c>
      <c r="C4" s="68" t="s">
        <v>20</v>
      </c>
      <c r="D4" s="271"/>
      <c r="E4" s="272"/>
      <c r="F4" s="272"/>
      <c r="G4" s="273">
        <f t="shared" ref="G4:G12" si="0">D4*F4</f>
        <v>0</v>
      </c>
      <c r="H4" s="274"/>
      <c r="I4" s="275"/>
      <c r="J4" s="275"/>
      <c r="K4" s="297">
        <f t="shared" ref="K4:K12" si="1">H4*J4</f>
        <v>0</v>
      </c>
      <c r="L4" s="274"/>
      <c r="M4" s="275"/>
      <c r="N4" s="275"/>
      <c r="O4" s="299">
        <f t="shared" ref="O4:O12" si="2">L4*N4</f>
        <v>0</v>
      </c>
      <c r="P4" s="277"/>
      <c r="S4" s="278"/>
      <c r="T4" s="277"/>
      <c r="W4" s="278"/>
      <c r="X4" s="277"/>
      <c r="AA4" s="278"/>
      <c r="AB4" s="277"/>
      <c r="AE4" s="278"/>
      <c r="AF4" s="277"/>
      <c r="AI4" s="278"/>
      <c r="AJ4" s="277"/>
      <c r="AM4" s="278"/>
      <c r="AN4" s="277"/>
      <c r="AQ4" s="278"/>
      <c r="AR4" s="277"/>
      <c r="AU4" s="278"/>
      <c r="AV4" s="277"/>
      <c r="AZ4" s="271">
        <f t="shared" ref="AZ4:AZ26" si="3">SUM(D4,H4,L4,P4,T4,X4,AB4,AF4,AJ4,AN4,AR4,AV4)</f>
        <v>0</v>
      </c>
      <c r="BA4" s="272">
        <f t="shared" ref="BA4:BA26" si="4">SUM(E4,I4,M4,Q4,U4,Y4,AC4,AG4,AK4,AO4,AS4,AW4)</f>
        <v>0</v>
      </c>
      <c r="BC4" s="279">
        <f t="shared" ref="BC4:BC26" si="5">SUM(G4,K4,O4,S4,W4,AA4,AE4,AI4,AM4,AQ4,AU4,AY4)</f>
        <v>0</v>
      </c>
    </row>
    <row r="5" spans="1:55" x14ac:dyDescent="0.25">
      <c r="B5" s="270" t="s">
        <v>172</v>
      </c>
      <c r="C5" s="68" t="s">
        <v>22</v>
      </c>
      <c r="D5" s="271"/>
      <c r="E5" s="272"/>
      <c r="F5" s="272"/>
      <c r="G5" s="273">
        <f t="shared" si="0"/>
        <v>0</v>
      </c>
      <c r="H5" s="274"/>
      <c r="I5" s="275"/>
      <c r="J5" s="275"/>
      <c r="K5" s="297">
        <f t="shared" si="1"/>
        <v>0</v>
      </c>
      <c r="L5" s="274"/>
      <c r="M5" s="275"/>
      <c r="N5" s="275"/>
      <c r="O5" s="299">
        <f t="shared" si="2"/>
        <v>0</v>
      </c>
      <c r="P5" s="277"/>
      <c r="S5" s="278"/>
      <c r="T5" s="277"/>
      <c r="W5" s="278"/>
      <c r="X5" s="277"/>
      <c r="AA5" s="278"/>
      <c r="AB5" s="277"/>
      <c r="AE5" s="278"/>
      <c r="AF5" s="277"/>
      <c r="AI5" s="278"/>
      <c r="AJ5" s="277"/>
      <c r="AM5" s="278"/>
      <c r="AN5" s="277"/>
      <c r="AQ5" s="278"/>
      <c r="AR5" s="277"/>
      <c r="AU5" s="278"/>
      <c r="AV5" s="277"/>
      <c r="AZ5" s="271">
        <f t="shared" si="3"/>
        <v>0</v>
      </c>
      <c r="BA5" s="272">
        <f t="shared" si="4"/>
        <v>0</v>
      </c>
      <c r="BC5" s="279">
        <f t="shared" si="5"/>
        <v>0</v>
      </c>
    </row>
    <row r="6" spans="1:55" x14ac:dyDescent="0.25">
      <c r="B6" s="270" t="s">
        <v>172</v>
      </c>
      <c r="C6" s="68" t="s">
        <v>25</v>
      </c>
      <c r="D6" s="271"/>
      <c r="E6" s="272"/>
      <c r="F6" s="272"/>
      <c r="G6" s="273">
        <f t="shared" si="0"/>
        <v>0</v>
      </c>
      <c r="H6" s="274"/>
      <c r="I6" s="275"/>
      <c r="J6" s="275"/>
      <c r="K6" s="297">
        <f t="shared" si="1"/>
        <v>0</v>
      </c>
      <c r="L6" s="274"/>
      <c r="M6" s="275"/>
      <c r="N6" s="275"/>
      <c r="O6" s="299">
        <f t="shared" si="2"/>
        <v>0</v>
      </c>
      <c r="P6" s="277"/>
      <c r="S6" s="278"/>
      <c r="T6" s="277"/>
      <c r="W6" s="278"/>
      <c r="X6" s="277"/>
      <c r="AA6" s="278"/>
      <c r="AB6" s="277"/>
      <c r="AE6" s="278"/>
      <c r="AF6" s="277"/>
      <c r="AI6" s="278"/>
      <c r="AJ6" s="277"/>
      <c r="AM6" s="278"/>
      <c r="AN6" s="277"/>
      <c r="AQ6" s="278"/>
      <c r="AR6" s="277"/>
      <c r="AU6" s="278"/>
      <c r="AV6" s="277"/>
      <c r="AZ6" s="271">
        <f t="shared" si="3"/>
        <v>0</v>
      </c>
      <c r="BA6" s="272">
        <f t="shared" si="4"/>
        <v>0</v>
      </c>
      <c r="BC6" s="279">
        <f t="shared" si="5"/>
        <v>0</v>
      </c>
    </row>
    <row r="7" spans="1:55" x14ac:dyDescent="0.25">
      <c r="B7" s="270" t="s">
        <v>172</v>
      </c>
      <c r="C7" s="68" t="s">
        <v>30</v>
      </c>
      <c r="D7" s="271"/>
      <c r="E7" s="272"/>
      <c r="F7" s="272"/>
      <c r="G7" s="273">
        <f t="shared" si="0"/>
        <v>0</v>
      </c>
      <c r="H7" s="274"/>
      <c r="I7" s="275"/>
      <c r="J7" s="275"/>
      <c r="K7" s="297">
        <f t="shared" si="1"/>
        <v>0</v>
      </c>
      <c r="L7" s="274"/>
      <c r="M7" s="275"/>
      <c r="N7" s="275"/>
      <c r="O7" s="299">
        <f t="shared" si="2"/>
        <v>0</v>
      </c>
      <c r="P7" s="277"/>
      <c r="S7" s="278"/>
      <c r="T7" s="277"/>
      <c r="W7" s="278"/>
      <c r="X7" s="277"/>
      <c r="AA7" s="278"/>
      <c r="AB7" s="277"/>
      <c r="AE7" s="278"/>
      <c r="AF7" s="277"/>
      <c r="AI7" s="278"/>
      <c r="AJ7" s="277"/>
      <c r="AM7" s="278"/>
      <c r="AN7" s="277"/>
      <c r="AQ7" s="278"/>
      <c r="AR7" s="277"/>
      <c r="AU7" s="278"/>
      <c r="AV7" s="277"/>
      <c r="AZ7" s="271">
        <f t="shared" si="3"/>
        <v>0</v>
      </c>
      <c r="BA7" s="272">
        <f t="shared" si="4"/>
        <v>0</v>
      </c>
      <c r="BC7" s="279">
        <f t="shared" si="5"/>
        <v>0</v>
      </c>
    </row>
    <row r="8" spans="1:55" x14ac:dyDescent="0.25">
      <c r="B8" s="270" t="s">
        <v>172</v>
      </c>
      <c r="C8" s="68" t="s">
        <v>222</v>
      </c>
      <c r="D8" s="271"/>
      <c r="E8" s="272"/>
      <c r="F8" s="272"/>
      <c r="G8" s="273">
        <f t="shared" si="0"/>
        <v>0</v>
      </c>
      <c r="H8" s="274"/>
      <c r="I8" s="275"/>
      <c r="J8" s="275"/>
      <c r="K8" s="297">
        <f t="shared" si="1"/>
        <v>0</v>
      </c>
      <c r="L8" s="274"/>
      <c r="M8" s="275"/>
      <c r="N8" s="275"/>
      <c r="O8" s="299">
        <f t="shared" si="2"/>
        <v>0</v>
      </c>
      <c r="P8" s="277"/>
      <c r="S8" s="278"/>
      <c r="T8" s="277"/>
      <c r="W8" s="278"/>
      <c r="X8" s="277"/>
      <c r="AA8" s="278"/>
      <c r="AB8" s="277"/>
      <c r="AE8" s="278"/>
      <c r="AF8" s="277"/>
      <c r="AI8" s="278"/>
      <c r="AJ8" s="277"/>
      <c r="AM8" s="278"/>
      <c r="AN8" s="277"/>
      <c r="AQ8" s="278"/>
      <c r="AR8" s="277"/>
      <c r="AU8" s="278"/>
      <c r="AV8" s="277"/>
      <c r="AZ8" s="271">
        <f t="shared" si="3"/>
        <v>0</v>
      </c>
      <c r="BA8" s="272">
        <f t="shared" si="4"/>
        <v>0</v>
      </c>
      <c r="BC8" s="279">
        <f t="shared" si="5"/>
        <v>0</v>
      </c>
    </row>
    <row r="9" spans="1:55" x14ac:dyDescent="0.25">
      <c r="B9" s="270" t="s">
        <v>172</v>
      </c>
      <c r="C9" s="68" t="s">
        <v>34</v>
      </c>
      <c r="D9" s="271"/>
      <c r="E9" s="272"/>
      <c r="F9" s="272"/>
      <c r="G9" s="273">
        <f t="shared" si="0"/>
        <v>0</v>
      </c>
      <c r="H9" s="274"/>
      <c r="I9" s="275"/>
      <c r="J9" s="275"/>
      <c r="K9" s="297">
        <f t="shared" si="1"/>
        <v>0</v>
      </c>
      <c r="L9" s="274"/>
      <c r="M9" s="275"/>
      <c r="N9" s="275"/>
      <c r="O9" s="299">
        <f t="shared" si="2"/>
        <v>0</v>
      </c>
      <c r="P9" s="277"/>
      <c r="S9" s="278"/>
      <c r="T9" s="277"/>
      <c r="W9" s="278"/>
      <c r="X9" s="277"/>
      <c r="AA9" s="278"/>
      <c r="AB9" s="277"/>
      <c r="AE9" s="278"/>
      <c r="AF9" s="277"/>
      <c r="AI9" s="278"/>
      <c r="AJ9" s="277"/>
      <c r="AM9" s="278"/>
      <c r="AN9" s="277"/>
      <c r="AQ9" s="278"/>
      <c r="AR9" s="277"/>
      <c r="AU9" s="278"/>
      <c r="AV9" s="277"/>
      <c r="AZ9" s="271">
        <f t="shared" si="3"/>
        <v>0</v>
      </c>
      <c r="BA9" s="272">
        <f t="shared" si="4"/>
        <v>0</v>
      </c>
      <c r="BC9" s="279">
        <f t="shared" si="5"/>
        <v>0</v>
      </c>
    </row>
    <row r="10" spans="1:55" x14ac:dyDescent="0.25">
      <c r="B10" s="270" t="s">
        <v>172</v>
      </c>
      <c r="C10" s="68" t="s">
        <v>37</v>
      </c>
      <c r="D10" s="271"/>
      <c r="E10" s="272"/>
      <c r="F10" s="272"/>
      <c r="G10" s="273">
        <f t="shared" si="0"/>
        <v>0</v>
      </c>
      <c r="H10" s="274"/>
      <c r="I10" s="275"/>
      <c r="J10" s="275"/>
      <c r="K10" s="297">
        <f t="shared" si="1"/>
        <v>0</v>
      </c>
      <c r="L10" s="274"/>
      <c r="M10" s="275"/>
      <c r="N10" s="275"/>
      <c r="O10" s="299">
        <f t="shared" si="2"/>
        <v>0</v>
      </c>
      <c r="P10" s="277"/>
      <c r="S10" s="278"/>
      <c r="T10" s="277"/>
      <c r="W10" s="278"/>
      <c r="X10" s="277"/>
      <c r="AA10" s="278"/>
      <c r="AB10" s="277"/>
      <c r="AE10" s="278"/>
      <c r="AF10" s="277"/>
      <c r="AI10" s="278"/>
      <c r="AJ10" s="277"/>
      <c r="AM10" s="278"/>
      <c r="AN10" s="277"/>
      <c r="AQ10" s="278"/>
      <c r="AR10" s="277"/>
      <c r="AU10" s="278"/>
      <c r="AV10" s="277"/>
      <c r="AY10" s="278"/>
      <c r="AZ10" s="271">
        <f t="shared" si="3"/>
        <v>0</v>
      </c>
      <c r="BA10" s="272">
        <f t="shared" si="4"/>
        <v>0</v>
      </c>
      <c r="BC10" s="279">
        <f t="shared" si="5"/>
        <v>0</v>
      </c>
    </row>
    <row r="11" spans="1:55" x14ac:dyDescent="0.25">
      <c r="B11" s="270" t="s">
        <v>172</v>
      </c>
      <c r="C11" s="68" t="s">
        <v>174</v>
      </c>
      <c r="D11" s="271"/>
      <c r="E11" s="272"/>
      <c r="F11" s="272"/>
      <c r="G11" s="273">
        <f t="shared" si="0"/>
        <v>0</v>
      </c>
      <c r="H11" s="274"/>
      <c r="I11" s="275"/>
      <c r="J11" s="275"/>
      <c r="K11" s="297">
        <f t="shared" si="1"/>
        <v>0</v>
      </c>
      <c r="L11" s="274"/>
      <c r="M11" s="275"/>
      <c r="N11" s="275"/>
      <c r="O11" s="299">
        <f t="shared" si="2"/>
        <v>0</v>
      </c>
      <c r="P11" s="277"/>
      <c r="S11" s="278"/>
      <c r="T11" s="277"/>
      <c r="W11" s="278"/>
      <c r="X11" s="277"/>
      <c r="AA11" s="278"/>
      <c r="AB11" s="277"/>
      <c r="AE11" s="278"/>
      <c r="AF11" s="277"/>
      <c r="AI11" s="278"/>
      <c r="AJ11" s="277"/>
      <c r="AM11" s="278"/>
      <c r="AN11" s="277"/>
      <c r="AQ11" s="278"/>
      <c r="AR11" s="277"/>
      <c r="AU11" s="278"/>
      <c r="AV11" s="277"/>
      <c r="AY11" s="278"/>
      <c r="AZ11" s="271">
        <f t="shared" si="3"/>
        <v>0</v>
      </c>
      <c r="BA11" s="272">
        <f t="shared" si="4"/>
        <v>0</v>
      </c>
      <c r="BC11" s="279">
        <f t="shared" si="5"/>
        <v>0</v>
      </c>
    </row>
    <row r="12" spans="1:55" x14ac:dyDescent="0.25">
      <c r="B12" s="270" t="s">
        <v>172</v>
      </c>
      <c r="C12" s="68" t="s">
        <v>38</v>
      </c>
      <c r="D12" s="271"/>
      <c r="E12" s="272"/>
      <c r="F12" s="272"/>
      <c r="G12" s="273">
        <f t="shared" si="0"/>
        <v>0</v>
      </c>
      <c r="H12" s="274"/>
      <c r="I12" s="275"/>
      <c r="J12" s="275"/>
      <c r="K12" s="297">
        <f t="shared" si="1"/>
        <v>0</v>
      </c>
      <c r="L12" s="274"/>
      <c r="M12" s="275"/>
      <c r="N12" s="275"/>
      <c r="O12" s="299">
        <f t="shared" si="2"/>
        <v>0</v>
      </c>
      <c r="P12" s="277"/>
      <c r="S12" s="278"/>
      <c r="T12" s="277"/>
      <c r="W12" s="278"/>
      <c r="X12" s="277"/>
      <c r="AA12" s="278"/>
      <c r="AB12" s="277"/>
      <c r="AE12" s="278"/>
      <c r="AF12" s="277"/>
      <c r="AI12" s="278"/>
      <c r="AJ12" s="277"/>
      <c r="AM12" s="278"/>
      <c r="AN12" s="277"/>
      <c r="AQ12" s="278"/>
      <c r="AR12" s="277"/>
      <c r="AU12" s="278"/>
      <c r="AV12" s="277"/>
      <c r="AY12" s="278"/>
      <c r="AZ12" s="271">
        <f t="shared" si="3"/>
        <v>0</v>
      </c>
      <c r="BA12" s="272">
        <f t="shared" si="4"/>
        <v>0</v>
      </c>
      <c r="BC12" s="279">
        <f t="shared" si="5"/>
        <v>0</v>
      </c>
    </row>
    <row r="13" spans="1:55" x14ac:dyDescent="0.25">
      <c r="B13" s="24" t="s">
        <v>170</v>
      </c>
      <c r="C13" s="68" t="s">
        <v>171</v>
      </c>
      <c r="D13" s="271"/>
      <c r="E13" s="272"/>
      <c r="F13" s="272"/>
      <c r="G13" s="273">
        <f t="shared" ref="G13:G25" si="6">E13*F13</f>
        <v>0</v>
      </c>
      <c r="H13" s="274"/>
      <c r="I13" s="275"/>
      <c r="J13" s="275"/>
      <c r="K13" s="298">
        <f t="shared" ref="K13:K25" si="7">I13*J13</f>
        <v>0</v>
      </c>
      <c r="L13" s="274"/>
      <c r="M13" s="275"/>
      <c r="N13" s="275"/>
      <c r="O13" s="276">
        <f>M13*N13</f>
        <v>0</v>
      </c>
      <c r="P13" s="277"/>
      <c r="S13" s="278"/>
      <c r="T13" s="277"/>
      <c r="W13" s="278"/>
      <c r="X13" s="277"/>
      <c r="AA13" s="278"/>
      <c r="AB13" s="277"/>
      <c r="AE13" s="278"/>
      <c r="AF13" s="277"/>
      <c r="AI13" s="278"/>
      <c r="AJ13" s="277"/>
      <c r="AM13" s="278"/>
      <c r="AN13" s="277"/>
      <c r="AQ13" s="278"/>
      <c r="AR13" s="277"/>
      <c r="AU13" s="278"/>
      <c r="AV13" s="277"/>
      <c r="AY13" s="278"/>
      <c r="AZ13" s="271">
        <f t="shared" si="3"/>
        <v>0</v>
      </c>
      <c r="BA13" s="272">
        <f t="shared" si="4"/>
        <v>0</v>
      </c>
      <c r="BC13" s="279">
        <f t="shared" si="5"/>
        <v>0</v>
      </c>
    </row>
    <row r="14" spans="1:55" x14ac:dyDescent="0.25">
      <c r="B14" s="24" t="s">
        <v>170</v>
      </c>
      <c r="C14" s="68" t="s">
        <v>173</v>
      </c>
      <c r="D14" s="271"/>
      <c r="E14" s="272"/>
      <c r="F14" s="272"/>
      <c r="G14" s="273">
        <f t="shared" si="6"/>
        <v>0</v>
      </c>
      <c r="H14" s="274"/>
      <c r="I14" s="275"/>
      <c r="J14" s="275"/>
      <c r="K14" s="298">
        <f t="shared" si="7"/>
        <v>0</v>
      </c>
      <c r="L14" s="274"/>
      <c r="M14" s="275"/>
      <c r="N14" s="275"/>
      <c r="O14" s="276">
        <f>M14*N14</f>
        <v>0</v>
      </c>
      <c r="P14" s="277"/>
      <c r="S14" s="278"/>
      <c r="T14" s="277"/>
      <c r="W14" s="278"/>
      <c r="X14" s="277"/>
      <c r="AA14" s="278"/>
      <c r="AB14" s="277"/>
      <c r="AE14" s="278"/>
      <c r="AF14" s="277"/>
      <c r="AI14" s="278"/>
      <c r="AJ14" s="277"/>
      <c r="AM14" s="278"/>
      <c r="AN14" s="277"/>
      <c r="AQ14" s="278"/>
      <c r="AR14" s="277"/>
      <c r="AU14" s="278"/>
      <c r="AV14" s="277"/>
      <c r="AY14" s="278"/>
      <c r="AZ14" s="271">
        <f t="shared" si="3"/>
        <v>0</v>
      </c>
      <c r="BA14" s="272">
        <f t="shared" si="4"/>
        <v>0</v>
      </c>
      <c r="BC14" s="279">
        <f t="shared" si="5"/>
        <v>0</v>
      </c>
    </row>
    <row r="15" spans="1:55" x14ac:dyDescent="0.25">
      <c r="B15" s="24" t="s">
        <v>170</v>
      </c>
      <c r="C15" s="68" t="s">
        <v>23</v>
      </c>
      <c r="D15" s="271"/>
      <c r="E15" s="272"/>
      <c r="F15" s="272"/>
      <c r="G15" s="273">
        <f t="shared" si="6"/>
        <v>0</v>
      </c>
      <c r="H15" s="274"/>
      <c r="I15" s="275"/>
      <c r="J15" s="275"/>
      <c r="K15" s="297">
        <f t="shared" si="7"/>
        <v>0</v>
      </c>
      <c r="L15" s="274"/>
      <c r="M15" s="275"/>
      <c r="N15" s="275"/>
      <c r="O15" s="299">
        <f>L15*N15</f>
        <v>0</v>
      </c>
      <c r="P15" s="277"/>
      <c r="S15" s="278"/>
      <c r="T15" s="277"/>
      <c r="W15" s="278"/>
      <c r="X15" s="277"/>
      <c r="AA15" s="278"/>
      <c r="AB15" s="277"/>
      <c r="AE15" s="278"/>
      <c r="AF15" s="277"/>
      <c r="AI15" s="278"/>
      <c r="AJ15" s="277"/>
      <c r="AM15" s="278"/>
      <c r="AN15" s="277"/>
      <c r="AQ15" s="278"/>
      <c r="AR15" s="277"/>
      <c r="AU15" s="278"/>
      <c r="AV15" s="277"/>
      <c r="AY15" s="278"/>
      <c r="AZ15" s="271">
        <f t="shared" si="3"/>
        <v>0</v>
      </c>
      <c r="BA15" s="272">
        <f t="shared" si="4"/>
        <v>0</v>
      </c>
      <c r="BC15" s="279">
        <f t="shared" si="5"/>
        <v>0</v>
      </c>
    </row>
    <row r="16" spans="1:55" x14ac:dyDescent="0.25">
      <c r="B16" s="24" t="s">
        <v>170</v>
      </c>
      <c r="C16" s="68" t="s">
        <v>24</v>
      </c>
      <c r="D16" s="271"/>
      <c r="E16" s="272"/>
      <c r="F16" s="272"/>
      <c r="G16" s="273">
        <f t="shared" si="6"/>
        <v>0</v>
      </c>
      <c r="H16" s="274"/>
      <c r="I16" s="275"/>
      <c r="J16" s="280"/>
      <c r="K16" s="298">
        <f t="shared" si="7"/>
        <v>0</v>
      </c>
      <c r="L16" s="274"/>
      <c r="M16" s="275"/>
      <c r="N16" s="275"/>
      <c r="O16" s="276">
        <f t="shared" ref="O16:O25" si="8">M16*N16</f>
        <v>0</v>
      </c>
      <c r="P16" s="277"/>
      <c r="S16" s="278"/>
      <c r="T16" s="277"/>
      <c r="W16" s="278"/>
      <c r="X16" s="277"/>
      <c r="AA16" s="278"/>
      <c r="AB16" s="277"/>
      <c r="AE16" s="278"/>
      <c r="AF16" s="277"/>
      <c r="AI16" s="278"/>
      <c r="AJ16" s="277"/>
      <c r="AM16" s="278"/>
      <c r="AN16" s="277"/>
      <c r="AQ16" s="278"/>
      <c r="AR16" s="277"/>
      <c r="AU16" s="278"/>
      <c r="AV16" s="277"/>
      <c r="AY16" s="278"/>
      <c r="AZ16" s="271">
        <f t="shared" si="3"/>
        <v>0</v>
      </c>
      <c r="BA16" s="272">
        <f t="shared" si="4"/>
        <v>0</v>
      </c>
      <c r="BC16" s="279">
        <f t="shared" si="5"/>
        <v>0</v>
      </c>
    </row>
    <row r="17" spans="1:55" x14ac:dyDescent="0.25">
      <c r="B17" s="24" t="s">
        <v>170</v>
      </c>
      <c r="C17" s="68" t="s">
        <v>26</v>
      </c>
      <c r="D17" s="271"/>
      <c r="E17" s="272"/>
      <c r="F17" s="272"/>
      <c r="G17" s="273">
        <f t="shared" si="6"/>
        <v>0</v>
      </c>
      <c r="H17" s="274"/>
      <c r="I17" s="275"/>
      <c r="J17" s="280"/>
      <c r="K17" s="298">
        <f t="shared" si="7"/>
        <v>0</v>
      </c>
      <c r="L17" s="274"/>
      <c r="M17" s="275"/>
      <c r="N17" s="275"/>
      <c r="O17" s="276">
        <f t="shared" si="8"/>
        <v>0</v>
      </c>
      <c r="P17" s="277"/>
      <c r="S17" s="278"/>
      <c r="T17" s="277"/>
      <c r="W17" s="278"/>
      <c r="X17" s="277"/>
      <c r="AA17" s="278"/>
      <c r="AB17" s="277"/>
      <c r="AE17" s="278"/>
      <c r="AF17" s="277"/>
      <c r="AI17" s="278"/>
      <c r="AJ17" s="277"/>
      <c r="AM17" s="278"/>
      <c r="AN17" s="277"/>
      <c r="AQ17" s="278"/>
      <c r="AR17" s="277"/>
      <c r="AU17" s="278"/>
      <c r="AV17" s="277"/>
      <c r="AY17" s="278"/>
      <c r="AZ17" s="271">
        <f t="shared" si="3"/>
        <v>0</v>
      </c>
      <c r="BA17" s="272">
        <f t="shared" si="4"/>
        <v>0</v>
      </c>
      <c r="BC17" s="279">
        <f t="shared" si="5"/>
        <v>0</v>
      </c>
    </row>
    <row r="18" spans="1:55" x14ac:dyDescent="0.25">
      <c r="B18" s="24" t="s">
        <v>170</v>
      </c>
      <c r="C18" s="68" t="s">
        <v>27</v>
      </c>
      <c r="D18" s="271"/>
      <c r="E18" s="272"/>
      <c r="F18" s="272"/>
      <c r="G18" s="273">
        <f t="shared" si="6"/>
        <v>0</v>
      </c>
      <c r="H18" s="274"/>
      <c r="I18" s="275"/>
      <c r="J18" s="275"/>
      <c r="K18" s="298">
        <f t="shared" si="7"/>
        <v>0</v>
      </c>
      <c r="L18" s="274"/>
      <c r="M18" s="275"/>
      <c r="N18" s="275"/>
      <c r="O18" s="276">
        <f t="shared" si="8"/>
        <v>0</v>
      </c>
      <c r="P18" s="277"/>
      <c r="S18" s="278"/>
      <c r="T18" s="277"/>
      <c r="W18" s="278"/>
      <c r="X18" s="277"/>
      <c r="AA18" s="278"/>
      <c r="AB18" s="277"/>
      <c r="AE18" s="278"/>
      <c r="AF18" s="277"/>
      <c r="AI18" s="278"/>
      <c r="AJ18" s="277"/>
      <c r="AM18" s="278"/>
      <c r="AN18" s="277"/>
      <c r="AQ18" s="278"/>
      <c r="AR18" s="277"/>
      <c r="AU18" s="278"/>
      <c r="AV18" s="277"/>
      <c r="AY18" s="278"/>
      <c r="AZ18" s="271">
        <f t="shared" si="3"/>
        <v>0</v>
      </c>
      <c r="BA18" s="272">
        <f t="shared" si="4"/>
        <v>0</v>
      </c>
      <c r="BC18" s="279">
        <f t="shared" si="5"/>
        <v>0</v>
      </c>
    </row>
    <row r="19" spans="1:55" x14ac:dyDescent="0.25">
      <c r="B19" s="24" t="s">
        <v>170</v>
      </c>
      <c r="C19" s="68" t="s">
        <v>29</v>
      </c>
      <c r="D19" s="271"/>
      <c r="E19" s="272"/>
      <c r="F19" s="272"/>
      <c r="G19" s="273">
        <f t="shared" si="6"/>
        <v>0</v>
      </c>
      <c r="H19" s="274"/>
      <c r="I19" s="275"/>
      <c r="J19" s="275"/>
      <c r="K19" s="297">
        <f t="shared" si="7"/>
        <v>0</v>
      </c>
      <c r="L19" s="274"/>
      <c r="M19" s="275"/>
      <c r="N19" s="275"/>
      <c r="O19" s="299">
        <f t="shared" si="8"/>
        <v>0</v>
      </c>
      <c r="P19" s="277"/>
      <c r="S19" s="278"/>
      <c r="T19" s="277"/>
      <c r="W19" s="278"/>
      <c r="X19" s="277"/>
      <c r="AA19" s="278"/>
      <c r="AB19" s="277"/>
      <c r="AE19" s="278"/>
      <c r="AF19" s="277"/>
      <c r="AI19" s="278"/>
      <c r="AJ19" s="277"/>
      <c r="AM19" s="278"/>
      <c r="AN19" s="277"/>
      <c r="AQ19" s="278"/>
      <c r="AR19" s="277"/>
      <c r="AU19" s="278"/>
      <c r="AV19" s="277"/>
      <c r="AY19" s="278"/>
      <c r="AZ19" s="271">
        <f t="shared" si="3"/>
        <v>0</v>
      </c>
      <c r="BA19" s="272">
        <f t="shared" si="4"/>
        <v>0</v>
      </c>
      <c r="BC19" s="279">
        <f t="shared" si="5"/>
        <v>0</v>
      </c>
    </row>
    <row r="20" spans="1:55" x14ac:dyDescent="0.25">
      <c r="B20" s="24" t="s">
        <v>170</v>
      </c>
      <c r="C20" s="68" t="s">
        <v>28</v>
      </c>
      <c r="D20" s="271"/>
      <c r="E20" s="272"/>
      <c r="F20" s="272"/>
      <c r="G20" s="273">
        <f t="shared" si="6"/>
        <v>0</v>
      </c>
      <c r="H20" s="274"/>
      <c r="I20" s="275"/>
      <c r="J20" s="275"/>
      <c r="K20" s="298">
        <f t="shared" si="7"/>
        <v>0</v>
      </c>
      <c r="L20" s="274"/>
      <c r="M20" s="275"/>
      <c r="N20" s="275"/>
      <c r="O20" s="276">
        <f t="shared" si="8"/>
        <v>0</v>
      </c>
      <c r="P20" s="277"/>
      <c r="S20" s="278"/>
      <c r="T20" s="277"/>
      <c r="W20" s="278"/>
      <c r="X20" s="277"/>
      <c r="AA20" s="278"/>
      <c r="AB20" s="277"/>
      <c r="AE20" s="278"/>
      <c r="AF20" s="277"/>
      <c r="AI20" s="278"/>
      <c r="AJ20" s="277"/>
      <c r="AM20" s="278"/>
      <c r="AN20" s="277"/>
      <c r="AQ20" s="278"/>
      <c r="AR20" s="277"/>
      <c r="AU20" s="278"/>
      <c r="AV20" s="277"/>
      <c r="AY20" s="278"/>
      <c r="AZ20" s="271">
        <f t="shared" si="3"/>
        <v>0</v>
      </c>
      <c r="BA20" s="272">
        <f t="shared" si="4"/>
        <v>0</v>
      </c>
      <c r="BC20" s="279">
        <f t="shared" si="5"/>
        <v>0</v>
      </c>
    </row>
    <row r="21" spans="1:55" x14ac:dyDescent="0.25">
      <c r="B21" s="24" t="s">
        <v>170</v>
      </c>
      <c r="C21" s="68" t="s">
        <v>31</v>
      </c>
      <c r="D21" s="271"/>
      <c r="E21" s="272"/>
      <c r="F21" s="272"/>
      <c r="G21" s="273">
        <f t="shared" si="6"/>
        <v>0</v>
      </c>
      <c r="H21" s="274"/>
      <c r="I21" s="275"/>
      <c r="J21" s="275"/>
      <c r="K21" s="297">
        <f t="shared" si="7"/>
        <v>0</v>
      </c>
      <c r="L21" s="274"/>
      <c r="M21" s="275"/>
      <c r="N21" s="275"/>
      <c r="O21" s="299">
        <f t="shared" si="8"/>
        <v>0</v>
      </c>
      <c r="P21" s="277"/>
      <c r="S21" s="278"/>
      <c r="T21" s="277"/>
      <c r="W21" s="278"/>
      <c r="X21" s="277"/>
      <c r="AA21" s="278"/>
      <c r="AB21" s="277"/>
      <c r="AE21" s="278"/>
      <c r="AF21" s="277"/>
      <c r="AI21" s="278"/>
      <c r="AJ21" s="277"/>
      <c r="AM21" s="278"/>
      <c r="AN21" s="277"/>
      <c r="AQ21" s="278"/>
      <c r="AR21" s="277"/>
      <c r="AU21" s="278"/>
      <c r="AV21" s="277"/>
      <c r="AY21" s="278"/>
      <c r="AZ21" s="271">
        <f t="shared" si="3"/>
        <v>0</v>
      </c>
      <c r="BA21" s="272">
        <f t="shared" si="4"/>
        <v>0</v>
      </c>
      <c r="BC21" s="279">
        <f t="shared" si="5"/>
        <v>0</v>
      </c>
    </row>
    <row r="22" spans="1:55" x14ac:dyDescent="0.25">
      <c r="B22" s="24" t="s">
        <v>170</v>
      </c>
      <c r="C22" s="68" t="s">
        <v>32</v>
      </c>
      <c r="D22" s="271"/>
      <c r="E22" s="272"/>
      <c r="F22" s="272"/>
      <c r="G22" s="273">
        <f t="shared" si="6"/>
        <v>0</v>
      </c>
      <c r="H22" s="274"/>
      <c r="I22" s="275"/>
      <c r="J22" s="275"/>
      <c r="K22" s="297">
        <f t="shared" si="7"/>
        <v>0</v>
      </c>
      <c r="L22" s="274"/>
      <c r="M22" s="275"/>
      <c r="N22" s="275"/>
      <c r="O22" s="299">
        <f t="shared" si="8"/>
        <v>0</v>
      </c>
      <c r="P22" s="277"/>
      <c r="S22" s="278"/>
      <c r="T22" s="277"/>
      <c r="W22" s="278"/>
      <c r="X22" s="277"/>
      <c r="AA22" s="278"/>
      <c r="AB22" s="277"/>
      <c r="AE22" s="278"/>
      <c r="AF22" s="277"/>
      <c r="AI22" s="278"/>
      <c r="AJ22" s="277"/>
      <c r="AM22" s="278"/>
      <c r="AN22" s="277"/>
      <c r="AQ22" s="278"/>
      <c r="AR22" s="277"/>
      <c r="AU22" s="278"/>
      <c r="AV22" s="277"/>
      <c r="AY22" s="278"/>
      <c r="AZ22" s="271">
        <f t="shared" si="3"/>
        <v>0</v>
      </c>
      <c r="BA22" s="272">
        <f t="shared" si="4"/>
        <v>0</v>
      </c>
      <c r="BC22" s="279">
        <f t="shared" si="5"/>
        <v>0</v>
      </c>
    </row>
    <row r="23" spans="1:55" x14ac:dyDescent="0.25">
      <c r="B23" s="24" t="s">
        <v>170</v>
      </c>
      <c r="C23" s="68" t="s">
        <v>33</v>
      </c>
      <c r="D23" s="271"/>
      <c r="E23" s="272"/>
      <c r="F23" s="272"/>
      <c r="G23" s="273">
        <f t="shared" si="6"/>
        <v>0</v>
      </c>
      <c r="H23" s="274"/>
      <c r="I23" s="275"/>
      <c r="J23" s="275"/>
      <c r="K23" s="297">
        <f t="shared" si="7"/>
        <v>0</v>
      </c>
      <c r="L23" s="274"/>
      <c r="M23" s="275"/>
      <c r="N23" s="275"/>
      <c r="O23" s="299">
        <f t="shared" si="8"/>
        <v>0</v>
      </c>
      <c r="P23" s="277"/>
      <c r="S23" s="278"/>
      <c r="T23" s="277"/>
      <c r="W23" s="278"/>
      <c r="X23" s="277"/>
      <c r="AA23" s="278"/>
      <c r="AB23" s="277"/>
      <c r="AE23" s="278"/>
      <c r="AF23" s="277"/>
      <c r="AI23" s="278"/>
      <c r="AJ23" s="277"/>
      <c r="AM23" s="278"/>
      <c r="AN23" s="277"/>
      <c r="AQ23" s="278"/>
      <c r="AR23" s="277"/>
      <c r="AU23" s="278"/>
      <c r="AV23" s="277"/>
      <c r="AY23" s="278"/>
      <c r="AZ23" s="271">
        <f t="shared" si="3"/>
        <v>0</v>
      </c>
      <c r="BA23" s="272">
        <f t="shared" si="4"/>
        <v>0</v>
      </c>
      <c r="BC23" s="279">
        <f t="shared" si="5"/>
        <v>0</v>
      </c>
    </row>
    <row r="24" spans="1:55" x14ac:dyDescent="0.25">
      <c r="B24" s="24" t="s">
        <v>170</v>
      </c>
      <c r="C24" s="68" t="s">
        <v>35</v>
      </c>
      <c r="D24" s="271"/>
      <c r="E24" s="272"/>
      <c r="F24" s="272"/>
      <c r="G24" s="273">
        <f t="shared" si="6"/>
        <v>0</v>
      </c>
      <c r="H24" s="274"/>
      <c r="I24" s="275"/>
      <c r="J24" s="275"/>
      <c r="K24" s="297">
        <f t="shared" si="7"/>
        <v>0</v>
      </c>
      <c r="L24" s="274"/>
      <c r="M24" s="275"/>
      <c r="N24" s="275"/>
      <c r="O24" s="299">
        <f t="shared" si="8"/>
        <v>0</v>
      </c>
      <c r="P24" s="277"/>
      <c r="S24" s="278"/>
      <c r="T24" s="277"/>
      <c r="W24" s="278"/>
      <c r="X24" s="277"/>
      <c r="AA24" s="278"/>
      <c r="AB24" s="277"/>
      <c r="AE24" s="278"/>
      <c r="AF24" s="277"/>
      <c r="AI24" s="278"/>
      <c r="AJ24" s="277"/>
      <c r="AM24" s="278"/>
      <c r="AN24" s="277"/>
      <c r="AQ24" s="278"/>
      <c r="AR24" s="277"/>
      <c r="AU24" s="278"/>
      <c r="AV24" s="277"/>
      <c r="AY24" s="278"/>
      <c r="AZ24" s="271">
        <f t="shared" si="3"/>
        <v>0</v>
      </c>
      <c r="BA24" s="272">
        <f t="shared" si="4"/>
        <v>0</v>
      </c>
      <c r="BC24" s="279">
        <f t="shared" si="5"/>
        <v>0</v>
      </c>
    </row>
    <row r="25" spans="1:55" x14ac:dyDescent="0.25">
      <c r="B25" s="24" t="s">
        <v>170</v>
      </c>
      <c r="C25" s="68" t="s">
        <v>36</v>
      </c>
      <c r="D25" s="271"/>
      <c r="E25" s="272"/>
      <c r="F25" s="272"/>
      <c r="G25" s="273">
        <f t="shared" si="6"/>
        <v>0</v>
      </c>
      <c r="H25" s="274"/>
      <c r="I25" s="275"/>
      <c r="J25" s="275"/>
      <c r="K25" s="297">
        <f t="shared" si="7"/>
        <v>0</v>
      </c>
      <c r="L25" s="274"/>
      <c r="M25" s="275"/>
      <c r="N25" s="275"/>
      <c r="O25" s="299">
        <f t="shared" si="8"/>
        <v>0</v>
      </c>
      <c r="P25" s="277"/>
      <c r="S25" s="278"/>
      <c r="T25" s="277"/>
      <c r="W25" s="278"/>
      <c r="X25" s="277"/>
      <c r="AA25" s="278"/>
      <c r="AB25" s="277"/>
      <c r="AE25" s="278"/>
      <c r="AF25" s="277"/>
      <c r="AI25" s="278"/>
      <c r="AJ25" s="277"/>
      <c r="AM25" s="278"/>
      <c r="AN25" s="277"/>
      <c r="AQ25" s="278"/>
      <c r="AR25" s="277"/>
      <c r="AU25" s="278"/>
      <c r="AV25" s="277"/>
      <c r="AY25" s="278"/>
      <c r="AZ25" s="271">
        <f t="shared" si="3"/>
        <v>0</v>
      </c>
      <c r="BA25" s="272">
        <f t="shared" si="4"/>
        <v>0</v>
      </c>
      <c r="BC25" s="279">
        <f t="shared" si="5"/>
        <v>0</v>
      </c>
    </row>
    <row r="26" spans="1:55" x14ac:dyDescent="0.25">
      <c r="B26" s="24" t="s">
        <v>170</v>
      </c>
      <c r="C26" s="68" t="s">
        <v>58</v>
      </c>
      <c r="D26" s="300"/>
      <c r="E26" s="272"/>
      <c r="F26" s="272"/>
      <c r="G26" s="273"/>
      <c r="H26" s="274"/>
      <c r="I26" s="275"/>
      <c r="J26" s="275"/>
      <c r="K26" s="297"/>
      <c r="L26" s="274"/>
      <c r="M26" s="275"/>
      <c r="N26" s="275"/>
      <c r="O26" s="276"/>
      <c r="P26" s="277"/>
      <c r="S26" s="278"/>
      <c r="T26" s="277"/>
      <c r="W26" s="278"/>
      <c r="X26" s="277"/>
      <c r="AA26" s="278"/>
      <c r="AB26" s="277"/>
      <c r="AE26" s="278"/>
      <c r="AF26" s="277"/>
      <c r="AI26" s="278"/>
      <c r="AJ26" s="277"/>
      <c r="AM26" s="278"/>
      <c r="AN26" s="277"/>
      <c r="AQ26" s="278"/>
      <c r="AR26" s="277"/>
      <c r="AU26" s="278"/>
      <c r="AV26" s="277"/>
      <c r="AY26" s="278"/>
      <c r="AZ26" s="271">
        <f t="shared" si="3"/>
        <v>0</v>
      </c>
      <c r="BA26" s="272">
        <f t="shared" si="4"/>
        <v>0</v>
      </c>
      <c r="BC26" s="279">
        <f t="shared" si="5"/>
        <v>0</v>
      </c>
    </row>
    <row r="27" spans="1:55" ht="15.75" thickBot="1" x14ac:dyDescent="0.3">
      <c r="B27" s="281" t="s">
        <v>2</v>
      </c>
      <c r="C27" s="282"/>
      <c r="D27" s="283">
        <f>SUM(D4:D26)</f>
        <v>0</v>
      </c>
      <c r="E27" s="284">
        <f>SUM(E4:E26)</f>
        <v>0</v>
      </c>
      <c r="F27" s="284"/>
      <c r="G27" s="285">
        <f>SUM(G4:G25)</f>
        <v>0</v>
      </c>
      <c r="H27" s="283">
        <f>SUM(H4:H26)</f>
        <v>0</v>
      </c>
      <c r="I27" s="284">
        <f>SUM(I4:I26)</f>
        <v>0</v>
      </c>
      <c r="J27" s="284"/>
      <c r="K27" s="285">
        <f>SUM(K4:K25)</f>
        <v>0</v>
      </c>
      <c r="L27" s="283">
        <f>SUM(L4:L26)</f>
        <v>0</v>
      </c>
      <c r="M27" s="284">
        <f>SUM(M4:M26)</f>
        <v>0</v>
      </c>
      <c r="N27" s="284"/>
      <c r="O27" s="285">
        <f>SUM(O4:O25)</f>
        <v>0</v>
      </c>
      <c r="P27" s="283">
        <f>SUM(P4:P26)</f>
        <v>0</v>
      </c>
      <c r="Q27" s="284">
        <f>SUM(Q4:Q26)</f>
        <v>0</v>
      </c>
      <c r="R27" s="284"/>
      <c r="S27" s="285"/>
      <c r="T27" s="283">
        <f>SUM(T4:T26)</f>
        <v>0</v>
      </c>
      <c r="U27" s="284">
        <f>SUM(U4:U26)</f>
        <v>0</v>
      </c>
      <c r="V27" s="284"/>
      <c r="W27" s="285">
        <f>SUM(W4:W25)</f>
        <v>0</v>
      </c>
      <c r="X27" s="283">
        <f>SUM(X4:X26)</f>
        <v>0</v>
      </c>
      <c r="Y27" s="284">
        <f>SUM(Y4:Y26)</f>
        <v>0</v>
      </c>
      <c r="Z27" s="284"/>
      <c r="AA27" s="285">
        <f>SUM(AA4:AA25)</f>
        <v>0</v>
      </c>
      <c r="AB27" s="283">
        <f>SUM(AB4:AB26)</f>
        <v>0</v>
      </c>
      <c r="AC27" s="284">
        <f>SUM(AC4:AC26)</f>
        <v>0</v>
      </c>
      <c r="AD27" s="284"/>
      <c r="AE27" s="285">
        <f>SUM(AE4:AE25)</f>
        <v>0</v>
      </c>
      <c r="AF27" s="283">
        <f>SUM(AF4:AF26)</f>
        <v>0</v>
      </c>
      <c r="AG27" s="284">
        <f>SUM(AG4:AG26)</f>
        <v>0</v>
      </c>
      <c r="AH27" s="284"/>
      <c r="AI27" s="285">
        <f>SUM(AI4:AI25)</f>
        <v>0</v>
      </c>
      <c r="AJ27" s="283">
        <f>SUM(AJ4:AJ26)</f>
        <v>0</v>
      </c>
      <c r="AK27" s="284">
        <f>SUM(AK4:AK26)</f>
        <v>0</v>
      </c>
      <c r="AL27" s="284"/>
      <c r="AM27" s="285">
        <f>SUM(AM4:AM25)</f>
        <v>0</v>
      </c>
      <c r="AN27" s="283">
        <f>SUM(AN4:AN26)</f>
        <v>0</v>
      </c>
      <c r="AO27" s="284">
        <f>SUM(AO4:AO26)</f>
        <v>0</v>
      </c>
      <c r="AP27" s="284"/>
      <c r="AQ27" s="285">
        <f>SUM(AQ4:AQ25)</f>
        <v>0</v>
      </c>
      <c r="AR27" s="283">
        <f>SUM(AR4:AR26)</f>
        <v>0</v>
      </c>
      <c r="AS27" s="284">
        <f>SUM(AS4:AS26)</f>
        <v>0</v>
      </c>
      <c r="AT27" s="284"/>
      <c r="AU27" s="285">
        <f>SUM(AU4:AU25)</f>
        <v>0</v>
      </c>
      <c r="AV27" s="283">
        <f>SUM(AV4:AV26)</f>
        <v>0</v>
      </c>
      <c r="AW27" s="284">
        <f>SUM(AW4:AW26)</f>
        <v>0</v>
      </c>
      <c r="AX27" s="284"/>
      <c r="AY27" s="285">
        <f>SUM(AY4:AY25)</f>
        <v>0</v>
      </c>
      <c r="AZ27" s="286">
        <f>SUM(AZ4:AZ26)</f>
        <v>0</v>
      </c>
      <c r="BA27" s="286">
        <f>SUM(BA4:BA26)</f>
        <v>0</v>
      </c>
      <c r="BB27" s="282"/>
      <c r="BC27" s="287">
        <f>SUM(BC4:BC26)</f>
        <v>0</v>
      </c>
    </row>
    <row r="28" spans="1:55" x14ac:dyDescent="0.25">
      <c r="D28" s="272"/>
      <c r="E28" s="272"/>
      <c r="F28" s="272"/>
      <c r="G28" s="272"/>
      <c r="H28" s="272"/>
      <c r="I28" s="272"/>
      <c r="J28" s="272"/>
      <c r="K28" s="272"/>
      <c r="L28" s="272"/>
      <c r="M28" s="272"/>
      <c r="N28" s="272"/>
      <c r="O28" s="272"/>
      <c r="P28" s="272"/>
      <c r="Q28" s="272"/>
      <c r="R28" s="272"/>
      <c r="S28" s="272"/>
      <c r="T28" s="272"/>
      <c r="U28" s="272"/>
      <c r="V28" s="272"/>
      <c r="W28" s="272"/>
      <c r="X28" s="272"/>
      <c r="Y28" s="272"/>
      <c r="Z28" s="272"/>
      <c r="AA28" s="272"/>
      <c r="AB28" s="272"/>
      <c r="AC28" s="272"/>
      <c r="AD28" s="272"/>
      <c r="AE28" s="272"/>
      <c r="AF28" s="272"/>
      <c r="AG28" s="272"/>
      <c r="AH28" s="272"/>
      <c r="AI28" s="272"/>
      <c r="AJ28" s="272"/>
      <c r="AK28" s="272"/>
      <c r="AL28" s="272"/>
      <c r="AM28" s="272"/>
      <c r="AN28" s="272"/>
      <c r="AO28" s="272"/>
      <c r="AP28" s="272"/>
      <c r="AQ28" s="272"/>
      <c r="AR28" s="272"/>
      <c r="AS28" s="272"/>
      <c r="AT28" s="272"/>
      <c r="AU28" s="272"/>
      <c r="AV28" s="272"/>
      <c r="AW28" s="272"/>
      <c r="AX28" s="272"/>
      <c r="AY28" s="272"/>
      <c r="AZ28" s="288">
        <f>D27+H27+L27+P27+T27+X27+AB27+AF27+AJ27+AN27+AR27+AV27</f>
        <v>0</v>
      </c>
      <c r="BA28" s="288">
        <f>E27+I27+M27+Q27+U27+Y27+AC27+AG27+AK27+AO27+AS27+AW27</f>
        <v>0</v>
      </c>
      <c r="BC28" s="288">
        <f>G27+K27+O27+S27+W27+AA27+AE27+AI27+AM27+AQ27+AU27+AY27</f>
        <v>0</v>
      </c>
    </row>
    <row r="29" spans="1:55" x14ac:dyDescent="0.25">
      <c r="A29" s="272" t="s">
        <v>2</v>
      </c>
      <c r="B29" s="289" t="s">
        <v>172</v>
      </c>
      <c r="C29" s="272"/>
      <c r="D29" s="272">
        <f>SUMIF($B$4:$B$26,$B$29,D4:D26)</f>
        <v>0</v>
      </c>
      <c r="E29" s="272"/>
      <c r="F29" s="272"/>
      <c r="G29" s="272">
        <f>SUMIF($B$4:$B$25,$B$29,G4:G25)</f>
        <v>0</v>
      </c>
      <c r="H29" s="272">
        <f>SUMIF($B$4:$B$26,$B$29,H4:H26)</f>
        <v>0</v>
      </c>
      <c r="I29" s="272"/>
      <c r="J29" s="272"/>
      <c r="K29" s="272">
        <f>SUMIF($B$4:$B$25,$B$29,K4:K25)</f>
        <v>0</v>
      </c>
      <c r="L29" s="272">
        <f>SUMIF($B$4:$B$26,$B$29,L4:L26)</f>
        <v>0</v>
      </c>
      <c r="M29" s="272"/>
      <c r="N29" s="272"/>
      <c r="O29" s="272">
        <f>SUMIF($B$4:$B$25,$B$29,O4:O25)</f>
        <v>0</v>
      </c>
      <c r="P29" s="272">
        <f>SUMIF($B$4:$B$26,$B$29,P4:P26)</f>
        <v>0</v>
      </c>
      <c r="Q29" s="272"/>
      <c r="R29" s="272"/>
      <c r="S29" s="272"/>
      <c r="T29" s="272">
        <f>SUMIF($B$4:$B$26,$B$29,T4:T26)</f>
        <v>0</v>
      </c>
      <c r="U29" s="272"/>
      <c r="V29" s="272"/>
      <c r="W29" s="272">
        <f>SUMIF($B$4:$B$25,$B$29,W4:W25)</f>
        <v>0</v>
      </c>
      <c r="X29" s="272">
        <f>SUMIF($B$4:$B$26,$B$29,X4:X26)</f>
        <v>0</v>
      </c>
      <c r="Y29" s="272"/>
      <c r="Z29" s="272"/>
      <c r="AA29" s="272">
        <f>SUMIF($B$4:$B$25,$B$29,AA4:AA25)</f>
        <v>0</v>
      </c>
      <c r="AB29" s="272">
        <f>SUMIF($B$4:$B$26,$B$29,AB4:AB26)</f>
        <v>0</v>
      </c>
      <c r="AC29" s="272"/>
      <c r="AD29" s="272"/>
      <c r="AE29" s="272">
        <f>SUMIF($B$4:$B$25,$B$29,AE4:AE25)</f>
        <v>0</v>
      </c>
      <c r="AF29" s="272">
        <f>SUMIF($B$4:$B$26,$B$29,AF4:AF26)</f>
        <v>0</v>
      </c>
      <c r="AG29" s="272"/>
      <c r="AH29" s="272"/>
      <c r="AI29" s="272">
        <f>SUMIF($B$4:$B$25,$B$29,AI4:AI25)</f>
        <v>0</v>
      </c>
      <c r="AJ29" s="272">
        <f>SUMIF($B$4:$B$26,$B$29,AJ4:AJ26)</f>
        <v>0</v>
      </c>
      <c r="AK29" s="272"/>
      <c r="AL29" s="272"/>
      <c r="AM29" s="272">
        <f>SUMIF($B$4:$B$25,$B$29,AM4:AM25)</f>
        <v>0</v>
      </c>
      <c r="AN29" s="272">
        <f>SUMIF($B$4:$B$26,$B$29,AN4:AN26)</f>
        <v>0</v>
      </c>
      <c r="AO29" s="272"/>
      <c r="AP29" s="272"/>
      <c r="AQ29" s="272">
        <f>SUMIF($B$4:$B$25,$B$29,AQ4:AQ25)</f>
        <v>0</v>
      </c>
      <c r="AR29" s="272">
        <f>SUMIF($B$4:$B$26,$B$29,AR4:AR26)</f>
        <v>0</v>
      </c>
      <c r="AS29" s="272"/>
      <c r="AT29" s="272"/>
      <c r="AU29" s="272">
        <f>SUMIF($B$4:$B$25,$B$29,AU4:AU25)</f>
        <v>0</v>
      </c>
      <c r="AV29" s="272">
        <f>SUMIF($B$4:$B$26,$B$29,AV4:AV26)</f>
        <v>0</v>
      </c>
      <c r="AW29" s="272"/>
      <c r="AX29" s="272"/>
      <c r="AY29" s="272">
        <f>SUMIF($B$4:$B$25,$B$29,AY4:AY25)</f>
        <v>0</v>
      </c>
      <c r="AZ29" s="272">
        <f>SUMIF($B$4:$B$25,$B$29,AZ4:AZ25)</f>
        <v>0</v>
      </c>
      <c r="BA29" s="272"/>
      <c r="BB29" s="272"/>
      <c r="BC29" s="272">
        <f>SUMIF($B$4:$B$25,$B$29,BC4:BC25)</f>
        <v>0</v>
      </c>
    </row>
    <row r="30" spans="1:55" x14ac:dyDescent="0.25">
      <c r="A30" s="272"/>
      <c r="B30" s="272"/>
      <c r="C30" s="272"/>
      <c r="D30" s="272"/>
      <c r="E30" s="272"/>
      <c r="F30" s="272"/>
      <c r="G30" s="272"/>
      <c r="H30" s="272"/>
      <c r="I30" s="272"/>
      <c r="J30" s="272"/>
      <c r="K30" s="272"/>
      <c r="L30" s="272"/>
      <c r="M30" s="272"/>
      <c r="N30" s="272"/>
      <c r="O30" s="272"/>
      <c r="P30" s="272"/>
      <c r="Q30" s="272"/>
      <c r="R30" s="272"/>
      <c r="S30" s="272"/>
      <c r="T30" s="272"/>
      <c r="U30" s="272"/>
      <c r="V30" s="272"/>
      <c r="W30" s="272"/>
      <c r="X30" s="272"/>
      <c r="Y30" s="272"/>
      <c r="Z30" s="272"/>
      <c r="AA30" s="272"/>
      <c r="AB30" s="272"/>
      <c r="AC30" s="272"/>
      <c r="AD30" s="272"/>
      <c r="AE30" s="272"/>
      <c r="AF30" s="272"/>
      <c r="AG30" s="272"/>
      <c r="AH30" s="272"/>
      <c r="AI30" s="272"/>
      <c r="AJ30" s="272"/>
      <c r="AK30" s="272"/>
      <c r="AL30" s="272"/>
      <c r="AM30" s="272"/>
      <c r="AN30" s="272"/>
      <c r="AO30" s="272"/>
      <c r="AP30" s="272"/>
      <c r="AQ30" s="272"/>
      <c r="AR30" s="272"/>
      <c r="AS30" s="272"/>
      <c r="AT30" s="272"/>
      <c r="AU30" s="272"/>
      <c r="AV30" s="272"/>
      <c r="AW30" s="272"/>
      <c r="AX30" s="272"/>
      <c r="AY30" s="272"/>
      <c r="AZ30" s="272"/>
      <c r="BA30" s="272"/>
      <c r="BB30" s="272"/>
      <c r="BC30" s="272"/>
    </row>
    <row r="31" spans="1:55" ht="15.75" thickBot="1" x14ac:dyDescent="0.3">
      <c r="A31" s="272" t="s">
        <v>2</v>
      </c>
      <c r="B31" s="272" t="s">
        <v>170</v>
      </c>
      <c r="C31" s="272"/>
      <c r="D31" s="290">
        <f>SUMIF($B$4:$B$26,$B$31,D4:D26)</f>
        <v>0</v>
      </c>
      <c r="E31" s="290"/>
      <c r="F31" s="290"/>
      <c r="G31" s="290">
        <f>SUMIF($B$4:$B$25,$B$31,G4:G25)</f>
        <v>0</v>
      </c>
      <c r="H31" s="290">
        <f>SUMIF($B$4:$B$26,$B$31,H4:H26)</f>
        <v>0</v>
      </c>
      <c r="I31" s="290"/>
      <c r="J31" s="290"/>
      <c r="K31" s="290">
        <f>SUMIF($B$4:$B$25,$B$31,K4:K25)</f>
        <v>0</v>
      </c>
      <c r="L31" s="290">
        <f>SUMIF($B$4:$B$26,$B$31,L4:L26)</f>
        <v>0</v>
      </c>
      <c r="M31" s="290"/>
      <c r="N31" s="290"/>
      <c r="O31" s="290">
        <f>SUMIF($B$4:$B$25,$B$31,O4:O25)</f>
        <v>0</v>
      </c>
      <c r="P31" s="290">
        <f>SUMIF($B$4:$B$26,$B$31,P4:P26)</f>
        <v>0</v>
      </c>
      <c r="Q31" s="290"/>
      <c r="R31" s="290"/>
      <c r="S31" s="290"/>
      <c r="T31" s="290">
        <f>SUMIF($B$4:$B$26,$B$31,T4:T26)</f>
        <v>0</v>
      </c>
      <c r="U31" s="290"/>
      <c r="V31" s="290"/>
      <c r="W31" s="290">
        <f>SUMIF($B$4:$B$25,$B$31,W4:W25)</f>
        <v>0</v>
      </c>
      <c r="X31" s="290">
        <f>SUMIF($B$4:$B$26,$B$31,X4:X26)</f>
        <v>0</v>
      </c>
      <c r="Y31" s="290"/>
      <c r="Z31" s="290"/>
      <c r="AA31" s="290">
        <f>SUMIF($B$4:$B$25,$B$31,AA4:AA25)</f>
        <v>0</v>
      </c>
      <c r="AB31" s="290">
        <f>SUMIF($B$4:$B$26,$B$31,AB4:AB26)</f>
        <v>0</v>
      </c>
      <c r="AC31" s="290"/>
      <c r="AD31" s="290"/>
      <c r="AE31" s="290">
        <f>SUMIF($B$4:$B$25,$B$31,AE4:AE25)</f>
        <v>0</v>
      </c>
      <c r="AF31" s="290">
        <f>SUMIF($B$4:$B$26,$B$31,AF4:AF26)</f>
        <v>0</v>
      </c>
      <c r="AG31" s="290"/>
      <c r="AH31" s="290"/>
      <c r="AI31" s="290">
        <f>SUMIF($B$4:$B$25,$B$31,AI4:AI25)</f>
        <v>0</v>
      </c>
      <c r="AJ31" s="290">
        <f>SUMIF($B$4:$B$26,$B$31,AJ4:AJ26)</f>
        <v>0</v>
      </c>
      <c r="AK31" s="290"/>
      <c r="AL31" s="290"/>
      <c r="AM31" s="290">
        <f>SUMIF($B$4:$B$25,$B$31,AM4:AM25)</f>
        <v>0</v>
      </c>
      <c r="AN31" s="290">
        <f>SUMIF($B$4:$B$26,$B$31,AN4:AN26)</f>
        <v>0</v>
      </c>
      <c r="AO31" s="290"/>
      <c r="AP31" s="290"/>
      <c r="AQ31" s="290">
        <f>SUMIF($B$4:$B$25,$B$31,AQ4:AQ25)</f>
        <v>0</v>
      </c>
      <c r="AR31" s="290">
        <f>SUMIF($B$4:$B$26,$B$31,AR4:AR26)</f>
        <v>0</v>
      </c>
      <c r="AS31" s="290"/>
      <c r="AT31" s="290"/>
      <c r="AU31" s="290">
        <f>SUMIF($B$4:$B$25,$B$31,AU4:AU25)</f>
        <v>0</v>
      </c>
      <c r="AV31" s="290">
        <f>SUMIF($B$4:$B$26,$B$31,AV4:AV26)</f>
        <v>0</v>
      </c>
      <c r="AW31" s="290"/>
      <c r="AX31" s="290"/>
      <c r="AY31" s="290">
        <f>SUMIF($B$4:$B$25,$B$31,AY4:AY25)</f>
        <v>0</v>
      </c>
      <c r="AZ31" s="290">
        <f>SUMIF($B$4:$B$25,$B$31,AZ4:AZ25)</f>
        <v>0</v>
      </c>
      <c r="BA31" s="290"/>
      <c r="BB31" s="290"/>
      <c r="BC31" s="290">
        <f>SUMIF($B$4:$B$25,$B$31,BC4:BC25)</f>
        <v>0</v>
      </c>
    </row>
    <row r="32" spans="1:55" x14ac:dyDescent="0.25">
      <c r="A32" s="272"/>
      <c r="B32" s="272" t="s">
        <v>2</v>
      </c>
      <c r="C32" s="272"/>
      <c r="D32" s="272">
        <f>D29+D31</f>
        <v>0</v>
      </c>
      <c r="E32" s="272"/>
      <c r="F32" s="272"/>
      <c r="G32" s="272">
        <f>G29+G31</f>
        <v>0</v>
      </c>
      <c r="H32" s="272">
        <f>H29+H31</f>
        <v>0</v>
      </c>
      <c r="I32" s="272"/>
      <c r="J32" s="272"/>
      <c r="K32" s="272">
        <f>K29+K31</f>
        <v>0</v>
      </c>
      <c r="L32" s="272">
        <f>L29+L31</f>
        <v>0</v>
      </c>
      <c r="M32" s="272"/>
      <c r="N32" s="272"/>
      <c r="O32" s="272">
        <f>O29+O31</f>
        <v>0</v>
      </c>
      <c r="P32" s="272">
        <f>P29+P31</f>
        <v>0</v>
      </c>
      <c r="Q32" s="272"/>
      <c r="R32" s="272"/>
      <c r="S32" s="272"/>
      <c r="T32" s="272">
        <f>T29+T31</f>
        <v>0</v>
      </c>
      <c r="U32" s="272"/>
      <c r="V32" s="272"/>
      <c r="W32" s="272">
        <f>W29+W31</f>
        <v>0</v>
      </c>
      <c r="X32" s="272">
        <f>X29+X31</f>
        <v>0</v>
      </c>
      <c r="Y32" s="272"/>
      <c r="Z32" s="272"/>
      <c r="AA32" s="272">
        <f>AA29+AA31</f>
        <v>0</v>
      </c>
      <c r="AB32" s="272">
        <f>AB29+AB31</f>
        <v>0</v>
      </c>
      <c r="AC32" s="272"/>
      <c r="AD32" s="272"/>
      <c r="AE32" s="272">
        <f>AE29+AE31</f>
        <v>0</v>
      </c>
      <c r="AF32" s="272">
        <f>AF29+AF31</f>
        <v>0</v>
      </c>
      <c r="AG32" s="272"/>
      <c r="AH32" s="272"/>
      <c r="AI32" s="272">
        <f>AI29+AI31</f>
        <v>0</v>
      </c>
      <c r="AJ32" s="272">
        <f>AJ29+AJ31</f>
        <v>0</v>
      </c>
      <c r="AK32" s="272"/>
      <c r="AL32" s="272"/>
      <c r="AM32" s="272">
        <f>AM29+AM31</f>
        <v>0</v>
      </c>
      <c r="AN32" s="272">
        <f>AN29+AN31</f>
        <v>0</v>
      </c>
      <c r="AO32" s="272"/>
      <c r="AP32" s="272"/>
      <c r="AQ32" s="272">
        <f>AQ29+AQ31</f>
        <v>0</v>
      </c>
      <c r="AR32" s="272">
        <f>AR29+AR31</f>
        <v>0</v>
      </c>
      <c r="AS32" s="272"/>
      <c r="AT32" s="272"/>
      <c r="AU32" s="272">
        <f>AU29+AU31</f>
        <v>0</v>
      </c>
      <c r="AV32" s="272">
        <f>AV29+AV31</f>
        <v>0</v>
      </c>
      <c r="AW32" s="272"/>
      <c r="AX32" s="272"/>
      <c r="AY32" s="272">
        <f>AY29+AY31</f>
        <v>0</v>
      </c>
      <c r="AZ32" s="272">
        <f>AZ29+AZ31</f>
        <v>0</v>
      </c>
      <c r="BA32" s="272"/>
      <c r="BB32" s="272"/>
      <c r="BC32" s="272">
        <f>BC29+BC31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73C81-8F35-45A5-B065-EDA03E56F16C}">
  <sheetPr codeName="Sheet5"/>
  <dimension ref="A1"/>
  <sheetViews>
    <sheetView workbookViewId="0">
      <selection activeCell="A2" sqref="A2"/>
    </sheetView>
  </sheetViews>
  <sheetFormatPr defaultRowHeight="15" x14ac:dyDescent="0.25"/>
  <cols>
    <col min="1" max="1" width="9" customWidth="1"/>
  </cols>
  <sheetData>
    <row r="1" spans="1:1" x14ac:dyDescent="0.25">
      <c r="A1" t="s">
        <v>270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3488118459CB4080569948443002A9" ma:contentTypeVersion="13" ma:contentTypeDescription="Create a new document." ma:contentTypeScope="" ma:versionID="421ad09c38715aa22fba178f564e5be5">
  <xsd:schema xmlns:xsd="http://www.w3.org/2001/XMLSchema" xmlns:xs="http://www.w3.org/2001/XMLSchema" xmlns:p="http://schemas.microsoft.com/office/2006/metadata/properties" xmlns:ns2="ef5313c6-a5b7-44a3-9c4b-6c2d5352f734" xmlns:ns3="bda38342-f454-436e-a0d5-2ab9afb29227" targetNamespace="http://schemas.microsoft.com/office/2006/metadata/properties" ma:root="true" ma:fieldsID="5aafc170d3ae2170f6398fb27ca0f3eb" ns2:_="" ns3:_="">
    <xsd:import namespace="ef5313c6-a5b7-44a3-9c4b-6c2d5352f734"/>
    <xsd:import namespace="bda38342-f454-436e-a0d5-2ab9afb292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5313c6-a5b7-44a3-9c4b-6c2d5352f7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a38342-f454-436e-a0d5-2ab9afb2922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D3ED568-5205-4BDE-AB46-FB5E95E191F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2679CB-4DBB-49FE-8206-363C9AE7CA8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11AD464-75DF-4763-842E-BFB9FF1B94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5313c6-a5b7-44a3-9c4b-6c2d5352f734"/>
    <ds:schemaRef ds:uri="bda38342-f454-436e-a0d5-2ab9afb292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14</vt:i4>
      </vt:variant>
    </vt:vector>
  </HeadingPairs>
  <TitlesOfParts>
    <vt:vector size="44" baseType="lpstr">
      <vt:lpstr>Log Sales Data</vt:lpstr>
      <vt:lpstr>Eastfork Budget</vt:lpstr>
      <vt:lpstr>Eastfork Actual</vt:lpstr>
      <vt:lpstr>Waipuna Budget</vt:lpstr>
      <vt:lpstr>Waipuna Actual</vt:lpstr>
      <vt:lpstr>Whakatikei Budget</vt:lpstr>
      <vt:lpstr>Whakatikei Actual</vt:lpstr>
      <vt:lpstr>Mount Erin (T&amp;M) Budget</vt:lpstr>
      <vt:lpstr>Mount Erin (T&amp;M) Actual</vt:lpstr>
      <vt:lpstr>Rawhitiroa (T&amp;M) Budget</vt:lpstr>
      <vt:lpstr>Rawhitiroa (T&amp;M) Actual</vt:lpstr>
      <vt:lpstr>Kanuka (T&amp;M) Budget</vt:lpstr>
      <vt:lpstr>Kanuka (T&amp;M) Actual</vt:lpstr>
      <vt:lpstr>Rangatira Utiku Block Budget</vt:lpstr>
      <vt:lpstr>Rangatira Utiku Block Actual</vt:lpstr>
      <vt:lpstr>Summary_1</vt:lpstr>
      <vt:lpstr>Summary_2</vt:lpstr>
      <vt:lpstr>Summary_3</vt:lpstr>
      <vt:lpstr>Summary_4</vt:lpstr>
      <vt:lpstr>Summary_5</vt:lpstr>
      <vt:lpstr>Summary_6</vt:lpstr>
      <vt:lpstr>Summary_7</vt:lpstr>
      <vt:lpstr>Volume_1</vt:lpstr>
      <vt:lpstr>Volume_2</vt:lpstr>
      <vt:lpstr>Volume_3</vt:lpstr>
      <vt:lpstr>Volume_4</vt:lpstr>
      <vt:lpstr>Volume_5</vt:lpstr>
      <vt:lpstr>Volume_6</vt:lpstr>
      <vt:lpstr>Volume_7</vt:lpstr>
      <vt:lpstr>Home</vt:lpstr>
      <vt:lpstr>'Eastfork Actual'!Print_Area</vt:lpstr>
      <vt:lpstr>'Eastfork Budget'!Print_Area</vt:lpstr>
      <vt:lpstr>'Kanuka (T&amp;M) Actual'!Print_Area</vt:lpstr>
      <vt:lpstr>'Kanuka (T&amp;M) Budget'!Print_Area</vt:lpstr>
      <vt:lpstr>'Mount Erin (T&amp;M) Actual'!Print_Area</vt:lpstr>
      <vt:lpstr>'Mount Erin (T&amp;M) Budget'!Print_Area</vt:lpstr>
      <vt:lpstr>'Rangatira Utiku Block Actual'!Print_Area</vt:lpstr>
      <vt:lpstr>'Rangatira Utiku Block Budget'!Print_Area</vt:lpstr>
      <vt:lpstr>'Rawhitiroa (T&amp;M) Actual'!Print_Area</vt:lpstr>
      <vt:lpstr>'Rawhitiroa (T&amp;M) Budget'!Print_Area</vt:lpstr>
      <vt:lpstr>'Waipuna Actual'!Print_Area</vt:lpstr>
      <vt:lpstr>'Waipuna Budget'!Print_Area</vt:lpstr>
      <vt:lpstr>'Whakatikei Actual'!Print_Area</vt:lpstr>
      <vt:lpstr>'Whakatikei Budget'!Print_Area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Wilson Zhou</dc:creator>
  <cp:keywords/>
  <dc:description/>
  <cp:lastModifiedBy>Jerry Fu</cp:lastModifiedBy>
  <cp:revision/>
  <dcterms:created xsi:type="dcterms:W3CDTF">2020-01-21T21:44:40Z</dcterms:created>
  <dcterms:modified xsi:type="dcterms:W3CDTF">2025-02-03T09:41:57Z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0x0101001F3488118459CB4080569948443002A9</vt:lpwstr>
  </property>
</Properties>
</file>